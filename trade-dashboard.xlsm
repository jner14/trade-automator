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4930" windowHeight="9750" tabRatio="481"/>
  </bookViews>
  <sheets>
    <sheet name="Reporting" sheetId="2" r:id="rId1"/>
    <sheet name="Existing" sheetId="10" r:id="rId2"/>
    <sheet name="Monitoring" sheetId="3" state="hidden" r:id="rId3"/>
    <sheet name="Orders" sheetId="7" r:id="rId4"/>
    <sheet name="Forex" sheetId="6" r:id="rId5"/>
    <sheet name="Data" sheetId="5" r:id="rId6"/>
    <sheet name="Config" sheetId="4" r:id="rId7"/>
    <sheet name="Usage" sheetId="8" r:id="rId8"/>
    <sheet name="Notes" sheetId="9" r:id="rId9"/>
    <sheet name="AlgoTester" sheetId="12" r:id="rId10"/>
    <sheet name="Tranche Size" sheetId="11" state="hidden" r:id="rId11"/>
  </sheets>
  <functionGroups builtInGroupCount="18">
    <functionGroup name="OpenApi Add-In"/>
  </functionGroups>
  <definedNames>
    <definedName name="LastPrice">VLOOKUP(Existing!XEV1, Data!XFA1048576:XFD50, 2,FALSE)</definedName>
    <definedName name="PctFromPrevRep">LastPrice/PrevRep-1</definedName>
    <definedName name="PrevRep">VLOOKUP(Existing!XEV1,Data!G1:M51, 7, FALSE)</definedName>
  </definedName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A10" i="2" l="1"/>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3" i="2"/>
  <c r="A4" i="2" s="1"/>
  <c r="A5" i="2" s="1"/>
  <c r="Z4" i="7"/>
  <c r="Z5" i="7"/>
  <c r="Z6" i="7"/>
  <c r="Z7" i="7"/>
  <c r="Z8" i="7"/>
  <c r="Z9" i="7"/>
  <c r="Z10" i="7"/>
  <c r="Z11" i="7"/>
  <c r="Z12" i="7"/>
  <c r="Z13" i="7"/>
  <c r="Z14" i="7"/>
  <c r="Z15" i="7"/>
  <c r="Z16" i="7"/>
  <c r="Z17" i="7"/>
  <c r="Z18" i="7"/>
  <c r="Z19" i="7"/>
  <c r="Z20" i="7"/>
  <c r="Z21" i="7"/>
  <c r="Z22" i="7"/>
  <c r="Z23" i="7"/>
  <c r="Z24" i="7"/>
  <c r="Z25" i="7"/>
  <c r="Z26" i="7"/>
  <c r="Z27" i="7"/>
  <c r="Z28" i="7"/>
  <c r="Z29" i="7"/>
  <c r="Z30" i="7"/>
  <c r="Z31" i="7"/>
  <c r="Z32" i="7"/>
  <c r="Z33" i="7"/>
  <c r="Z34" i="7"/>
  <c r="Z35" i="7"/>
  <c r="Z36" i="7"/>
  <c r="Z37" i="7"/>
  <c r="Z38" i="7"/>
  <c r="Z39" i="7"/>
  <c r="Z40" i="7"/>
  <c r="Z41" i="7"/>
  <c r="Z42" i="7"/>
  <c r="Z43" i="7"/>
  <c r="Z44" i="7"/>
  <c r="Z45" i="7"/>
  <c r="Z46" i="7"/>
  <c r="Z47" i="7"/>
  <c r="Z48" i="7"/>
  <c r="Z49" i="7"/>
  <c r="Z50" i="7"/>
  <c r="Z51" i="7"/>
  <c r="Z52" i="7"/>
  <c r="Z53" i="7"/>
  <c r="Z54" i="7"/>
  <c r="Z55" i="7"/>
  <c r="Z56" i="7"/>
  <c r="Z57" i="7"/>
  <c r="Z58" i="7"/>
  <c r="Z59" i="7"/>
  <c r="Z60" i="7"/>
  <c r="Z61" i="7"/>
  <c r="Z62" i="7"/>
  <c r="Z63" i="7"/>
  <c r="Z64" i="7"/>
  <c r="Z65" i="7"/>
  <c r="Z66" i="7"/>
  <c r="Z67" i="7"/>
  <c r="Z68" i="7"/>
  <c r="Z69" i="7"/>
  <c r="Z70" i="7"/>
  <c r="Z71" i="7"/>
  <c r="Z72" i="7"/>
  <c r="Z73" i="7"/>
  <c r="Z74" i="7"/>
  <c r="Z75" i="7"/>
  <c r="Z76" i="7"/>
  <c r="Z77" i="7"/>
  <c r="Z78" i="7"/>
  <c r="Z79" i="7"/>
  <c r="Z80" i="7"/>
  <c r="Z81" i="7"/>
  <c r="Z82" i="7"/>
  <c r="Z83" i="7"/>
  <c r="Z84" i="7"/>
  <c r="Z85" i="7"/>
  <c r="Z86" i="7"/>
  <c r="Z87" i="7"/>
  <c r="Z88" i="7"/>
  <c r="Z89" i="7"/>
  <c r="Z90" i="7"/>
  <c r="Z91" i="7"/>
  <c r="Z92" i="7"/>
  <c r="Z93" i="7"/>
  <c r="Z94" i="7"/>
  <c r="Z95" i="7"/>
  <c r="Z96" i="7"/>
  <c r="Z97" i="7"/>
  <c r="Z98" i="7"/>
  <c r="Z99" i="7"/>
  <c r="Z100" i="7"/>
  <c r="Z101" i="7"/>
  <c r="Z102" i="7"/>
  <c r="Z103" i="7"/>
  <c r="Z3" i="7"/>
  <c r="A6" i="2" l="1"/>
  <c r="Q20" i="10" a="1"/>
  <c r="Q19" i="10" a="1"/>
  <c r="Q18" i="10" a="1"/>
  <c r="Q17" i="10" a="1"/>
  <c r="Q16" i="10" a="1"/>
  <c r="Q15" i="10" a="1"/>
  <c r="Q14" i="10" a="1"/>
  <c r="Q13" i="10" a="1"/>
  <c r="Q12" i="10" a="1"/>
  <c r="Q11" i="10" a="1"/>
  <c r="Q10" i="10" a="1"/>
  <c r="Q9" i="10" a="1"/>
  <c r="C5" i="10" a="1"/>
  <c r="C4" i="10" a="1"/>
  <c r="C3" i="10" a="1"/>
  <c r="Q8" i="10" a="1"/>
  <c r="Q7" i="10" a="1"/>
  <c r="Q6" i="10" a="1"/>
  <c r="Q5" i="10" a="1"/>
  <c r="Q4" i="10" a="1"/>
  <c r="Q3" i="10" a="1"/>
  <c r="B3" i="7" a="1"/>
  <c r="B10" i="4"/>
  <c r="B11" i="4"/>
  <c r="Q2" i="10"/>
  <c r="C2" i="10"/>
  <c r="B2" i="7"/>
  <c r="AH14" i="5"/>
  <c r="H87" i="12"/>
  <c r="I55" i="12"/>
  <c r="C66" i="12"/>
  <c r="I106" i="12"/>
  <c r="D54" i="12"/>
  <c r="H102" i="12"/>
  <c r="F36" i="12"/>
  <c r="C93" i="12"/>
  <c r="D96" i="12"/>
  <c r="F65" i="12"/>
  <c r="H97" i="12"/>
  <c r="D104" i="12"/>
  <c r="AM13" i="5"/>
  <c r="C55" i="12"/>
  <c r="F29" i="12"/>
  <c r="F7" i="12"/>
  <c r="H76" i="12"/>
  <c r="E31" i="12"/>
  <c r="B78" i="12"/>
  <c r="E44" i="12"/>
  <c r="G75" i="12"/>
  <c r="I46" i="12"/>
  <c r="I93" i="12"/>
  <c r="G43" i="12"/>
  <c r="H34" i="12"/>
  <c r="D38" i="12"/>
  <c r="D57" i="12"/>
  <c r="E72" i="12"/>
  <c r="G51" i="12"/>
  <c r="AM19" i="5"/>
  <c r="E13" i="12"/>
  <c r="C51" i="12"/>
  <c r="D102" i="12"/>
  <c r="D27" i="12"/>
  <c r="G15" i="12"/>
  <c r="H79" i="12"/>
  <c r="C10" i="12"/>
  <c r="F8" i="12"/>
  <c r="H24" i="12"/>
  <c r="G45" i="12"/>
  <c r="D23" i="12"/>
  <c r="AK15" i="5"/>
  <c r="H67" i="12"/>
  <c r="B46" i="12"/>
  <c r="I77" i="12"/>
  <c r="G74" i="12"/>
  <c r="B58" i="12"/>
  <c r="C58" i="12"/>
  <c r="C24" i="12"/>
  <c r="B103" i="12"/>
  <c r="C80" i="12"/>
  <c r="H110" i="12"/>
  <c r="F35" i="12"/>
  <c r="I14" i="12"/>
  <c r="I61" i="12"/>
  <c r="C102" i="12"/>
  <c r="I51" i="12"/>
  <c r="B77" i="12"/>
  <c r="I16" i="12"/>
  <c r="I54" i="12"/>
  <c r="C100" i="12"/>
  <c r="H64" i="12"/>
  <c r="E64" i="12"/>
  <c r="H29" i="12"/>
  <c r="B26" i="12"/>
  <c r="F50" i="12"/>
  <c r="B12" i="12"/>
  <c r="E60" i="12"/>
  <c r="F69" i="12"/>
  <c r="D74" i="12"/>
  <c r="D31" i="12"/>
  <c r="G94" i="12"/>
  <c r="AH23" i="5"/>
  <c r="E40" i="12"/>
  <c r="D16" i="12"/>
  <c r="H91" i="12"/>
  <c r="H80" i="12"/>
  <c r="D62" i="12"/>
  <c r="I24" i="12"/>
  <c r="G83" i="12"/>
  <c r="C35" i="12"/>
  <c r="B47" i="12"/>
  <c r="B10" i="12"/>
  <c r="H9" i="12"/>
  <c r="F28" i="12"/>
  <c r="G92" i="12"/>
  <c r="E108" i="12"/>
  <c r="F45" i="12"/>
  <c r="AO14" i="5"/>
  <c r="C104" i="12"/>
  <c r="C86" i="12"/>
  <c r="F18" i="12"/>
  <c r="AH21" i="5"/>
  <c r="C44" i="12"/>
  <c r="C63" i="12"/>
  <c r="D59" i="12"/>
  <c r="H62" i="12"/>
  <c r="B16" i="12"/>
  <c r="F38" i="12"/>
  <c r="H86" i="12"/>
  <c r="H15" i="12"/>
  <c r="D86" i="12"/>
  <c r="B34" i="12"/>
  <c r="C74" i="12"/>
  <c r="G89" i="12"/>
  <c r="AH15" i="5"/>
  <c r="B98" i="12"/>
  <c r="E6" i="12"/>
  <c r="C48" i="12"/>
  <c r="AM22" i="5"/>
  <c r="I9" i="12"/>
  <c r="F42" i="12"/>
  <c r="E82" i="12"/>
  <c r="E59" i="12"/>
  <c r="G27" i="12"/>
  <c r="H71" i="12"/>
  <c r="I85" i="12"/>
  <c r="AH3" i="5"/>
  <c r="G78" i="12"/>
  <c r="E69" i="12"/>
  <c r="G110" i="12"/>
  <c r="F61" i="12"/>
  <c r="C75" i="12"/>
  <c r="AL23" i="5"/>
  <c r="I79" i="12"/>
  <c r="H63" i="12"/>
  <c r="D95" i="12"/>
  <c r="B80" i="12"/>
  <c r="AJ20" i="5"/>
  <c r="I101" i="12"/>
  <c r="I52" i="12"/>
  <c r="C33" i="12"/>
  <c r="G61" i="12"/>
  <c r="F10" i="12"/>
  <c r="D89" i="12"/>
  <c r="E35" i="12"/>
  <c r="AJ22" i="5"/>
  <c r="B27" i="12"/>
  <c r="E98" i="12"/>
  <c r="AL22" i="5"/>
  <c r="B95" i="12"/>
  <c r="AK22" i="5"/>
  <c r="I84" i="12"/>
  <c r="H6" i="12"/>
  <c r="H25" i="12"/>
  <c r="I33" i="12"/>
  <c r="G86" i="12"/>
  <c r="B54" i="12"/>
  <c r="G104" i="12"/>
  <c r="D108" i="12"/>
  <c r="E74" i="12"/>
  <c r="AN15" i="5"/>
  <c r="G109" i="12"/>
  <c r="I36" i="12"/>
  <c r="E99" i="12"/>
  <c r="E83" i="12"/>
  <c r="D37" i="12"/>
  <c r="E58" i="12"/>
  <c r="H99" i="12"/>
  <c r="H83" i="12"/>
  <c r="B9" i="12"/>
  <c r="C109" i="12"/>
  <c r="E77" i="12"/>
  <c r="D12" i="12"/>
  <c r="E15" i="12"/>
  <c r="C76" i="12"/>
  <c r="D26" i="12"/>
  <c r="F23" i="12"/>
  <c r="G48" i="12"/>
  <c r="C27" i="12"/>
  <c r="AG17" i="5"/>
  <c r="E50" i="12"/>
  <c r="I48" i="12"/>
  <c r="E90" i="12"/>
  <c r="G20" i="12"/>
  <c r="C50" i="12"/>
  <c r="F94" i="12"/>
  <c r="H43" i="12"/>
  <c r="G24" i="12"/>
  <c r="C67" i="12"/>
  <c r="D7" i="12"/>
  <c r="C29" i="12"/>
  <c r="C99" i="12"/>
  <c r="AL14" i="5"/>
  <c r="H94" i="12"/>
  <c r="D53" i="12"/>
  <c r="D63" i="12"/>
  <c r="AK19" i="5"/>
  <c r="B61" i="12"/>
  <c r="G80" i="12"/>
  <c r="H37" i="12"/>
  <c r="G8" i="12"/>
  <c r="D68" i="12"/>
  <c r="F90" i="12"/>
  <c r="AI22" i="5"/>
  <c r="G18" i="12"/>
  <c r="F97" i="12"/>
  <c r="F12" i="12"/>
  <c r="C28" i="12"/>
  <c r="G11" i="12"/>
  <c r="C62" i="12"/>
  <c r="AH19" i="5"/>
  <c r="H109" i="12"/>
  <c r="G49" i="12"/>
  <c r="D76" i="12"/>
  <c r="G52" i="12"/>
  <c r="AL21" i="5"/>
  <c r="H95" i="12"/>
  <c r="H90" i="12"/>
  <c r="B59" i="12"/>
  <c r="E78" i="12"/>
  <c r="B36" i="12"/>
  <c r="H103" i="12"/>
  <c r="D82" i="12"/>
  <c r="C31" i="12"/>
  <c r="H66" i="12"/>
  <c r="I82" i="12"/>
  <c r="I56" i="12"/>
  <c r="C96" i="12"/>
  <c r="I87" i="12"/>
  <c r="F56" i="12"/>
  <c r="I32" i="12"/>
  <c r="F109" i="12"/>
  <c r="G73" i="12"/>
  <c r="F74" i="12"/>
  <c r="E86" i="12"/>
  <c r="H98" i="12"/>
  <c r="H77" i="12"/>
  <c r="AJ3" i="5"/>
  <c r="I50" i="12"/>
  <c r="B38" i="12"/>
  <c r="G41" i="12"/>
  <c r="E62" i="12"/>
  <c r="B93" i="12"/>
  <c r="AI15" i="5"/>
  <c r="G105" i="12"/>
  <c r="I60" i="12"/>
  <c r="C85" i="12"/>
  <c r="B21" i="12"/>
  <c r="C56" i="12"/>
  <c r="G106" i="12"/>
  <c r="F44" i="12"/>
  <c r="C68" i="12"/>
  <c r="C39" i="12"/>
  <c r="H35" i="12"/>
  <c r="H19" i="12"/>
  <c r="G103" i="12"/>
  <c r="AM11" i="5"/>
  <c r="C90" i="12"/>
  <c r="B82" i="12"/>
  <c r="C103" i="12"/>
  <c r="H54" i="12"/>
  <c r="I57" i="12"/>
  <c r="B49" i="12"/>
  <c r="H89" i="12"/>
  <c r="H75" i="12"/>
  <c r="I21" i="12"/>
  <c r="E70" i="12"/>
  <c r="H101" i="12"/>
  <c r="F17" i="12"/>
  <c r="AN12" i="5"/>
  <c r="I69" i="12"/>
  <c r="I19" i="12"/>
  <c r="D44" i="12"/>
  <c r="AM14" i="5"/>
  <c r="F21" i="12"/>
  <c r="H51" i="12"/>
  <c r="F77" i="12"/>
  <c r="F59" i="12"/>
  <c r="F107" i="12"/>
  <c r="E75" i="12"/>
  <c r="D8" i="12"/>
  <c r="H53" i="12"/>
  <c r="H10" i="12"/>
  <c r="C106" i="12"/>
  <c r="B90" i="12"/>
  <c r="F62" i="12"/>
  <c r="C8" i="12"/>
  <c r="AK11" i="5"/>
  <c r="B72" i="12"/>
  <c r="I107" i="12"/>
  <c r="I20" i="12"/>
  <c r="F81" i="12"/>
  <c r="AH11" i="5"/>
  <c r="D107" i="12"/>
  <c r="H47" i="12"/>
  <c r="H57" i="12"/>
  <c r="I66" i="12"/>
  <c r="H60" i="12"/>
  <c r="E42" i="12"/>
  <c r="H18" i="12"/>
  <c r="E46" i="12"/>
  <c r="H88" i="12"/>
  <c r="I42" i="12"/>
  <c r="B29" i="12"/>
  <c r="B32" i="12"/>
  <c r="G96" i="12"/>
  <c r="H78" i="12"/>
  <c r="F33" i="12"/>
  <c r="E102" i="12"/>
  <c r="B56" i="12"/>
  <c r="D6" i="12"/>
  <c r="D75" i="12"/>
  <c r="AL15" i="5"/>
  <c r="G30" i="12"/>
  <c r="G67" i="12"/>
  <c r="AL19" i="5"/>
  <c r="H42" i="12"/>
  <c r="H81" i="12"/>
  <c r="B35" i="12"/>
  <c r="B94" i="12"/>
  <c r="G102" i="12"/>
  <c r="E110" i="12"/>
  <c r="E103" i="12"/>
  <c r="AH20" i="5"/>
  <c r="H52" i="12"/>
  <c r="I100" i="12"/>
  <c r="C60" i="12"/>
  <c r="H32" i="12"/>
  <c r="F66" i="12"/>
  <c r="F93" i="12"/>
  <c r="G47" i="12"/>
  <c r="G98" i="12"/>
  <c r="D72" i="12"/>
  <c r="B86" i="12"/>
  <c r="H108" i="12"/>
  <c r="G68" i="12"/>
  <c r="AL11" i="5"/>
  <c r="B51" i="12"/>
  <c r="D9" i="12"/>
  <c r="E61" i="12"/>
  <c r="AM20" i="5"/>
  <c r="F73" i="12"/>
  <c r="G28" i="12"/>
  <c r="H50" i="12"/>
  <c r="F13" i="12"/>
  <c r="D92" i="12"/>
  <c r="E9" i="12"/>
  <c r="D81" i="12"/>
  <c r="E22" i="12"/>
  <c r="I105" i="12"/>
  <c r="D73" i="12"/>
  <c r="F30" i="12"/>
  <c r="E53" i="12"/>
  <c r="AI14" i="5"/>
  <c r="D28" i="12"/>
  <c r="I28" i="12"/>
  <c r="I53" i="12"/>
  <c r="C20" i="12"/>
  <c r="G70" i="12"/>
  <c r="C22" i="12"/>
  <c r="B102" i="12"/>
  <c r="H14" i="12"/>
  <c r="E80" i="12"/>
  <c r="C37" i="12"/>
  <c r="C107" i="12"/>
  <c r="E79" i="12"/>
  <c r="H59" i="12"/>
  <c r="AI13" i="5"/>
  <c r="G22" i="12"/>
  <c r="I76" i="12"/>
  <c r="AL12" i="5"/>
  <c r="I8" i="12"/>
  <c r="F11" i="12"/>
  <c r="D101" i="12"/>
  <c r="B31" i="12"/>
  <c r="D49" i="12"/>
  <c r="I102" i="12"/>
  <c r="G39" i="12"/>
  <c r="H105" i="12"/>
  <c r="E89" i="12"/>
  <c r="F67" i="12"/>
  <c r="AO13" i="5"/>
  <c r="I59" i="12"/>
  <c r="G69" i="12"/>
  <c r="H100" i="12"/>
  <c r="E68" i="12"/>
  <c r="G99" i="12"/>
  <c r="D36" i="12"/>
  <c r="F58" i="12"/>
  <c r="H96" i="12"/>
  <c r="C91" i="12"/>
  <c r="F15" i="12"/>
  <c r="H65" i="12"/>
  <c r="H39" i="12"/>
  <c r="AM12" i="5"/>
  <c r="G35" i="12"/>
  <c r="G13" i="12"/>
  <c r="I63" i="12"/>
  <c r="AK23" i="5"/>
  <c r="F52" i="12"/>
  <c r="D94" i="12"/>
  <c r="I25" i="12"/>
  <c r="G26" i="12"/>
  <c r="E49" i="12"/>
  <c r="I83" i="12"/>
  <c r="D20" i="12"/>
  <c r="D51" i="12"/>
  <c r="I96" i="12"/>
  <c r="E24" i="12"/>
  <c r="E47" i="12"/>
  <c r="AH12" i="5"/>
  <c r="AN3" i="5"/>
  <c r="D93" i="12"/>
  <c r="D43" i="12"/>
  <c r="B37" i="12"/>
  <c r="H28" i="12"/>
  <c r="H73" i="12"/>
  <c r="E57" i="12"/>
  <c r="G6" i="12"/>
  <c r="D77" i="12"/>
  <c r="F101" i="12"/>
  <c r="I23" i="12"/>
  <c r="C94" i="12"/>
  <c r="F108" i="12"/>
  <c r="G7" i="12"/>
  <c r="AL3" i="5"/>
  <c r="F41" i="12"/>
  <c r="G95" i="12"/>
  <c r="I38" i="12"/>
  <c r="I71" i="12"/>
  <c r="C52" i="12"/>
  <c r="F16" i="12"/>
  <c r="D25" i="12"/>
  <c r="G29" i="12"/>
  <c r="C6" i="12"/>
  <c r="F68" i="12"/>
  <c r="F54" i="12"/>
  <c r="H22" i="12"/>
  <c r="AK14" i="5"/>
  <c r="C16" i="12"/>
  <c r="G66" i="12"/>
  <c r="G44" i="12"/>
  <c r="I65" i="12"/>
  <c r="G64" i="12"/>
  <c r="C46" i="12"/>
  <c r="E43" i="12"/>
  <c r="F99" i="12"/>
  <c r="I73" i="12"/>
  <c r="C26" i="12"/>
  <c r="I43" i="12"/>
  <c r="H72" i="12"/>
  <c r="G71" i="12"/>
  <c r="B57" i="12"/>
  <c r="B88" i="12"/>
  <c r="F104" i="12"/>
  <c r="AL13" i="5"/>
  <c r="G21" i="12"/>
  <c r="C7" i="12"/>
  <c r="H104" i="12"/>
  <c r="E107" i="12"/>
  <c r="F46" i="12"/>
  <c r="B22" i="12"/>
  <c r="C65" i="12"/>
  <c r="B53" i="12"/>
  <c r="G19" i="12"/>
  <c r="H55" i="12"/>
  <c r="F76" i="12"/>
  <c r="B48" i="12"/>
  <c r="E21" i="12"/>
  <c r="E92" i="12"/>
  <c r="I75" i="12"/>
  <c r="I67" i="12"/>
  <c r="G63" i="12"/>
  <c r="I44" i="12"/>
  <c r="F22" i="12"/>
  <c r="F51" i="12"/>
  <c r="E14" i="12"/>
  <c r="F80" i="12"/>
  <c r="D30" i="12"/>
  <c r="H36" i="12"/>
  <c r="B13" i="12"/>
  <c r="B6" i="12"/>
  <c r="E91" i="12"/>
  <c r="F20" i="12"/>
  <c r="C34" i="12"/>
  <c r="F110" i="12"/>
  <c r="H106" i="12"/>
  <c r="B101" i="12"/>
  <c r="B66" i="12"/>
  <c r="B50" i="12"/>
  <c r="I13" i="12"/>
  <c r="F71" i="12"/>
  <c r="E56" i="12"/>
  <c r="B64" i="12"/>
  <c r="G85" i="12"/>
  <c r="H23" i="12"/>
  <c r="G55" i="12"/>
  <c r="E8" i="12"/>
  <c r="AJ15" i="5"/>
  <c r="B33" i="12"/>
  <c r="D79" i="12"/>
  <c r="F95" i="12"/>
  <c r="C54" i="12"/>
  <c r="D13" i="12"/>
  <c r="C105" i="12"/>
  <c r="E25" i="12"/>
  <c r="I6" i="12"/>
  <c r="I64" i="12"/>
  <c r="I109" i="12"/>
  <c r="B89" i="12"/>
  <c r="B97" i="12"/>
  <c r="G36" i="12"/>
  <c r="C57" i="12"/>
  <c r="C41" i="12"/>
  <c r="B99" i="12"/>
  <c r="AJ11" i="5"/>
  <c r="I47" i="12"/>
  <c r="E94" i="12"/>
  <c r="E104" i="12"/>
  <c r="F47" i="12"/>
  <c r="H33" i="12"/>
  <c r="I98" i="12"/>
  <c r="B69" i="12"/>
  <c r="B109" i="12"/>
  <c r="F98" i="12"/>
  <c r="H48" i="12"/>
  <c r="C38" i="12"/>
  <c r="C47" i="12"/>
  <c r="E32" i="12"/>
  <c r="D69" i="12"/>
  <c r="I34" i="12"/>
  <c r="F53" i="12"/>
  <c r="H74" i="12"/>
  <c r="D56" i="12"/>
  <c r="F19" i="12"/>
  <c r="H85" i="12"/>
  <c r="E81" i="12"/>
  <c r="C25" i="12"/>
  <c r="E51" i="12"/>
  <c r="C12" i="12"/>
  <c r="G37" i="12"/>
  <c r="I88" i="12"/>
  <c r="G40" i="12"/>
  <c r="F87" i="12"/>
  <c r="C61" i="12"/>
  <c r="C53" i="12"/>
  <c r="G12" i="12"/>
  <c r="B17" i="12"/>
  <c r="B11" i="12"/>
  <c r="I110" i="12"/>
  <c r="I68" i="12"/>
  <c r="I12" i="12"/>
  <c r="D64" i="12"/>
  <c r="C92" i="12"/>
  <c r="I97" i="12"/>
  <c r="H58" i="12"/>
  <c r="D33" i="12"/>
  <c r="E29" i="12"/>
  <c r="E37" i="12"/>
  <c r="G91" i="12"/>
  <c r="G88" i="12"/>
  <c r="AJ23" i="5"/>
  <c r="G42" i="12"/>
  <c r="G77" i="12"/>
  <c r="AK3" i="5"/>
  <c r="E96" i="12"/>
  <c r="H16" i="12"/>
  <c r="D55" i="12"/>
  <c r="F100" i="12"/>
  <c r="B105" i="12"/>
  <c r="D14" i="12"/>
  <c r="G107" i="12"/>
  <c r="D70" i="12"/>
  <c r="AM23" i="5"/>
  <c r="C17" i="12"/>
  <c r="D106" i="12"/>
  <c r="E100" i="12"/>
  <c r="G25" i="12"/>
  <c r="F85" i="12"/>
  <c r="C40" i="12"/>
  <c r="I89" i="12"/>
  <c r="AI19" i="5"/>
  <c r="H7" i="12"/>
  <c r="F9" i="12"/>
  <c r="D42" i="12"/>
  <c r="B108" i="12"/>
  <c r="AJ14" i="5"/>
  <c r="C18" i="12"/>
  <c r="B63" i="12"/>
  <c r="D87" i="12"/>
  <c r="AK20" i="5"/>
  <c r="D110" i="12"/>
  <c r="B68" i="12"/>
  <c r="C98" i="12"/>
  <c r="H46" i="12"/>
  <c r="H21" i="12"/>
  <c r="E67" i="12"/>
  <c r="F103" i="12"/>
  <c r="E36" i="12"/>
  <c r="I49" i="12"/>
  <c r="C77" i="12"/>
  <c r="I7" i="12"/>
  <c r="H11" i="12"/>
  <c r="F63" i="12"/>
  <c r="C101" i="12"/>
  <c r="F39" i="12"/>
  <c r="I11" i="12"/>
  <c r="F78" i="12"/>
  <c r="G14" i="12"/>
  <c r="E30" i="12"/>
  <c r="I15" i="12"/>
  <c r="I30" i="12"/>
  <c r="F79" i="12"/>
  <c r="F91" i="12"/>
  <c r="D39" i="12"/>
  <c r="B74" i="12"/>
  <c r="B67" i="12"/>
  <c r="I41" i="12"/>
  <c r="F49" i="12"/>
  <c r="D61" i="12"/>
  <c r="F83" i="12"/>
  <c r="B70" i="12"/>
  <c r="F89" i="12"/>
  <c r="B40" i="12"/>
  <c r="H30" i="12"/>
  <c r="E63" i="12"/>
  <c r="C108" i="12"/>
  <c r="G100" i="12"/>
  <c r="C84" i="12"/>
  <c r="G53" i="12"/>
  <c r="E87" i="12"/>
  <c r="I45" i="12"/>
  <c r="I10" i="12"/>
  <c r="I80" i="12"/>
  <c r="H13" i="12"/>
  <c r="C83" i="12"/>
  <c r="F82" i="12"/>
  <c r="C72" i="12"/>
  <c r="E71" i="12"/>
  <c r="B73" i="12"/>
  <c r="H107" i="12"/>
  <c r="H49" i="12"/>
  <c r="AO11" i="5"/>
  <c r="D83" i="12"/>
  <c r="B107" i="12"/>
  <c r="G79" i="12"/>
  <c r="F37" i="12"/>
  <c r="C9" i="12"/>
  <c r="G81" i="12"/>
  <c r="I103" i="12"/>
  <c r="B79" i="12"/>
  <c r="D97" i="12"/>
  <c r="F55" i="12"/>
  <c r="D67" i="12"/>
  <c r="B23" i="12"/>
  <c r="B76" i="12"/>
  <c r="F102" i="12"/>
  <c r="F86" i="12"/>
  <c r="F92" i="12"/>
  <c r="AJ13" i="5"/>
  <c r="G58" i="12"/>
  <c r="I70" i="12"/>
  <c r="B75" i="12"/>
  <c r="G72" i="12"/>
  <c r="D45" i="12"/>
  <c r="B85" i="12"/>
  <c r="D15" i="12"/>
  <c r="I95" i="12"/>
  <c r="C43" i="12"/>
  <c r="I22" i="12"/>
  <c r="B91" i="12"/>
  <c r="AJ19" i="5"/>
  <c r="D46" i="12"/>
  <c r="C14" i="12"/>
  <c r="C59" i="12"/>
  <c r="B62" i="12"/>
  <c r="F105" i="12"/>
  <c r="G60" i="12"/>
  <c r="E76" i="12"/>
  <c r="B8" i="12"/>
  <c r="C15" i="12"/>
  <c r="G90" i="12"/>
  <c r="C81" i="12"/>
  <c r="E41" i="12"/>
  <c r="C11" i="12"/>
  <c r="B83" i="12"/>
  <c r="D103" i="12"/>
  <c r="D17" i="12"/>
  <c r="B96" i="12"/>
  <c r="E18" i="12"/>
  <c r="I78" i="12"/>
  <c r="B65" i="12"/>
  <c r="D52" i="12"/>
  <c r="AL20" i="5"/>
  <c r="E109" i="12"/>
  <c r="D40" i="12"/>
  <c r="D88" i="12"/>
  <c r="D10" i="12"/>
  <c r="C95" i="12"/>
  <c r="AI23" i="5"/>
  <c r="D60" i="12"/>
  <c r="D85" i="12"/>
  <c r="G33" i="12"/>
  <c r="I94" i="12"/>
  <c r="B92" i="12"/>
  <c r="D19" i="12"/>
  <c r="D105" i="12"/>
  <c r="G57" i="12"/>
  <c r="AI12" i="5"/>
  <c r="H56" i="12"/>
  <c r="B28" i="12"/>
  <c r="D66" i="12"/>
  <c r="G54" i="12"/>
  <c r="G38" i="12"/>
  <c r="I108" i="12"/>
  <c r="B60" i="12"/>
  <c r="D41" i="12"/>
  <c r="E85" i="12"/>
  <c r="AJ12" i="5"/>
  <c r="E84" i="12"/>
  <c r="H84" i="12"/>
  <c r="G65" i="12"/>
  <c r="C70" i="12"/>
  <c r="F72" i="12"/>
  <c r="E39" i="12"/>
  <c r="E88" i="12"/>
  <c r="F27" i="12"/>
  <c r="G108" i="12"/>
  <c r="B81" i="12"/>
  <c r="E54" i="12"/>
  <c r="E38" i="12"/>
  <c r="F64" i="12"/>
  <c r="F43" i="12"/>
  <c r="E95" i="12"/>
  <c r="C36" i="12"/>
  <c r="E52" i="12"/>
  <c r="I58" i="12"/>
  <c r="AM15" i="5"/>
  <c r="E93" i="12"/>
  <c r="B106" i="12"/>
  <c r="B84" i="12"/>
  <c r="G16" i="12"/>
  <c r="B104" i="12"/>
  <c r="F75" i="12"/>
  <c r="I62" i="12"/>
  <c r="C23" i="12"/>
  <c r="B19" i="12"/>
  <c r="E48" i="12"/>
  <c r="D48" i="12"/>
  <c r="AM3" i="5"/>
  <c r="H40" i="12"/>
  <c r="I74" i="12"/>
  <c r="G87" i="12"/>
  <c r="F31" i="12"/>
  <c r="AH13" i="5"/>
  <c r="D71" i="12"/>
  <c r="I29" i="12"/>
  <c r="I39" i="12"/>
  <c r="I37" i="12"/>
  <c r="H27" i="12"/>
  <c r="I92" i="12"/>
  <c r="F96" i="12"/>
  <c r="D47" i="12"/>
  <c r="C30" i="12"/>
  <c r="C78" i="12"/>
  <c r="B42" i="12"/>
  <c r="AK12" i="5"/>
  <c r="I86" i="12"/>
  <c r="C73" i="12"/>
  <c r="C82" i="12"/>
  <c r="G10" i="12"/>
  <c r="F84" i="12"/>
  <c r="G62" i="12"/>
  <c r="D91" i="12"/>
  <c r="F70" i="12"/>
  <c r="AK21" i="5"/>
  <c r="F34" i="12"/>
  <c r="D50" i="12"/>
  <c r="H38" i="12"/>
  <c r="F24" i="12"/>
  <c r="D29" i="12"/>
  <c r="C13" i="12"/>
  <c r="C97" i="12"/>
  <c r="E105" i="12"/>
  <c r="E7" i="12"/>
  <c r="E45" i="12"/>
  <c r="AI20" i="5"/>
  <c r="E17" i="12"/>
  <c r="D90" i="12"/>
  <c r="H12" i="12"/>
  <c r="G50" i="12"/>
  <c r="B44" i="12"/>
  <c r="G82" i="12"/>
  <c r="I99" i="12"/>
  <c r="B87" i="12"/>
  <c r="H92" i="12"/>
  <c r="G59" i="12"/>
  <c r="C19" i="12"/>
  <c r="G17" i="12"/>
  <c r="AI21" i="5"/>
  <c r="B25" i="12"/>
  <c r="H41" i="12"/>
  <c r="I35" i="12"/>
  <c r="E20" i="12"/>
  <c r="E27" i="12"/>
  <c r="F48" i="12"/>
  <c r="B43" i="12"/>
  <c r="G101" i="12"/>
  <c r="I40" i="12"/>
  <c r="F106" i="12"/>
  <c r="H26" i="12"/>
  <c r="D34" i="12"/>
  <c r="F60" i="12"/>
  <c r="E73" i="12"/>
  <c r="I17" i="12"/>
  <c r="E65" i="12"/>
  <c r="G97" i="12"/>
  <c r="I91" i="12"/>
  <c r="E55" i="12"/>
  <c r="H44" i="12"/>
  <c r="B45" i="12"/>
  <c r="C49" i="12"/>
  <c r="E28" i="12"/>
  <c r="B24" i="12"/>
  <c r="AI3" i="5"/>
  <c r="H20" i="12"/>
  <c r="D11" i="12"/>
  <c r="B7" i="12"/>
  <c r="AM21" i="5"/>
  <c r="H68" i="12"/>
  <c r="C32" i="12"/>
  <c r="F26" i="12"/>
  <c r="D109" i="12"/>
  <c r="AN13" i="5"/>
  <c r="G32" i="12"/>
  <c r="D98" i="12"/>
  <c r="E66" i="12"/>
  <c r="G23" i="12"/>
  <c r="AI11" i="5"/>
  <c r="E16" i="12"/>
  <c r="D65" i="12"/>
  <c r="G9" i="12"/>
  <c r="C42" i="12"/>
  <c r="F32" i="12"/>
  <c r="E33" i="12"/>
  <c r="H45" i="12"/>
  <c r="F40" i="12"/>
  <c r="B30" i="12"/>
  <c r="B20" i="12"/>
  <c r="B52" i="12"/>
  <c r="G76" i="12"/>
  <c r="D18" i="12"/>
  <c r="H31" i="12"/>
  <c r="I27" i="12"/>
  <c r="I31" i="12"/>
  <c r="D22" i="12"/>
  <c r="E11" i="12"/>
  <c r="AK13" i="5"/>
  <c r="E106" i="12"/>
  <c r="D35" i="12"/>
  <c r="B55" i="12"/>
  <c r="H61" i="12"/>
  <c r="G34" i="12"/>
  <c r="I90" i="12"/>
  <c r="C88" i="12"/>
  <c r="B39" i="12"/>
  <c r="F6" i="12"/>
  <c r="AO15" i="5"/>
  <c r="F14" i="12"/>
  <c r="D24" i="12"/>
  <c r="I81" i="12"/>
  <c r="H82" i="12"/>
  <c r="H8" i="12"/>
  <c r="C45" i="12"/>
  <c r="B71" i="12"/>
  <c r="I104" i="12"/>
  <c r="H17" i="12"/>
  <c r="D100" i="12"/>
  <c r="D84" i="12"/>
  <c r="D58" i="12"/>
  <c r="AH22" i="5"/>
  <c r="G31" i="12"/>
  <c r="C21" i="12"/>
  <c r="F57" i="12"/>
  <c r="F88" i="12"/>
  <c r="C87" i="12"/>
  <c r="E19" i="12"/>
  <c r="B18" i="12"/>
  <c r="H93" i="12"/>
  <c r="G93" i="12"/>
  <c r="B15" i="12"/>
  <c r="B14" i="12"/>
  <c r="E12" i="12"/>
  <c r="E34" i="12"/>
  <c r="E23" i="12"/>
  <c r="G56" i="12"/>
  <c r="I72" i="12"/>
  <c r="D99" i="12"/>
  <c r="AJ21" i="5"/>
  <c r="H70" i="12"/>
  <c r="B100" i="12"/>
  <c r="C89" i="12"/>
  <c r="E101" i="12"/>
  <c r="AO12" i="5"/>
  <c r="D78" i="12"/>
  <c r="G84" i="12"/>
  <c r="C64" i="12"/>
  <c r="E10" i="12"/>
  <c r="D32" i="12"/>
  <c r="AN14" i="5"/>
  <c r="H69" i="12"/>
  <c r="C69" i="12"/>
  <c r="C79" i="12"/>
  <c r="E97" i="12"/>
  <c r="E26" i="12"/>
  <c r="F25" i="12"/>
  <c r="I26" i="12"/>
  <c r="G46" i="12"/>
  <c r="D21" i="12"/>
  <c r="C71" i="12"/>
  <c r="AN11" i="5"/>
  <c r="I18" i="12"/>
  <c r="C110" i="12"/>
  <c r="AG9" i="5"/>
  <c r="B110" i="12"/>
  <c r="D80" i="12"/>
  <c r="B41" i="12"/>
  <c r="A7" i="2" l="1"/>
  <c r="A8" i="2" s="1"/>
  <c r="A9" i="2" s="1"/>
  <c r="K52" i="10"/>
  <c r="K53" i="10"/>
  <c r="Q20" i="10"/>
  <c r="V20" i="10"/>
  <c r="R20" i="10"/>
  <c r="S20" i="10"/>
  <c r="T20" i="10"/>
  <c r="U20" i="10"/>
  <c r="W20" i="10"/>
  <c r="Q19" i="10"/>
  <c r="W19" i="10"/>
  <c r="R19" i="10"/>
  <c r="S19" i="10"/>
  <c r="T19" i="10"/>
  <c r="U19" i="10"/>
  <c r="V19" i="10"/>
  <c r="Q18" i="10"/>
  <c r="T18" i="10"/>
  <c r="U18" i="10"/>
  <c r="W18" i="10"/>
  <c r="R18" i="10"/>
  <c r="S18" i="10"/>
  <c r="V18" i="10"/>
  <c r="Q17" i="10"/>
  <c r="T17" i="10"/>
  <c r="U17" i="10"/>
  <c r="V17" i="10"/>
  <c r="R17" i="10"/>
  <c r="S17" i="10"/>
  <c r="W17" i="10"/>
  <c r="Q16" i="10"/>
  <c r="U16" i="10"/>
  <c r="V16" i="10"/>
  <c r="W16" i="10"/>
  <c r="S16" i="10"/>
  <c r="T16" i="10"/>
  <c r="R16" i="10"/>
  <c r="Q15" i="10"/>
  <c r="S15" i="10"/>
  <c r="T15" i="10"/>
  <c r="U15" i="10"/>
  <c r="W15" i="10"/>
  <c r="R15" i="10"/>
  <c r="V15" i="10"/>
  <c r="Q14" i="10"/>
  <c r="T14" i="10"/>
  <c r="U14" i="10"/>
  <c r="V14" i="10"/>
  <c r="R14" i="10"/>
  <c r="S14" i="10"/>
  <c r="W14" i="10"/>
  <c r="Q13" i="10"/>
  <c r="U13" i="10"/>
  <c r="V13" i="10"/>
  <c r="T13" i="10"/>
  <c r="R13" i="10"/>
  <c r="S13" i="10"/>
  <c r="W13" i="10"/>
  <c r="Q12" i="10"/>
  <c r="S12" i="10"/>
  <c r="U12" i="10"/>
  <c r="V12" i="10"/>
  <c r="W12" i="10"/>
  <c r="R12" i="10"/>
  <c r="T12" i="10"/>
  <c r="Q11" i="10"/>
  <c r="S11" i="10"/>
  <c r="U11" i="10"/>
  <c r="V11" i="10"/>
  <c r="R11" i="10"/>
  <c r="T11" i="10"/>
  <c r="W11" i="10"/>
  <c r="Q10" i="10"/>
  <c r="T10" i="10"/>
  <c r="U10" i="10"/>
  <c r="V10" i="10"/>
  <c r="R10" i="10"/>
  <c r="S10" i="10"/>
  <c r="W10" i="10"/>
  <c r="Q9" i="10"/>
  <c r="T9" i="10"/>
  <c r="U9" i="10"/>
  <c r="W9" i="10"/>
  <c r="R9" i="10"/>
  <c r="S9" i="10"/>
  <c r="V9" i="10"/>
  <c r="E5" i="10"/>
  <c r="D5" i="10"/>
  <c r="F5" i="10"/>
  <c r="C5" i="10"/>
  <c r="D4" i="10"/>
  <c r="E4" i="10"/>
  <c r="F4" i="10"/>
  <c r="C4" i="10"/>
  <c r="C3" i="10"/>
  <c r="E3" i="10"/>
  <c r="D3" i="10"/>
  <c r="F3" i="10"/>
  <c r="T8" i="10"/>
  <c r="Q8" i="10"/>
  <c r="R8" i="10"/>
  <c r="V8" i="10"/>
  <c r="W8" i="10"/>
  <c r="U8" i="10"/>
  <c r="S8" i="10"/>
  <c r="Q7" i="10"/>
  <c r="S7" i="10"/>
  <c r="U7" i="10"/>
  <c r="W7" i="10"/>
  <c r="R7" i="10"/>
  <c r="V7" i="10"/>
  <c r="T7" i="10"/>
  <c r="Q6" i="10"/>
  <c r="S6" i="10"/>
  <c r="T6" i="10"/>
  <c r="W6" i="10"/>
  <c r="U6" i="10"/>
  <c r="R6" i="10"/>
  <c r="V6" i="10"/>
  <c r="R5" i="10"/>
  <c r="U5" i="10"/>
  <c r="V5" i="10"/>
  <c r="W5" i="10"/>
  <c r="Q5" i="10"/>
  <c r="S5" i="10"/>
  <c r="T5" i="10"/>
  <c r="S4" i="10"/>
  <c r="W4" i="10"/>
  <c r="Q4" i="10"/>
  <c r="R4" i="10"/>
  <c r="V4" i="10"/>
  <c r="T4" i="10"/>
  <c r="U4" i="10"/>
  <c r="Q3" i="10"/>
  <c r="S3" i="10"/>
  <c r="T3" i="10"/>
  <c r="V3" i="10"/>
  <c r="W3" i="10"/>
  <c r="R3" i="10"/>
  <c r="U3" i="10"/>
  <c r="Q3" i="7"/>
  <c r="N3" i="7"/>
  <c r="C3" i="7"/>
  <c r="D3" i="7"/>
  <c r="E3" i="7"/>
  <c r="G3" i="7"/>
  <c r="K3" i="7"/>
  <c r="O3" i="7"/>
  <c r="J3" i="7"/>
  <c r="H3" i="7"/>
  <c r="M3" i="7"/>
  <c r="B3" i="7"/>
  <c r="P3" i="7"/>
  <c r="F3" i="7"/>
  <c r="L3" i="7"/>
  <c r="I3" i="7"/>
  <c r="A10" i="7" l="1"/>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G4" i="5" l="1"/>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K50" i="10" s="1"/>
  <c r="G50" i="5"/>
  <c r="K51" i="10" s="1"/>
  <c r="G3" i="5"/>
  <c r="H4" i="5"/>
  <c r="K18" i="10" l="1"/>
  <c r="K20" i="10"/>
  <c r="K19" i="10"/>
  <c r="K36" i="10"/>
  <c r="K17" i="10"/>
  <c r="K35" i="10"/>
  <c r="K16" i="10"/>
  <c r="K31" i="10"/>
  <c r="K15" i="10"/>
  <c r="K30" i="10"/>
  <c r="K14" i="10"/>
  <c r="K47" i="10"/>
  <c r="K29" i="10"/>
  <c r="K13" i="10"/>
  <c r="K48" i="10"/>
  <c r="K28" i="10"/>
  <c r="K12" i="10"/>
  <c r="K43" i="10"/>
  <c r="K11" i="10"/>
  <c r="K49" i="10"/>
  <c r="K42" i="10"/>
  <c r="K10" i="10"/>
  <c r="K34" i="10"/>
  <c r="K27" i="10"/>
  <c r="K41" i="10"/>
  <c r="K25" i="10"/>
  <c r="K9" i="10"/>
  <c r="K33" i="10"/>
  <c r="K44" i="10"/>
  <c r="K40" i="10"/>
  <c r="K24" i="10"/>
  <c r="K8" i="10"/>
  <c r="K32" i="10"/>
  <c r="K26" i="10"/>
  <c r="K39" i="10"/>
  <c r="K23" i="10"/>
  <c r="K7" i="10"/>
  <c r="K45" i="10"/>
  <c r="K38" i="10"/>
  <c r="K22" i="10"/>
  <c r="K6" i="10"/>
  <c r="K46" i="10"/>
  <c r="K37" i="10"/>
  <c r="K21" i="10"/>
  <c r="A3" i="7"/>
  <c r="A4" i="7" s="1"/>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X53" i="10"/>
  <c r="Y53" i="10" s="1"/>
  <c r="X52" i="10"/>
  <c r="Y52" i="10" s="1"/>
  <c r="X51" i="10"/>
  <c r="Y51" i="10" s="1"/>
  <c r="X50" i="10"/>
  <c r="Y50" i="10" s="1"/>
  <c r="X49" i="10"/>
  <c r="Y49" i="10" s="1"/>
  <c r="X48" i="10"/>
  <c r="Y48" i="10" s="1"/>
  <c r="X47" i="10"/>
  <c r="Y47" i="10" s="1"/>
  <c r="X46" i="10"/>
  <c r="Y46" i="10" s="1"/>
  <c r="X45" i="10"/>
  <c r="Y45" i="10" s="1"/>
  <c r="X44" i="10"/>
  <c r="Y44" i="10" s="1"/>
  <c r="X43" i="10"/>
  <c r="Y43" i="10" s="1"/>
  <c r="X42" i="10"/>
  <c r="Y42" i="10" s="1"/>
  <c r="X41" i="10"/>
  <c r="Y41" i="10" s="1"/>
  <c r="X40" i="10"/>
  <c r="Y40" i="10" s="1"/>
  <c r="X39" i="10"/>
  <c r="Y39" i="10" s="1"/>
  <c r="X38" i="10"/>
  <c r="Y38" i="10" s="1"/>
  <c r="X37" i="10"/>
  <c r="Y37" i="10" s="1"/>
  <c r="X36" i="10"/>
  <c r="Y36" i="10" s="1"/>
  <c r="X35" i="10"/>
  <c r="Y35" i="10" s="1"/>
  <c r="X34" i="10"/>
  <c r="Y34" i="10" s="1"/>
  <c r="X33" i="10"/>
  <c r="Y33" i="10" s="1"/>
  <c r="X32" i="10"/>
  <c r="Y32" i="10" s="1"/>
  <c r="X31" i="10"/>
  <c r="Y31" i="10" s="1"/>
  <c r="X30" i="10"/>
  <c r="Y30" i="10" s="1"/>
  <c r="X29" i="10"/>
  <c r="Y29" i="10" s="1"/>
  <c r="X28" i="10"/>
  <c r="Y28" i="10" s="1"/>
  <c r="X27" i="10"/>
  <c r="Y27" i="10" s="1"/>
  <c r="X26" i="10"/>
  <c r="Y26" i="10" s="1"/>
  <c r="X25" i="10"/>
  <c r="Y25" i="10" s="1"/>
  <c r="X24" i="10"/>
  <c r="Y24" i="10" s="1"/>
  <c r="X23" i="10"/>
  <c r="Y23" i="10" s="1"/>
  <c r="X22" i="10"/>
  <c r="Y22" i="10" s="1"/>
  <c r="X21" i="10"/>
  <c r="Y21" i="10" s="1"/>
  <c r="X20" i="10"/>
  <c r="Y20" i="10" s="1"/>
  <c r="X19" i="10"/>
  <c r="Y19" i="10" s="1"/>
  <c r="X18" i="10"/>
  <c r="Y18" i="10" s="1"/>
  <c r="X17" i="10"/>
  <c r="Y17" i="10" s="1"/>
  <c r="X16" i="10"/>
  <c r="Y16" i="10" s="1"/>
  <c r="X15" i="10"/>
  <c r="Y15" i="10" s="1"/>
  <c r="X14" i="10"/>
  <c r="Y14" i="10" s="1"/>
  <c r="X13" i="10"/>
  <c r="Y13" i="10" s="1"/>
  <c r="X12" i="10"/>
  <c r="Y12" i="10" s="1"/>
  <c r="X11" i="10"/>
  <c r="Y11" i="10" s="1"/>
  <c r="X10" i="10"/>
  <c r="Y10" i="10" s="1"/>
  <c r="X9" i="10"/>
  <c r="Y9" i="10" s="1"/>
  <c r="X8" i="10"/>
  <c r="Y8" i="10" s="1"/>
  <c r="G5" i="10"/>
  <c r="H5" i="10" s="1"/>
  <c r="G6" i="10"/>
  <c r="H6" i="10" s="1"/>
  <c r="G7" i="10"/>
  <c r="H7" i="10" s="1"/>
  <c r="G8" i="10"/>
  <c r="H8" i="10" s="1"/>
  <c r="G9" i="10"/>
  <c r="H9" i="10" s="1"/>
  <c r="G10" i="10"/>
  <c r="H10" i="10" s="1"/>
  <c r="G11" i="10"/>
  <c r="H11" i="10" s="1"/>
  <c r="G12" i="10"/>
  <c r="H12" i="10" s="1"/>
  <c r="G13" i="10"/>
  <c r="H13" i="10" s="1"/>
  <c r="G14" i="10"/>
  <c r="H14" i="10" s="1"/>
  <c r="G15" i="10"/>
  <c r="H15" i="10" s="1"/>
  <c r="G16" i="10"/>
  <c r="H16" i="10" s="1"/>
  <c r="G17" i="10"/>
  <c r="H17" i="10" s="1"/>
  <c r="G18" i="10"/>
  <c r="H18" i="10" s="1"/>
  <c r="G19" i="10"/>
  <c r="H19" i="10" s="1"/>
  <c r="G20" i="10"/>
  <c r="H20" i="10" s="1"/>
  <c r="G21" i="10"/>
  <c r="H21" i="10" s="1"/>
  <c r="G22" i="10"/>
  <c r="H22" i="10" s="1"/>
  <c r="G23" i="10"/>
  <c r="H23" i="10" s="1"/>
  <c r="G24" i="10"/>
  <c r="H24" i="10" s="1"/>
  <c r="G25" i="10"/>
  <c r="H25" i="10" s="1"/>
  <c r="G26" i="10"/>
  <c r="H26" i="10" s="1"/>
  <c r="G27" i="10"/>
  <c r="H27" i="10" s="1"/>
  <c r="G28" i="10"/>
  <c r="H28" i="10" s="1"/>
  <c r="G29" i="10"/>
  <c r="H29" i="10" s="1"/>
  <c r="G30" i="10"/>
  <c r="H30" i="10" s="1"/>
  <c r="G31" i="10"/>
  <c r="H31" i="10" s="1"/>
  <c r="G32" i="10"/>
  <c r="H32" i="10" s="1"/>
  <c r="G33" i="10"/>
  <c r="H33" i="10" s="1"/>
  <c r="G34" i="10"/>
  <c r="H34" i="10" s="1"/>
  <c r="G35" i="10"/>
  <c r="H35" i="10" s="1"/>
  <c r="G36" i="10"/>
  <c r="H36" i="10" s="1"/>
  <c r="G37" i="10"/>
  <c r="H37" i="10" s="1"/>
  <c r="G38" i="10"/>
  <c r="H38" i="10" s="1"/>
  <c r="G39" i="10"/>
  <c r="H39" i="10" s="1"/>
  <c r="G40" i="10"/>
  <c r="H40" i="10" s="1"/>
  <c r="G41" i="10"/>
  <c r="H41" i="10" s="1"/>
  <c r="G42" i="10"/>
  <c r="H42" i="10" s="1"/>
  <c r="G43" i="10"/>
  <c r="H43" i="10" s="1"/>
  <c r="G44" i="10"/>
  <c r="H44" i="10" s="1"/>
  <c r="G45" i="10"/>
  <c r="H45" i="10" s="1"/>
  <c r="G46" i="10"/>
  <c r="H46" i="10" s="1"/>
  <c r="G47" i="10"/>
  <c r="H47" i="10" s="1"/>
  <c r="G48" i="10"/>
  <c r="H48" i="10" s="1"/>
  <c r="G49" i="10"/>
  <c r="H49" i="10" s="1"/>
  <c r="G50" i="10"/>
  <c r="H50" i="10" s="1"/>
  <c r="G51" i="10"/>
  <c r="H51" i="10" s="1"/>
  <c r="G52" i="10"/>
  <c r="H52" i="10" s="1"/>
  <c r="G53" i="10"/>
  <c r="H53" i="10" s="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3" i="11"/>
  <c r="A4" i="11" s="1"/>
  <c r="A5" i="7" l="1"/>
  <c r="A6" i="7" s="1"/>
  <c r="A7" i="7" s="1"/>
  <c r="X7" i="10"/>
  <c r="Y7" i="10" s="1"/>
  <c r="X6" i="10"/>
  <c r="Y6" i="10" s="1"/>
  <c r="X5" i="10"/>
  <c r="Y5" i="10" s="1"/>
  <c r="G4" i="10"/>
  <c r="H4" i="10" s="1"/>
  <c r="X4" i="10"/>
  <c r="Y4" i="10" s="1"/>
  <c r="A5" i="11"/>
  <c r="D1" i="2"/>
  <c r="B10" i="5"/>
  <c r="H3" i="5"/>
  <c r="A8" i="7" l="1"/>
  <c r="A9" i="7" s="1"/>
  <c r="A6" i="11"/>
  <c r="A7" i="11" s="1"/>
  <c r="P3"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C10" i="5"/>
  <c r="P4" i="10" l="1"/>
  <c r="P5" i="10" s="1"/>
  <c r="A8" i="11"/>
  <c r="X3" i="10"/>
  <c r="Y3" i="10" s="1"/>
  <c r="G3" i="10"/>
  <c r="H3" i="10" s="1"/>
  <c r="B11" i="5"/>
  <c r="P6" i="10" l="1"/>
  <c r="A9" i="11"/>
  <c r="A3" i="10"/>
  <c r="A4" i="10" s="1"/>
  <c r="A5" i="10" s="1"/>
  <c r="B12" i="5"/>
  <c r="D12" i="5"/>
  <c r="X3" i="5"/>
  <c r="C12" i="5"/>
  <c r="E12" i="5"/>
  <c r="P7" i="10" l="1"/>
  <c r="P8" i="10" s="1"/>
  <c r="P9" i="10" s="1"/>
  <c r="A10" i="11"/>
  <c r="AC1" i="5"/>
  <c r="Z140" i="5"/>
  <c r="Z145" i="5"/>
  <c r="Z3" i="5"/>
  <c r="AD3" i="5"/>
  <c r="P10" i="10" l="1"/>
  <c r="A11" i="11"/>
  <c r="A12" i="11" s="1"/>
  <c r="P11" i="10" l="1"/>
  <c r="A13" i="1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W4" i="5"/>
  <c r="AC3" i="5"/>
  <c r="P12" i="10" l="1"/>
  <c r="A14" i="11"/>
  <c r="A15" i="11" s="1"/>
  <c r="E4" i="6"/>
  <c r="P13" i="10" l="1"/>
  <c r="P14" i="10" s="1"/>
  <c r="P15" i="10" s="1"/>
  <c r="P16" i="10" s="1"/>
  <c r="P17" i="10" s="1"/>
  <c r="P18" i="10" s="1"/>
  <c r="A16" i="11"/>
  <c r="E5" i="6"/>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P19" i="10" l="1"/>
  <c r="P20" i="10" s="1"/>
  <c r="P21" i="10" s="1"/>
  <c r="P22" i="10" s="1"/>
  <c r="P23" i="10" s="1"/>
  <c r="P24" i="10" s="1"/>
  <c r="P25" i="10" s="1"/>
  <c r="P26" i="10" s="1"/>
  <c r="P27" i="10" s="1"/>
  <c r="P28" i="10" s="1"/>
  <c r="P29" i="10" s="1"/>
  <c r="P30" i="10" s="1"/>
  <c r="P31" i="10" s="1"/>
  <c r="P32" i="10" s="1"/>
  <c r="P33" i="10" s="1"/>
  <c r="P34" i="10" s="1"/>
  <c r="P35" i="10" s="1"/>
  <c r="P36" i="10" s="1"/>
  <c r="P37" i="10" s="1"/>
  <c r="P38" i="10" s="1"/>
  <c r="P39" i="10" s="1"/>
  <c r="P40" i="10" s="1"/>
  <c r="P41" i="10" s="1"/>
  <c r="P42" i="10" s="1"/>
  <c r="P43" i="10" s="1"/>
  <c r="P44" i="10" s="1"/>
  <c r="P45" i="10" s="1"/>
  <c r="P46" i="10" s="1"/>
  <c r="P47" i="10" s="1"/>
  <c r="P48" i="10" s="1"/>
  <c r="P49" i="10" s="1"/>
  <c r="A17" i="11"/>
  <c r="A18" i="11" s="1"/>
  <c r="E6" i="6"/>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P50" i="10" l="1"/>
  <c r="P51" i="10" s="1"/>
  <c r="P52" i="10" s="1"/>
  <c r="A19" i="1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20" i="11" l="1"/>
  <c r="A21" i="11" s="1"/>
  <c r="A22" i="11" s="1"/>
  <c r="A23" i="11" s="1"/>
  <c r="A24" i="11" s="1"/>
  <c r="A25" i="11" s="1"/>
  <c r="A26" i="11" s="1"/>
  <c r="A27" i="11" s="1"/>
  <c r="A28" i="11" s="1"/>
  <c r="E8" i="6"/>
  <c r="A5" i="6"/>
  <c r="A6" i="6" s="1"/>
  <c r="A7" i="6" s="1"/>
  <c r="P6" i="5"/>
  <c r="AB90" i="5"/>
  <c r="Z37" i="5"/>
  <c r="AB50" i="5"/>
  <c r="AA11" i="5"/>
  <c r="AA151" i="5"/>
  <c r="AB153" i="5"/>
  <c r="AC56" i="5"/>
  <c r="Z104" i="5"/>
  <c r="AC34" i="5"/>
  <c r="AC49" i="5"/>
  <c r="AC146" i="5"/>
  <c r="AC142" i="5"/>
  <c r="AB118" i="5"/>
  <c r="AA13" i="5"/>
  <c r="AB62" i="5"/>
  <c r="AA5" i="5"/>
  <c r="Z117" i="5"/>
  <c r="AC99" i="5"/>
  <c r="Z89" i="5"/>
  <c r="AD4" i="5"/>
  <c r="AB66" i="5"/>
  <c r="Z91" i="5"/>
  <c r="AB77" i="5"/>
  <c r="AD28" i="5"/>
  <c r="AD108" i="5"/>
  <c r="Z88" i="5"/>
  <c r="AC83" i="5"/>
  <c r="AD45" i="5"/>
  <c r="Z15" i="5"/>
  <c r="AB129" i="5"/>
  <c r="Z131" i="5"/>
  <c r="AC133" i="5"/>
  <c r="Z139" i="5"/>
  <c r="AC12" i="5"/>
  <c r="Z22" i="5"/>
  <c r="AD74" i="5"/>
  <c r="AB42" i="5"/>
  <c r="AA118" i="5"/>
  <c r="AB23" i="5"/>
  <c r="AC117" i="5"/>
  <c r="AC97" i="5"/>
  <c r="AD128" i="5"/>
  <c r="AA4" i="5"/>
  <c r="AA44" i="5"/>
  <c r="Z152" i="5"/>
  <c r="AA41" i="5"/>
  <c r="AB143" i="5"/>
  <c r="AC124" i="5"/>
  <c r="AC121" i="5"/>
  <c r="Z29" i="5"/>
  <c r="AA33" i="5"/>
  <c r="AB17" i="5"/>
  <c r="AC77" i="5"/>
  <c r="AB149" i="5"/>
  <c r="AA97" i="5"/>
  <c r="AA49" i="5"/>
  <c r="AD79" i="5"/>
  <c r="AA123" i="5"/>
  <c r="AB18" i="5"/>
  <c r="Z24" i="5"/>
  <c r="AB84" i="5"/>
  <c r="AD52" i="5"/>
  <c r="Z74" i="5"/>
  <c r="AC137" i="5"/>
  <c r="AD49" i="5"/>
  <c r="AD143" i="5"/>
  <c r="AD40" i="5"/>
  <c r="AA141" i="5"/>
  <c r="AB150" i="5"/>
  <c r="Z59" i="5"/>
  <c r="AC93" i="5"/>
  <c r="AD71" i="5"/>
  <c r="AC20" i="5"/>
  <c r="AC102" i="5"/>
  <c r="AA16" i="5"/>
  <c r="Z144" i="5"/>
  <c r="Z128" i="5"/>
  <c r="AA145" i="5"/>
  <c r="Z62" i="5"/>
  <c r="AB47" i="5"/>
  <c r="AB53" i="5"/>
  <c r="AB19" i="5"/>
  <c r="Z8" i="5"/>
  <c r="Z9" i="5"/>
  <c r="AD11" i="5"/>
  <c r="AC139" i="5"/>
  <c r="AD70" i="5"/>
  <c r="AB43" i="5"/>
  <c r="AC119" i="5"/>
  <c r="AB148" i="5"/>
  <c r="AD89" i="5"/>
  <c r="AB112" i="5"/>
  <c r="AA78" i="5"/>
  <c r="Z81" i="5"/>
  <c r="AC44" i="5"/>
  <c r="AD13" i="5"/>
  <c r="AD78" i="5"/>
  <c r="AD104" i="5"/>
  <c r="AC64" i="5"/>
  <c r="AC127" i="5"/>
  <c r="AB67" i="5"/>
  <c r="AB138" i="5"/>
  <c r="AC71" i="5"/>
  <c r="Z45" i="5"/>
  <c r="AB32" i="5"/>
  <c r="AB83" i="5"/>
  <c r="AD68" i="5"/>
  <c r="Z44" i="5"/>
  <c r="AA24" i="5"/>
  <c r="Z72" i="5"/>
  <c r="AA102" i="5"/>
  <c r="AD126" i="5"/>
  <c r="AC122" i="5"/>
  <c r="AA15" i="5"/>
  <c r="AC79" i="5"/>
  <c r="AB56" i="5"/>
  <c r="AD34" i="5"/>
  <c r="AC61" i="5"/>
  <c r="AA39" i="5"/>
  <c r="Z73" i="5"/>
  <c r="AA36" i="5"/>
  <c r="AA28" i="5"/>
  <c r="AC140" i="5"/>
  <c r="AC51" i="5"/>
  <c r="AC14" i="5"/>
  <c r="Z20" i="5"/>
  <c r="AC43" i="5"/>
  <c r="AD144" i="5"/>
  <c r="AB114" i="5"/>
  <c r="AB128" i="5"/>
  <c r="AB39" i="5"/>
  <c r="AC29" i="5"/>
  <c r="AB93" i="5"/>
  <c r="AD24" i="5"/>
  <c r="AA108" i="5"/>
  <c r="Z150" i="5"/>
  <c r="Z105" i="5"/>
  <c r="AD138" i="5"/>
  <c r="AC120" i="5"/>
  <c r="AB58" i="5"/>
  <c r="AA135" i="5"/>
  <c r="AD93" i="5"/>
  <c r="AB36" i="5"/>
  <c r="AA146" i="5"/>
  <c r="AA86" i="5"/>
  <c r="AB3" i="5"/>
  <c r="Z76" i="5"/>
  <c r="AA122" i="5"/>
  <c r="AD47" i="5"/>
  <c r="AD66" i="5"/>
  <c r="Z48" i="5"/>
  <c r="AC106" i="5"/>
  <c r="AC69" i="5"/>
  <c r="AA59" i="5"/>
  <c r="AB5" i="5"/>
  <c r="AD53" i="5"/>
  <c r="AA153" i="5"/>
  <c r="AA136" i="5"/>
  <c r="AC134" i="5"/>
  <c r="Z5" i="5"/>
  <c r="AD7" i="5"/>
  <c r="AD95" i="5"/>
  <c r="AA60" i="5"/>
  <c r="AD150" i="5"/>
  <c r="AC18" i="5"/>
  <c r="AD41" i="5"/>
  <c r="AC115" i="5"/>
  <c r="AC58" i="5"/>
  <c r="AC76" i="5"/>
  <c r="AB91" i="5"/>
  <c r="AA43" i="5"/>
  <c r="AA85" i="5"/>
  <c r="AD39" i="5"/>
  <c r="Z143" i="5"/>
  <c r="AC8" i="5"/>
  <c r="AC30" i="5"/>
  <c r="AC66" i="5"/>
  <c r="AD135" i="5"/>
  <c r="Z55" i="5"/>
  <c r="AA10" i="5"/>
  <c r="AB54" i="5"/>
  <c r="AD152" i="5"/>
  <c r="AA21" i="5"/>
  <c r="AD6" i="5"/>
  <c r="AD99" i="5"/>
  <c r="AC6" i="5"/>
  <c r="AC46" i="5"/>
  <c r="Z33" i="5"/>
  <c r="AA144" i="5"/>
  <c r="AA83" i="5"/>
  <c r="AB139" i="5"/>
  <c r="AD20" i="5"/>
  <c r="AC104" i="5"/>
  <c r="AC145" i="5"/>
  <c r="Z58" i="5"/>
  <c r="AD132" i="5"/>
  <c r="AA152" i="5"/>
  <c r="AC39" i="5"/>
  <c r="AD51" i="5"/>
  <c r="AC73" i="5"/>
  <c r="AD137" i="5"/>
  <c r="AB6" i="5"/>
  <c r="AA115" i="5"/>
  <c r="AD82" i="5"/>
  <c r="AD29" i="5"/>
  <c r="Z66" i="5"/>
  <c r="AD83" i="5"/>
  <c r="AC50" i="5"/>
  <c r="Z95" i="5"/>
  <c r="Z148" i="5"/>
  <c r="AC72" i="5"/>
  <c r="AA65" i="5"/>
  <c r="Z134" i="5"/>
  <c r="Z41" i="5"/>
  <c r="AC108" i="5"/>
  <c r="AD149" i="5"/>
  <c r="AC57" i="5"/>
  <c r="Z124" i="5"/>
  <c r="AD123" i="5"/>
  <c r="AD38" i="5"/>
  <c r="AC126" i="5"/>
  <c r="AA79" i="5"/>
  <c r="AC101" i="5"/>
  <c r="AA116" i="5"/>
  <c r="AA121" i="5"/>
  <c r="AD46" i="5"/>
  <c r="Z106" i="5"/>
  <c r="AB134" i="5"/>
  <c r="AD130" i="5"/>
  <c r="AA91" i="5"/>
  <c r="AA46" i="5"/>
  <c r="AB127" i="5"/>
  <c r="AC80" i="5"/>
  <c r="AC144" i="5"/>
  <c r="AC113" i="5"/>
  <c r="AB8" i="5"/>
  <c r="Z112" i="5"/>
  <c r="AD27" i="5"/>
  <c r="AA52" i="5"/>
  <c r="AD18" i="5"/>
  <c r="AD102" i="5"/>
  <c r="Z61" i="5"/>
  <c r="AC78" i="5"/>
  <c r="Z51" i="5"/>
  <c r="Z101" i="5"/>
  <c r="AA62" i="5"/>
  <c r="AD23" i="5"/>
  <c r="AA137" i="5"/>
  <c r="AA61" i="5"/>
  <c r="AB142" i="5"/>
  <c r="AD9" i="5"/>
  <c r="AB109" i="5"/>
  <c r="AB87" i="5"/>
  <c r="AA7" i="5"/>
  <c r="AD124" i="5"/>
  <c r="AB102" i="5"/>
  <c r="AA126" i="5"/>
  <c r="AA6" i="5"/>
  <c r="AC81" i="5"/>
  <c r="AB89" i="5"/>
  <c r="AB115" i="5"/>
  <c r="AD140" i="5"/>
  <c r="AB79" i="5"/>
  <c r="AC53" i="5"/>
  <c r="Z147" i="5"/>
  <c r="Z77" i="5"/>
  <c r="AC32" i="5"/>
  <c r="Z141" i="5"/>
  <c r="AC128" i="5"/>
  <c r="Z21" i="5"/>
  <c r="AA127" i="5"/>
  <c r="AB81" i="5"/>
  <c r="AB70" i="5"/>
  <c r="Z130" i="5"/>
  <c r="AA18" i="5"/>
  <c r="AD25" i="5"/>
  <c r="Z92" i="5"/>
  <c r="AB63" i="5"/>
  <c r="AB94" i="5"/>
  <c r="AA140" i="5"/>
  <c r="AD31" i="5"/>
  <c r="AA26" i="5"/>
  <c r="AD36" i="5"/>
  <c r="AD26" i="5"/>
  <c r="AC17" i="5"/>
  <c r="AC94" i="5"/>
  <c r="AB145" i="5"/>
  <c r="AB99" i="5"/>
  <c r="Z115" i="5"/>
  <c r="AD125" i="5"/>
  <c r="Z10" i="5"/>
  <c r="AB26" i="5"/>
  <c r="Z103" i="5"/>
  <c r="Z67" i="5"/>
  <c r="Z102" i="5"/>
  <c r="AD121" i="5"/>
  <c r="AB101" i="5"/>
  <c r="AC31" i="5"/>
  <c r="AB29" i="5"/>
  <c r="Z94" i="5"/>
  <c r="AC11" i="5"/>
  <c r="AD114" i="5"/>
  <c r="AB88" i="5"/>
  <c r="AD54" i="5"/>
  <c r="AB14" i="5"/>
  <c r="AD21" i="5"/>
  <c r="AB100" i="5"/>
  <c r="Z53" i="5"/>
  <c r="AA88" i="5"/>
  <c r="AA90" i="5"/>
  <c r="Z146" i="5"/>
  <c r="Z6" i="5"/>
  <c r="AC95" i="5"/>
  <c r="AA119" i="5"/>
  <c r="AB147" i="5"/>
  <c r="Z98" i="5"/>
  <c r="Z83" i="5"/>
  <c r="AD136" i="5"/>
  <c r="AC107" i="5"/>
  <c r="AB71" i="5"/>
  <c r="AB44" i="5"/>
  <c r="Z25" i="5"/>
  <c r="AB131" i="5"/>
  <c r="AD67" i="5"/>
  <c r="AB35" i="5"/>
  <c r="AC151" i="5"/>
  <c r="AD120" i="5"/>
  <c r="AD77" i="5"/>
  <c r="AD131" i="5"/>
  <c r="AB97" i="5"/>
  <c r="Z135" i="5"/>
  <c r="AB151" i="5"/>
  <c r="AB140" i="5"/>
  <c r="Z137" i="5"/>
  <c r="AC62" i="5"/>
  <c r="AD59" i="5"/>
  <c r="AB74" i="5"/>
  <c r="AC123" i="5"/>
  <c r="AA50" i="5"/>
  <c r="AB13" i="5"/>
  <c r="AB103" i="5"/>
  <c r="AA68" i="5"/>
  <c r="Z96" i="5"/>
  <c r="AD73" i="5"/>
  <c r="AB113" i="5"/>
  <c r="AD17" i="5"/>
  <c r="AA27" i="5"/>
  <c r="AD80" i="5"/>
  <c r="AD15" i="5"/>
  <c r="AC70" i="5"/>
  <c r="AC91" i="5"/>
  <c r="AD84" i="5"/>
  <c r="AD50" i="5"/>
  <c r="AA51" i="5"/>
  <c r="AB64" i="5"/>
  <c r="AA107" i="5"/>
  <c r="AC100" i="5"/>
  <c r="AB123" i="5"/>
  <c r="AA143" i="5"/>
  <c r="Z111" i="5"/>
  <c r="AD148" i="5"/>
  <c r="AC153" i="5"/>
  <c r="AD86" i="5"/>
  <c r="AB73" i="5"/>
  <c r="AB95" i="5"/>
  <c r="AC4" i="5"/>
  <c r="AC68" i="5"/>
  <c r="AC27" i="5"/>
  <c r="AA99" i="5"/>
  <c r="AD63" i="5"/>
  <c r="AA63" i="5"/>
  <c r="AD127" i="5"/>
  <c r="AC87" i="5"/>
  <c r="AB108" i="5"/>
  <c r="AC114" i="5"/>
  <c r="AA89" i="5"/>
  <c r="AA92" i="5"/>
  <c r="AA9" i="5"/>
  <c r="AD56" i="5"/>
  <c r="Z85" i="5"/>
  <c r="AA95" i="5"/>
  <c r="AB119" i="5"/>
  <c r="AB4" i="5"/>
  <c r="AD12" i="5"/>
  <c r="AC132" i="5"/>
  <c r="AD35" i="5"/>
  <c r="AD113" i="5"/>
  <c r="AA48" i="5"/>
  <c r="AB110" i="5"/>
  <c r="AA125" i="5"/>
  <c r="AA37" i="5"/>
  <c r="AD81" i="5"/>
  <c r="AB117" i="5"/>
  <c r="AD61" i="5"/>
  <c r="AD19" i="5"/>
  <c r="Z125" i="5"/>
  <c r="AA80" i="5"/>
  <c r="AA128" i="5"/>
  <c r="Z12" i="5"/>
  <c r="AB80" i="5"/>
  <c r="AA150" i="5"/>
  <c r="Z11" i="5"/>
  <c r="AA112" i="5"/>
  <c r="AC111" i="5"/>
  <c r="AA54" i="5"/>
  <c r="AD10" i="5"/>
  <c r="Z28" i="5"/>
  <c r="AD142" i="5"/>
  <c r="AA81" i="5"/>
  <c r="Z40" i="5"/>
  <c r="AA17" i="5"/>
  <c r="AB27" i="5"/>
  <c r="AD72" i="5"/>
  <c r="AB24" i="5"/>
  <c r="Z54" i="5"/>
  <c r="Z123" i="5"/>
  <c r="AD147" i="5"/>
  <c r="AD5" i="5"/>
  <c r="Z52" i="5"/>
  <c r="AD112" i="5"/>
  <c r="Z16" i="5"/>
  <c r="Z18" i="5"/>
  <c r="AD118" i="5"/>
  <c r="Z60" i="5"/>
  <c r="Z100" i="5"/>
  <c r="Z39" i="5"/>
  <c r="AA47" i="5"/>
  <c r="AD134" i="5"/>
  <c r="AC116" i="5"/>
  <c r="AC118" i="5"/>
  <c r="AB121" i="5"/>
  <c r="AD64" i="5"/>
  <c r="AD55" i="5"/>
  <c r="AB38" i="5"/>
  <c r="AA96" i="5"/>
  <c r="AB55" i="5"/>
  <c r="AD119" i="5"/>
  <c r="AB45" i="5"/>
  <c r="Z142" i="5"/>
  <c r="AC131" i="5"/>
  <c r="Z13" i="5"/>
  <c r="AC7" i="5"/>
  <c r="Z116" i="5"/>
  <c r="Z149" i="5"/>
  <c r="AA133" i="5"/>
  <c r="Z23" i="5"/>
  <c r="AC13" i="5"/>
  <c r="AA67" i="5"/>
  <c r="Z86" i="5"/>
  <c r="Z32" i="5"/>
  <c r="AC85" i="5"/>
  <c r="AD100" i="5"/>
  <c r="AC63" i="5"/>
  <c r="AA35" i="5"/>
  <c r="AD42" i="5"/>
  <c r="Z57" i="5"/>
  <c r="Z65" i="5"/>
  <c r="Z127" i="5"/>
  <c r="AD90" i="5"/>
  <c r="Z49" i="5"/>
  <c r="Z122" i="5"/>
  <c r="Z118" i="5"/>
  <c r="AC129" i="5"/>
  <c r="Z26" i="5"/>
  <c r="AB12" i="5"/>
  <c r="AC75" i="5"/>
  <c r="Z35" i="5"/>
  <c r="AA20" i="5"/>
  <c r="AA53" i="5"/>
  <c r="AA105" i="5"/>
  <c r="AB86" i="5"/>
  <c r="Z56" i="5"/>
  <c r="AB137" i="5"/>
  <c r="AB75" i="5"/>
  <c r="AA149" i="5"/>
  <c r="AA72" i="5"/>
  <c r="AC148" i="5"/>
  <c r="AA139" i="5"/>
  <c r="AA130" i="5"/>
  <c r="AA70" i="5"/>
  <c r="Z47" i="5"/>
  <c r="Z71" i="5"/>
  <c r="Z31" i="5"/>
  <c r="AB133" i="5"/>
  <c r="AA147" i="5"/>
  <c r="AC90" i="5"/>
  <c r="AB78" i="5"/>
  <c r="AD96" i="5"/>
  <c r="AC54" i="5"/>
  <c r="AC150" i="5"/>
  <c r="AA71" i="5"/>
  <c r="AC25" i="5"/>
  <c r="Z93" i="5"/>
  <c r="AA110" i="5"/>
  <c r="AC52" i="5"/>
  <c r="AD110" i="5"/>
  <c r="AA101" i="5"/>
  <c r="Z99" i="5"/>
  <c r="AC19" i="5"/>
  <c r="AC96" i="5"/>
  <c r="AA84" i="5"/>
  <c r="AD109" i="5"/>
  <c r="AD14" i="5"/>
  <c r="AA142" i="5"/>
  <c r="Z119" i="5"/>
  <c r="AB126" i="5"/>
  <c r="Z50" i="5"/>
  <c r="AD106" i="5"/>
  <c r="AA103" i="5"/>
  <c r="AB125" i="5"/>
  <c r="AC28" i="5"/>
  <c r="AC135" i="5"/>
  <c r="Z34" i="5"/>
  <c r="AA45" i="5"/>
  <c r="AB31" i="5"/>
  <c r="AB25" i="5"/>
  <c r="AB136" i="5"/>
  <c r="AC65" i="5"/>
  <c r="AC21" i="5"/>
  <c r="AA98" i="5"/>
  <c r="AB120" i="5"/>
  <c r="AB124" i="5"/>
  <c r="Z46" i="5"/>
  <c r="AA132" i="5"/>
  <c r="AD139" i="5"/>
  <c r="AC152" i="5"/>
  <c r="AC67" i="5"/>
  <c r="AD60" i="5"/>
  <c r="AB34" i="5"/>
  <c r="AD8" i="5"/>
  <c r="AC143" i="5"/>
  <c r="AB22" i="5"/>
  <c r="Z14" i="5"/>
  <c r="AA148" i="5"/>
  <c r="AB111" i="5"/>
  <c r="AA76" i="5"/>
  <c r="Z126" i="5"/>
  <c r="AD129" i="5"/>
  <c r="Z19" i="5"/>
  <c r="AD151" i="5"/>
  <c r="AA64" i="5"/>
  <c r="AA38" i="5"/>
  <c r="AD62" i="5"/>
  <c r="AD57" i="5"/>
  <c r="Z79" i="5"/>
  <c r="AC84" i="5"/>
  <c r="AC141" i="5"/>
  <c r="AC60" i="5"/>
  <c r="AD122" i="5"/>
  <c r="Z136" i="5"/>
  <c r="Z133" i="5"/>
  <c r="Z87" i="5"/>
  <c r="AD107" i="5"/>
  <c r="AB65" i="5"/>
  <c r="Z113" i="5"/>
  <c r="AC47" i="5"/>
  <c r="AA100" i="5"/>
  <c r="Z132" i="5"/>
  <c r="AB16" i="5"/>
  <c r="AD153" i="5"/>
  <c r="AB20" i="5"/>
  <c r="AD98" i="5"/>
  <c r="AD65" i="5"/>
  <c r="Z108" i="5"/>
  <c r="AA94" i="5"/>
  <c r="Z107" i="5"/>
  <c r="AB41" i="5"/>
  <c r="AA30" i="5"/>
  <c r="AB130" i="5"/>
  <c r="AA23" i="5"/>
  <c r="AD105" i="5"/>
  <c r="AB116" i="5"/>
  <c r="AA69" i="5"/>
  <c r="Z27" i="5"/>
  <c r="AD76" i="5"/>
  <c r="AC92" i="5"/>
  <c r="AA113" i="5"/>
  <c r="Z68" i="5"/>
  <c r="AA40" i="5"/>
  <c r="Z90" i="5"/>
  <c r="AA12" i="5"/>
  <c r="AC55" i="5"/>
  <c r="AB10" i="5"/>
  <c r="AA87" i="5"/>
  <c r="Z43" i="5"/>
  <c r="AC24" i="5"/>
  <c r="AA114" i="5"/>
  <c r="AC105" i="5"/>
  <c r="Z17" i="5"/>
  <c r="AD32" i="5"/>
  <c r="AB61" i="5"/>
  <c r="AA34" i="5"/>
  <c r="Z121" i="5"/>
  <c r="AB107" i="5"/>
  <c r="AA104" i="5"/>
  <c r="AB57" i="5"/>
  <c r="AD22" i="5"/>
  <c r="AB85" i="5"/>
  <c r="AB60" i="5"/>
  <c r="AC15" i="5"/>
  <c r="Z38" i="5"/>
  <c r="AB7" i="5"/>
  <c r="AC149" i="5"/>
  <c r="AA32" i="5"/>
  <c r="AD30" i="5"/>
  <c r="AC110" i="5"/>
  <c r="AD88" i="5"/>
  <c r="AB76" i="5"/>
  <c r="Z110" i="5"/>
  <c r="AB46" i="5"/>
  <c r="Z114" i="5"/>
  <c r="AC138" i="5"/>
  <c r="AB152" i="5"/>
  <c r="AC82" i="5"/>
  <c r="AC103" i="5"/>
  <c r="Z80" i="5"/>
  <c r="AD146" i="5"/>
  <c r="Z120" i="5"/>
  <c r="AB11" i="5"/>
  <c r="AB69" i="5"/>
  <c r="Z129" i="5"/>
  <c r="AB40" i="5"/>
  <c r="AA106" i="5"/>
  <c r="AB106" i="5"/>
  <c r="AB28" i="5"/>
  <c r="AC35" i="5"/>
  <c r="AD101" i="5"/>
  <c r="AB30" i="5"/>
  <c r="AB15" i="5"/>
  <c r="AC5" i="5"/>
  <c r="AA82" i="5"/>
  <c r="AB72" i="5"/>
  <c r="Z153" i="5"/>
  <c r="AA73" i="5"/>
  <c r="AD94" i="5"/>
  <c r="Z75" i="5"/>
  <c r="AC23" i="5"/>
  <c r="Z78" i="5"/>
  <c r="AD145" i="5"/>
  <c r="AD91" i="5"/>
  <c r="Z69" i="5"/>
  <c r="AC86" i="5"/>
  <c r="Z70" i="5"/>
  <c r="Z42" i="5"/>
  <c r="AD44" i="5"/>
  <c r="AA74" i="5"/>
  <c r="AA120" i="5"/>
  <c r="AB48" i="5"/>
  <c r="Z97" i="5"/>
  <c r="AC59" i="5"/>
  <c r="AA75" i="5"/>
  <c r="AC136" i="5"/>
  <c r="AC147" i="5"/>
  <c r="AB98" i="5"/>
  <c r="AA129" i="5"/>
  <c r="AD141" i="5"/>
  <c r="AA57" i="5"/>
  <c r="AD85" i="5"/>
  <c r="AA22" i="5"/>
  <c r="AB144" i="5"/>
  <c r="AA66" i="5"/>
  <c r="Z4" i="5"/>
  <c r="AA42" i="5"/>
  <c r="AB82" i="5"/>
  <c r="AD92" i="5"/>
  <c r="AC109" i="5"/>
  <c r="AD97" i="5"/>
  <c r="AA14" i="5"/>
  <c r="AA124" i="5"/>
  <c r="AC38" i="5"/>
  <c r="AA58" i="5"/>
  <c r="AB92" i="5"/>
  <c r="AA93" i="5"/>
  <c r="AC130" i="5"/>
  <c r="AC74" i="5"/>
  <c r="AD33" i="5"/>
  <c r="AB49" i="5"/>
  <c r="AD16" i="5"/>
  <c r="AD117" i="5"/>
  <c r="AC33" i="5"/>
  <c r="AC26" i="5"/>
  <c r="AD115" i="5"/>
  <c r="AD75" i="5"/>
  <c r="AB146" i="5"/>
  <c r="Z30" i="5"/>
  <c r="AA117" i="5"/>
  <c r="Z109" i="5"/>
  <c r="AD37" i="5"/>
  <c r="AA111" i="5"/>
  <c r="AB68" i="5"/>
  <c r="AC98" i="5"/>
  <c r="AD116" i="5"/>
  <c r="Z7" i="5"/>
  <c r="AA29" i="5"/>
  <c r="AC36" i="5"/>
  <c r="AD43" i="5"/>
  <c r="AC112" i="5"/>
  <c r="AC40" i="5"/>
  <c r="AA131" i="5"/>
  <c r="AD133" i="5"/>
  <c r="Z84" i="5"/>
  <c r="AB104" i="5"/>
  <c r="AB132" i="5"/>
  <c r="AB105" i="5"/>
  <c r="AA19" i="5"/>
  <c r="Z138" i="5"/>
  <c r="AA3" i="5"/>
  <c r="AB141" i="5"/>
  <c r="AA56" i="5"/>
  <c r="AA25" i="5"/>
  <c r="Z36" i="5"/>
  <c r="AA109" i="5"/>
  <c r="AA31" i="5"/>
  <c r="Z63" i="5"/>
  <c r="AC45" i="5"/>
  <c r="AC89" i="5"/>
  <c r="AA134" i="5"/>
  <c r="AB59" i="5"/>
  <c r="AC22" i="5"/>
  <c r="AD58" i="5"/>
  <c r="AA77" i="5"/>
  <c r="AC125" i="5"/>
  <c r="AB52" i="5"/>
  <c r="AA55" i="5"/>
  <c r="AD111" i="5"/>
  <c r="AC42" i="5"/>
  <c r="AA138" i="5"/>
  <c r="AD103" i="5"/>
  <c r="AC16" i="5"/>
  <c r="AC88" i="5"/>
  <c r="Z64" i="5"/>
  <c r="AD48" i="5"/>
  <c r="Z151" i="5"/>
  <c r="AD87" i="5"/>
  <c r="AC48" i="5"/>
  <c r="AB135" i="5"/>
  <c r="AC37" i="5"/>
  <c r="AB51" i="5"/>
  <c r="AB122" i="5"/>
  <c r="AD69" i="5"/>
  <c r="AB21" i="5"/>
  <c r="AB96" i="5"/>
  <c r="AC10" i="5"/>
  <c r="Z82" i="5"/>
  <c r="AC9" i="5"/>
  <c r="AB9" i="5"/>
  <c r="AB33" i="5"/>
  <c r="AB37" i="5"/>
  <c r="AC41" i="5"/>
  <c r="AA8" i="5"/>
  <c r="E9" i="6" l="1"/>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K28" i="5" s="1"/>
  <c r="L29" i="5"/>
  <c r="L30" i="5"/>
  <c r="L31" i="5"/>
  <c r="K31" i="5" s="1"/>
  <c r="L32" i="5"/>
  <c r="L33" i="5"/>
  <c r="K33" i="5" s="1"/>
  <c r="L34" i="5"/>
  <c r="L35" i="5"/>
  <c r="L36" i="5"/>
  <c r="K36" i="5" s="1"/>
  <c r="L37" i="5"/>
  <c r="K37" i="5" s="1"/>
  <c r="L38" i="5"/>
  <c r="L39" i="5"/>
  <c r="K39" i="5" s="1"/>
  <c r="L40" i="5"/>
  <c r="L41" i="5"/>
  <c r="K41" i="5" s="1"/>
  <c r="L42" i="5"/>
  <c r="L43" i="5"/>
  <c r="L44" i="5"/>
  <c r="K44" i="5" s="1"/>
  <c r="L45" i="5"/>
  <c r="L46" i="5"/>
  <c r="K46" i="5" s="1"/>
  <c r="L47" i="5"/>
  <c r="K47" i="5" s="1"/>
  <c r="L48" i="5"/>
  <c r="L49" i="5"/>
  <c r="K49" i="5" s="1"/>
  <c r="L50" i="5"/>
  <c r="L51" i="5"/>
  <c r="L52" i="5"/>
  <c r="L53" i="5"/>
  <c r="L54" i="5"/>
  <c r="L55" i="5"/>
  <c r="L56" i="5"/>
  <c r="L3" i="5"/>
  <c r="K3" i="5" s="1"/>
  <c r="B4" i="5"/>
  <c r="B5" i="5"/>
  <c r="B6" i="5"/>
  <c r="B7" i="5"/>
  <c r="B8" i="5"/>
  <c r="B9"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F10" i="5"/>
  <c r="F15" i="5"/>
  <c r="F18" i="5"/>
  <c r="F22" i="5"/>
  <c r="F23" i="5"/>
  <c r="F31" i="5"/>
  <c r="F33" i="5"/>
  <c r="F34" i="5"/>
  <c r="F39" i="5"/>
  <c r="F42" i="5"/>
  <c r="F47" i="5"/>
  <c r="F50" i="5"/>
  <c r="J9" i="5"/>
  <c r="E45" i="5"/>
  <c r="J3" i="5"/>
  <c r="E30" i="5"/>
  <c r="O35" i="5"/>
  <c r="J22" i="5"/>
  <c r="J30" i="5"/>
  <c r="E54" i="5"/>
  <c r="E13" i="5"/>
  <c r="O17" i="5"/>
  <c r="J37" i="5"/>
  <c r="J13" i="5"/>
  <c r="J49" i="5"/>
  <c r="D6" i="5"/>
  <c r="O8" i="5"/>
  <c r="E9" i="5"/>
  <c r="E48" i="5"/>
  <c r="O3" i="5"/>
  <c r="J7" i="5"/>
  <c r="E34" i="5"/>
  <c r="O50" i="5"/>
  <c r="O47" i="5"/>
  <c r="E27" i="5"/>
  <c r="E29" i="5"/>
  <c r="O38" i="5"/>
  <c r="O27" i="5"/>
  <c r="E23" i="5"/>
  <c r="O5" i="5"/>
  <c r="J39" i="5"/>
  <c r="E4" i="5"/>
  <c r="E7" i="5"/>
  <c r="J48" i="5"/>
  <c r="O11" i="5"/>
  <c r="O33" i="5"/>
  <c r="J31" i="5"/>
  <c r="J47" i="5"/>
  <c r="J34" i="5"/>
  <c r="E17" i="5"/>
  <c r="O22" i="5"/>
  <c r="J14" i="5"/>
  <c r="E18" i="5"/>
  <c r="E46" i="5"/>
  <c r="D7" i="5"/>
  <c r="J41" i="5"/>
  <c r="E50" i="5"/>
  <c r="O6" i="5"/>
  <c r="D5" i="5"/>
  <c r="E20" i="5"/>
  <c r="E36" i="5"/>
  <c r="E47" i="5"/>
  <c r="O32" i="5"/>
  <c r="O34" i="5"/>
  <c r="E25" i="5"/>
  <c r="E35" i="5"/>
  <c r="E16" i="5"/>
  <c r="E43" i="5"/>
  <c r="E14" i="5"/>
  <c r="O41" i="5"/>
  <c r="O7" i="5"/>
  <c r="J45" i="5"/>
  <c r="O25" i="5"/>
  <c r="E51" i="5"/>
  <c r="E41" i="5"/>
  <c r="J40" i="5"/>
  <c r="E3" i="5"/>
  <c r="O15" i="5"/>
  <c r="E53" i="5"/>
  <c r="E42" i="5"/>
  <c r="O23" i="5"/>
  <c r="O52" i="5"/>
  <c r="E33" i="5"/>
  <c r="E5" i="5"/>
  <c r="J46" i="5"/>
  <c r="J8" i="5"/>
  <c r="O44" i="5"/>
  <c r="J44" i="5"/>
  <c r="E21" i="5"/>
  <c r="O40" i="5"/>
  <c r="O28" i="5"/>
  <c r="C5" i="5"/>
  <c r="E31" i="5"/>
  <c r="E55" i="5"/>
  <c r="J18" i="5"/>
  <c r="J33" i="5"/>
  <c r="J42" i="5"/>
  <c r="E56" i="5"/>
  <c r="J11" i="5"/>
  <c r="E6" i="5"/>
  <c r="O43" i="5"/>
  <c r="O26" i="5"/>
  <c r="O16" i="5"/>
  <c r="O36" i="5"/>
  <c r="J6" i="5"/>
  <c r="E44" i="5"/>
  <c r="D4" i="5"/>
  <c r="E39" i="5"/>
  <c r="O51" i="5"/>
  <c r="J10" i="5"/>
  <c r="J26" i="5"/>
  <c r="E19" i="5"/>
  <c r="O54" i="5"/>
  <c r="J28" i="5"/>
  <c r="J16" i="5"/>
  <c r="J38" i="5"/>
  <c r="E10" i="5"/>
  <c r="O21" i="5"/>
  <c r="J24" i="5"/>
  <c r="C3" i="5"/>
  <c r="O4" i="5"/>
  <c r="E8" i="5"/>
  <c r="O45" i="5"/>
  <c r="D11" i="5"/>
  <c r="O37" i="5"/>
  <c r="J19" i="5"/>
  <c r="J23" i="5"/>
  <c r="J5" i="5"/>
  <c r="O55" i="5"/>
  <c r="O42" i="5"/>
  <c r="O30" i="5"/>
  <c r="E40" i="5"/>
  <c r="O46" i="5"/>
  <c r="J20" i="5"/>
  <c r="E24" i="5"/>
  <c r="O29" i="5"/>
  <c r="J15" i="5"/>
  <c r="O12" i="5"/>
  <c r="E49" i="5"/>
  <c r="O48" i="5"/>
  <c r="O18" i="5"/>
  <c r="O10" i="5"/>
  <c r="E15" i="5"/>
  <c r="E22" i="5"/>
  <c r="O24" i="5"/>
  <c r="J12" i="5"/>
  <c r="J17" i="5"/>
  <c r="J25" i="5"/>
  <c r="J4" i="5"/>
  <c r="E26" i="5"/>
  <c r="J43" i="5"/>
  <c r="E11" i="5"/>
  <c r="O56" i="5"/>
  <c r="D3" i="5"/>
  <c r="O14" i="5"/>
  <c r="O19" i="5"/>
  <c r="E38" i="5"/>
  <c r="O31" i="5"/>
  <c r="O39" i="5"/>
  <c r="E52" i="5"/>
  <c r="O20" i="5"/>
  <c r="O13" i="5"/>
  <c r="J32" i="5"/>
  <c r="J29" i="5"/>
  <c r="J35" i="5"/>
  <c r="J21" i="5"/>
  <c r="O53" i="5"/>
  <c r="E37" i="5"/>
  <c r="E32" i="5"/>
  <c r="J27" i="5"/>
  <c r="J50" i="5"/>
  <c r="J36" i="5"/>
  <c r="O49" i="5"/>
  <c r="E28" i="5"/>
  <c r="O9" i="5"/>
  <c r="E13" i="6" l="1"/>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4" i="3" l="1"/>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X63" i="5"/>
  <c r="X14" i="5"/>
  <c r="M22" i="5"/>
  <c r="T135" i="5"/>
  <c r="X149" i="5"/>
  <c r="X59" i="5"/>
  <c r="V143" i="5"/>
  <c r="H30" i="5"/>
  <c r="U149" i="5"/>
  <c r="W58" i="5"/>
  <c r="V147" i="5"/>
  <c r="V126" i="5"/>
  <c r="T44" i="5"/>
  <c r="W27" i="5"/>
  <c r="X27" i="5"/>
  <c r="T71" i="5"/>
  <c r="W45" i="5"/>
  <c r="I35" i="5"/>
  <c r="M33" i="5"/>
  <c r="W19" i="5"/>
  <c r="W91" i="5"/>
  <c r="U125" i="5"/>
  <c r="V108" i="5"/>
  <c r="M18" i="5"/>
  <c r="W68" i="5"/>
  <c r="V48" i="5"/>
  <c r="N29" i="5"/>
  <c r="C9" i="5"/>
  <c r="T58" i="5"/>
  <c r="U64" i="5"/>
  <c r="V86" i="5"/>
  <c r="I24" i="5"/>
  <c r="U23" i="5"/>
  <c r="T141" i="5"/>
  <c r="U21" i="5"/>
  <c r="W41" i="5"/>
  <c r="W61" i="5"/>
  <c r="T45" i="5"/>
  <c r="T36" i="5"/>
  <c r="V102" i="5"/>
  <c r="X109" i="5"/>
  <c r="U151" i="5"/>
  <c r="U106" i="5"/>
  <c r="X102" i="5"/>
  <c r="X67" i="5"/>
  <c r="U120" i="5"/>
  <c r="T123" i="5"/>
  <c r="V42" i="5"/>
  <c r="U4" i="5"/>
  <c r="V50" i="5"/>
  <c r="X22" i="5"/>
  <c r="V11" i="5"/>
  <c r="U143" i="5"/>
  <c r="W119" i="5"/>
  <c r="M44" i="5"/>
  <c r="V7" i="5"/>
  <c r="T119" i="5"/>
  <c r="W36" i="5"/>
  <c r="N47" i="5"/>
  <c r="T70" i="5"/>
  <c r="W12" i="5"/>
  <c r="X144" i="5"/>
  <c r="V56" i="5"/>
  <c r="T14" i="5"/>
  <c r="T126" i="5"/>
  <c r="I29" i="5"/>
  <c r="C40" i="5"/>
  <c r="X125" i="5"/>
  <c r="N19" i="5"/>
  <c r="U9" i="5"/>
  <c r="T51" i="5"/>
  <c r="I19" i="5"/>
  <c r="T89" i="5"/>
  <c r="H5" i="5"/>
  <c r="X92" i="5"/>
  <c r="D41" i="5"/>
  <c r="W55" i="5"/>
  <c r="W89" i="5"/>
  <c r="X83" i="5"/>
  <c r="M23" i="5"/>
  <c r="T8" i="5"/>
  <c r="M26" i="5"/>
  <c r="U5" i="5"/>
  <c r="T147" i="5"/>
  <c r="U83" i="5"/>
  <c r="X50" i="5"/>
  <c r="V129" i="5"/>
  <c r="I45" i="5"/>
  <c r="N26" i="5"/>
  <c r="U101" i="5"/>
  <c r="T125" i="5"/>
  <c r="U127" i="5"/>
  <c r="U47" i="5"/>
  <c r="N22" i="5"/>
  <c r="W40" i="5"/>
  <c r="W100" i="5"/>
  <c r="U70" i="5"/>
  <c r="M30" i="5"/>
  <c r="W78" i="5"/>
  <c r="W131" i="5"/>
  <c r="V144" i="5"/>
  <c r="V122" i="5"/>
  <c r="V57" i="5"/>
  <c r="N44" i="5"/>
  <c r="U122" i="5"/>
  <c r="V41" i="5"/>
  <c r="T84" i="5"/>
  <c r="N35" i="5"/>
  <c r="I46" i="5"/>
  <c r="T76" i="5"/>
  <c r="X38" i="5"/>
  <c r="M20" i="5"/>
  <c r="U53" i="5"/>
  <c r="W82" i="5"/>
  <c r="X43" i="5"/>
  <c r="X45" i="5"/>
  <c r="H15" i="5"/>
  <c r="V52" i="5"/>
  <c r="U129" i="5"/>
  <c r="M10" i="5"/>
  <c r="T34" i="5"/>
  <c r="V97" i="5"/>
  <c r="H23" i="5"/>
  <c r="I23" i="5"/>
  <c r="U59" i="5"/>
  <c r="U99" i="5"/>
  <c r="T24" i="5"/>
  <c r="M50" i="5"/>
  <c r="V133" i="5"/>
  <c r="W14" i="5"/>
  <c r="D30" i="5"/>
  <c r="V153" i="5"/>
  <c r="T138" i="5"/>
  <c r="N28" i="5"/>
  <c r="U11" i="5"/>
  <c r="W125" i="5"/>
  <c r="I4" i="5"/>
  <c r="X42" i="5"/>
  <c r="U85" i="5"/>
  <c r="V53" i="5"/>
  <c r="I48" i="5"/>
  <c r="V78" i="5"/>
  <c r="T7" i="5"/>
  <c r="X136" i="5"/>
  <c r="T118" i="5"/>
  <c r="C50" i="5"/>
  <c r="U117" i="5"/>
  <c r="X76" i="5"/>
  <c r="W127" i="5"/>
  <c r="W49" i="5"/>
  <c r="M5" i="5"/>
  <c r="T93" i="5"/>
  <c r="U52" i="5"/>
  <c r="X126" i="5"/>
  <c r="U121" i="5"/>
  <c r="X108" i="5"/>
  <c r="V71" i="5"/>
  <c r="X11" i="5"/>
  <c r="D52" i="5"/>
  <c r="U147" i="5"/>
  <c r="X26" i="5"/>
  <c r="T47" i="5"/>
  <c r="U148" i="5"/>
  <c r="T61" i="5"/>
  <c r="U140" i="5"/>
  <c r="X18" i="5"/>
  <c r="W54" i="5"/>
  <c r="W129" i="5"/>
  <c r="C45" i="5"/>
  <c r="T48" i="5"/>
  <c r="U84" i="5"/>
  <c r="X137" i="5"/>
  <c r="M16" i="5"/>
  <c r="T75" i="5"/>
  <c r="T62" i="5"/>
  <c r="V59" i="5"/>
  <c r="C18" i="5"/>
  <c r="T59" i="5"/>
  <c r="D8" i="5"/>
  <c r="W76" i="5"/>
  <c r="U39" i="5"/>
  <c r="X77" i="5"/>
  <c r="T122" i="5"/>
  <c r="T33" i="5"/>
  <c r="V28" i="5"/>
  <c r="X131" i="5"/>
  <c r="I10" i="5"/>
  <c r="V119" i="5"/>
  <c r="I27" i="5"/>
  <c r="M36" i="5"/>
  <c r="U65" i="5"/>
  <c r="M27" i="5"/>
  <c r="T91" i="5"/>
  <c r="V34" i="5"/>
  <c r="M39" i="5"/>
  <c r="T87" i="5"/>
  <c r="X66" i="5"/>
  <c r="W70" i="5"/>
  <c r="H6" i="5"/>
  <c r="W86" i="5"/>
  <c r="T109" i="5"/>
  <c r="X140" i="5"/>
  <c r="U37" i="5"/>
  <c r="T12" i="5"/>
  <c r="T115" i="5"/>
  <c r="T25" i="5"/>
  <c r="U50" i="5"/>
  <c r="W69" i="5"/>
  <c r="I50" i="5"/>
  <c r="W141" i="5"/>
  <c r="T23" i="5"/>
  <c r="W15" i="5"/>
  <c r="H44" i="5"/>
  <c r="C35" i="5"/>
  <c r="W56" i="5"/>
  <c r="W85" i="5"/>
  <c r="U134" i="5"/>
  <c r="V117" i="5"/>
  <c r="U109" i="5"/>
  <c r="N5" i="5"/>
  <c r="V76" i="5"/>
  <c r="H22" i="5"/>
  <c r="W26" i="5"/>
  <c r="U18" i="5"/>
  <c r="W33" i="5"/>
  <c r="W73" i="5"/>
  <c r="T19" i="5"/>
  <c r="V35" i="5"/>
  <c r="T28" i="5"/>
  <c r="W121" i="5"/>
  <c r="X139" i="5"/>
  <c r="M56" i="5"/>
  <c r="T31" i="5"/>
  <c r="U77" i="5"/>
  <c r="X138" i="5"/>
  <c r="U13" i="5"/>
  <c r="V142" i="5"/>
  <c r="X81" i="5"/>
  <c r="T69" i="5"/>
  <c r="N39" i="5"/>
  <c r="X150" i="5"/>
  <c r="X79" i="5"/>
  <c r="H28" i="5"/>
  <c r="X6" i="5"/>
  <c r="I42" i="5"/>
  <c r="V69" i="5"/>
  <c r="T55" i="5"/>
  <c r="X114" i="5"/>
  <c r="N25" i="5"/>
  <c r="V99" i="5"/>
  <c r="X10" i="5"/>
  <c r="X51" i="5"/>
  <c r="T43" i="5"/>
  <c r="V90" i="5"/>
  <c r="T38" i="5"/>
  <c r="T131" i="5"/>
  <c r="X34" i="5"/>
  <c r="W18" i="5"/>
  <c r="W53" i="5"/>
  <c r="D34" i="5"/>
  <c r="H43" i="5"/>
  <c r="I18" i="5"/>
  <c r="X64" i="5"/>
  <c r="H18" i="5"/>
  <c r="I26" i="5"/>
  <c r="U94" i="5"/>
  <c r="T46" i="5"/>
  <c r="T103" i="5"/>
  <c r="X111" i="5"/>
  <c r="V93" i="5"/>
  <c r="X28" i="5"/>
  <c r="X82" i="5"/>
  <c r="W47" i="5"/>
  <c r="I12" i="5"/>
  <c r="W9" i="5"/>
  <c r="U139" i="5"/>
  <c r="U58" i="5"/>
  <c r="W153" i="5"/>
  <c r="V134" i="5"/>
  <c r="I34" i="5"/>
  <c r="U93" i="5"/>
  <c r="I47" i="5"/>
  <c r="D33" i="5"/>
  <c r="W71" i="5"/>
  <c r="T150" i="5"/>
  <c r="X17" i="5"/>
  <c r="M21" i="5"/>
  <c r="X48" i="5"/>
  <c r="X107" i="5"/>
  <c r="X84" i="5"/>
  <c r="H35" i="5"/>
  <c r="X132" i="5"/>
  <c r="D21" i="5"/>
  <c r="X65" i="5"/>
  <c r="V8" i="5"/>
  <c r="X143" i="5"/>
  <c r="M52" i="5"/>
  <c r="W8" i="5"/>
  <c r="C15" i="5"/>
  <c r="U30" i="5"/>
  <c r="M35" i="5"/>
  <c r="C49" i="5"/>
  <c r="V20" i="5"/>
  <c r="W96" i="5"/>
  <c r="C37" i="5"/>
  <c r="V16" i="5"/>
  <c r="X104" i="5"/>
  <c r="V112" i="5"/>
  <c r="W115" i="5"/>
  <c r="V65" i="5"/>
  <c r="U88" i="5"/>
  <c r="W10" i="5"/>
  <c r="W28" i="5"/>
  <c r="V105" i="5"/>
  <c r="V89" i="5"/>
  <c r="W6" i="5"/>
  <c r="C22" i="5"/>
  <c r="T129" i="5"/>
  <c r="V49" i="5"/>
  <c r="X25" i="5"/>
  <c r="V17" i="5"/>
  <c r="X47" i="5"/>
  <c r="N14" i="5"/>
  <c r="X145" i="5"/>
  <c r="C54" i="5"/>
  <c r="D46" i="5"/>
  <c r="W117" i="5"/>
  <c r="V113" i="5"/>
  <c r="T95" i="5"/>
  <c r="D18" i="5"/>
  <c r="V124" i="5"/>
  <c r="T137" i="5"/>
  <c r="M7" i="5"/>
  <c r="N11" i="5"/>
  <c r="V62" i="5"/>
  <c r="T54" i="5"/>
  <c r="T13" i="5"/>
  <c r="M47" i="5"/>
  <c r="C30" i="5"/>
  <c r="T90" i="5"/>
  <c r="T140" i="5"/>
  <c r="I13" i="5"/>
  <c r="X16" i="5"/>
  <c r="M28" i="5"/>
  <c r="V36" i="5"/>
  <c r="T52" i="5"/>
  <c r="C24" i="5"/>
  <c r="X7" i="5"/>
  <c r="U152" i="5"/>
  <c r="V64" i="5"/>
  <c r="T67" i="5"/>
  <c r="U150" i="5"/>
  <c r="W25" i="5"/>
  <c r="H36" i="5"/>
  <c r="T77" i="5"/>
  <c r="V10" i="5"/>
  <c r="N46" i="5"/>
  <c r="M34" i="5"/>
  <c r="N48" i="5"/>
  <c r="C34" i="5"/>
  <c r="W150" i="5"/>
  <c r="V95" i="5"/>
  <c r="N42" i="5"/>
  <c r="N51" i="5"/>
  <c r="W151" i="5"/>
  <c r="W48" i="5"/>
  <c r="U89" i="5"/>
  <c r="W83" i="5"/>
  <c r="H49" i="5"/>
  <c r="X135" i="5"/>
  <c r="V4" i="5"/>
  <c r="N20" i="5"/>
  <c r="U73" i="5"/>
  <c r="U42" i="5"/>
  <c r="H7" i="5"/>
  <c r="D10" i="5"/>
  <c r="U105" i="5"/>
  <c r="X12" i="5"/>
  <c r="T116" i="5"/>
  <c r="H47" i="5"/>
  <c r="X98" i="5"/>
  <c r="T110" i="5"/>
  <c r="H10" i="5"/>
  <c r="V85" i="5"/>
  <c r="C55" i="5"/>
  <c r="V107" i="5"/>
  <c r="X13" i="5"/>
  <c r="V46" i="5"/>
  <c r="N23" i="5"/>
  <c r="T117" i="5"/>
  <c r="T17" i="5"/>
  <c r="T3" i="5"/>
  <c r="U136" i="5"/>
  <c r="U43" i="5"/>
  <c r="U49" i="5"/>
  <c r="T32" i="5"/>
  <c r="U133" i="5"/>
  <c r="U27" i="5"/>
  <c r="W32" i="5"/>
  <c r="C4" i="5"/>
  <c r="U132" i="5"/>
  <c r="V79" i="5"/>
  <c r="U110" i="5"/>
  <c r="I25" i="5"/>
  <c r="U66" i="5"/>
  <c r="I11" i="5"/>
  <c r="D51" i="5"/>
  <c r="W136" i="5"/>
  <c r="W37" i="5"/>
  <c r="X57" i="5"/>
  <c r="C21" i="5"/>
  <c r="D13" i="5"/>
  <c r="V91" i="5"/>
  <c r="H20" i="5"/>
  <c r="N55" i="5"/>
  <c r="W44" i="5"/>
  <c r="W87" i="5"/>
  <c r="T80" i="5"/>
  <c r="X75" i="5"/>
  <c r="T100" i="5"/>
  <c r="V33" i="5"/>
  <c r="U135" i="5"/>
  <c r="M13" i="5"/>
  <c r="V68" i="5"/>
  <c r="U128" i="5"/>
  <c r="U114" i="5"/>
  <c r="X117" i="5"/>
  <c r="T139" i="5"/>
  <c r="C25" i="5"/>
  <c r="C6" i="5"/>
  <c r="M15" i="5"/>
  <c r="I31" i="5"/>
  <c r="U113" i="5"/>
  <c r="D42" i="5"/>
  <c r="X78" i="5"/>
  <c r="C36" i="5"/>
  <c r="T68" i="5"/>
  <c r="I40" i="5"/>
  <c r="C29" i="5"/>
  <c r="X70" i="5"/>
  <c r="U100" i="5"/>
  <c r="T9" i="5"/>
  <c r="U79" i="5"/>
  <c r="T149" i="5"/>
  <c r="W124" i="5"/>
  <c r="N30" i="5"/>
  <c r="H19" i="5"/>
  <c r="T145" i="5"/>
  <c r="C48" i="5"/>
  <c r="U32" i="5"/>
  <c r="X61" i="5"/>
  <c r="X116" i="5"/>
  <c r="I37" i="5"/>
  <c r="W16" i="5"/>
  <c r="C47" i="5"/>
  <c r="U14" i="5"/>
  <c r="V39" i="5"/>
  <c r="U38" i="5"/>
  <c r="T50" i="5"/>
  <c r="W22" i="5"/>
  <c r="V100" i="5"/>
  <c r="X60" i="5"/>
  <c r="T127" i="5"/>
  <c r="X85" i="5"/>
  <c r="H29" i="5"/>
  <c r="X72" i="5"/>
  <c r="C43" i="5"/>
  <c r="T143" i="5"/>
  <c r="U46" i="5"/>
  <c r="X100" i="5"/>
  <c r="U34" i="5"/>
  <c r="W93" i="5"/>
  <c r="I32" i="5"/>
  <c r="C20" i="5"/>
  <c r="W39" i="5"/>
  <c r="M31" i="5"/>
  <c r="V23" i="5"/>
  <c r="W134" i="5"/>
  <c r="U10" i="5"/>
  <c r="U137" i="5"/>
  <c r="I7" i="5"/>
  <c r="V6" i="5"/>
  <c r="X118" i="5"/>
  <c r="X24" i="5"/>
  <c r="W24" i="5"/>
  <c r="W7" i="5"/>
  <c r="V15" i="5"/>
  <c r="U95" i="5"/>
  <c r="D40" i="5"/>
  <c r="X32" i="5"/>
  <c r="W95" i="5"/>
  <c r="X15" i="5"/>
  <c r="V88" i="5"/>
  <c r="W140" i="5"/>
  <c r="W79" i="5"/>
  <c r="U144" i="5"/>
  <c r="M14" i="5"/>
  <c r="V24" i="5"/>
  <c r="H32" i="5"/>
  <c r="C32" i="5"/>
  <c r="V70" i="5"/>
  <c r="N56" i="5"/>
  <c r="X46" i="5"/>
  <c r="U78" i="5"/>
  <c r="V60" i="5"/>
  <c r="X152" i="5"/>
  <c r="T40" i="5"/>
  <c r="I41" i="5"/>
  <c r="T128" i="5"/>
  <c r="D56" i="5"/>
  <c r="V54" i="5"/>
  <c r="U123" i="5"/>
  <c r="D54" i="5"/>
  <c r="U107" i="5"/>
  <c r="X127" i="5"/>
  <c r="U56" i="5"/>
  <c r="V75" i="5"/>
  <c r="V9" i="5"/>
  <c r="W52" i="5"/>
  <c r="V74" i="5"/>
  <c r="H40" i="5"/>
  <c r="T56" i="5"/>
  <c r="X119" i="5"/>
  <c r="D39" i="5"/>
  <c r="U16" i="5"/>
  <c r="W20" i="5"/>
  <c r="T72" i="5"/>
  <c r="M12" i="5"/>
  <c r="V98" i="5"/>
  <c r="W103" i="5"/>
  <c r="X53" i="5"/>
  <c r="T153" i="5"/>
  <c r="X133" i="5"/>
  <c r="D37" i="5"/>
  <c r="V47" i="5"/>
  <c r="V109" i="5"/>
  <c r="M53" i="5"/>
  <c r="X129" i="5"/>
  <c r="C19" i="5"/>
  <c r="U44" i="5"/>
  <c r="T4" i="5"/>
  <c r="U96" i="5"/>
  <c r="T107" i="5"/>
  <c r="U6" i="5"/>
  <c r="I6" i="5"/>
  <c r="U126" i="5"/>
  <c r="W13" i="5"/>
  <c r="W133" i="5"/>
  <c r="U80" i="5"/>
  <c r="W105" i="5"/>
  <c r="U86" i="5"/>
  <c r="M29" i="5"/>
  <c r="U19" i="5"/>
  <c r="U142" i="5"/>
  <c r="W63" i="5"/>
  <c r="T65" i="5"/>
  <c r="T5" i="5"/>
  <c r="I14" i="5"/>
  <c r="D35" i="5"/>
  <c r="D19" i="5"/>
  <c r="D45" i="5"/>
  <c r="W88" i="5"/>
  <c r="X55" i="5"/>
  <c r="W64" i="5"/>
  <c r="D25" i="5"/>
  <c r="H27" i="5"/>
  <c r="V121" i="5"/>
  <c r="N49" i="5"/>
  <c r="D47" i="5"/>
  <c r="H8" i="5"/>
  <c r="V21" i="5"/>
  <c r="W137" i="5"/>
  <c r="U28" i="5"/>
  <c r="N40" i="5"/>
  <c r="T152" i="5"/>
  <c r="C23" i="5"/>
  <c r="U62" i="5"/>
  <c r="M32" i="5"/>
  <c r="V149" i="5"/>
  <c r="T101" i="5"/>
  <c r="D27" i="5"/>
  <c r="C39" i="5"/>
  <c r="M42" i="5"/>
  <c r="T49" i="5"/>
  <c r="C28" i="5"/>
  <c r="I33" i="5"/>
  <c r="N27" i="5"/>
  <c r="H48" i="5"/>
  <c r="U104" i="5"/>
  <c r="T132" i="5"/>
  <c r="H38" i="5"/>
  <c r="V80" i="5"/>
  <c r="T133" i="5"/>
  <c r="U8" i="5"/>
  <c r="U55" i="5"/>
  <c r="U116" i="5"/>
  <c r="W84" i="5"/>
  <c r="V29" i="5"/>
  <c r="V81" i="5"/>
  <c r="X101" i="5"/>
  <c r="M43" i="5"/>
  <c r="M37" i="5"/>
  <c r="W120" i="5"/>
  <c r="V132" i="5"/>
  <c r="T57" i="5"/>
  <c r="T148" i="5"/>
  <c r="I28" i="5"/>
  <c r="X21" i="5"/>
  <c r="X87" i="5"/>
  <c r="C13" i="5"/>
  <c r="I9" i="5"/>
  <c r="W72" i="5"/>
  <c r="X124" i="5"/>
  <c r="M41" i="5"/>
  <c r="V83" i="5"/>
  <c r="C26" i="5"/>
  <c r="V148" i="5"/>
  <c r="W21" i="5"/>
  <c r="D14" i="5"/>
  <c r="C14" i="5"/>
  <c r="X113" i="5"/>
  <c r="N45" i="5"/>
  <c r="V25" i="5"/>
  <c r="X146" i="5"/>
  <c r="M17" i="5"/>
  <c r="I43" i="5"/>
  <c r="X151" i="5"/>
  <c r="M3" i="5"/>
  <c r="V103" i="5"/>
  <c r="X105" i="5"/>
  <c r="T86" i="5"/>
  <c r="X120" i="5"/>
  <c r="W146" i="5"/>
  <c r="T146" i="5"/>
  <c r="H25" i="5"/>
  <c r="H12" i="5"/>
  <c r="V101" i="5"/>
  <c r="I21" i="5"/>
  <c r="U141" i="5"/>
  <c r="W152" i="5"/>
  <c r="T97" i="5"/>
  <c r="X5" i="5"/>
  <c r="N9" i="5"/>
  <c r="U22" i="5"/>
  <c r="X69" i="5"/>
  <c r="I49" i="5"/>
  <c r="V140" i="5"/>
  <c r="U75" i="5"/>
  <c r="W75" i="5"/>
  <c r="U82" i="5"/>
  <c r="D53" i="5"/>
  <c r="X90" i="5"/>
  <c r="V127" i="5"/>
  <c r="U48" i="5"/>
  <c r="T108" i="5"/>
  <c r="T16" i="5"/>
  <c r="X73" i="5"/>
  <c r="W102" i="5"/>
  <c r="V94" i="5"/>
  <c r="X147" i="5"/>
  <c r="V111" i="5"/>
  <c r="W106" i="5"/>
  <c r="H31" i="5"/>
  <c r="D50" i="5"/>
  <c r="V116" i="5"/>
  <c r="W23" i="5"/>
  <c r="W126" i="5"/>
  <c r="V131" i="5"/>
  <c r="X123" i="5"/>
  <c r="V55" i="5"/>
  <c r="U12" i="5"/>
  <c r="H14" i="5"/>
  <c r="T136" i="5"/>
  <c r="V72" i="5"/>
  <c r="V58" i="5"/>
  <c r="W97" i="5"/>
  <c r="X20" i="5"/>
  <c r="T63" i="5"/>
  <c r="D24" i="5"/>
  <c r="V45" i="5"/>
  <c r="I17" i="5"/>
  <c r="C31" i="5"/>
  <c r="V66" i="5"/>
  <c r="V152" i="5"/>
  <c r="C16" i="5"/>
  <c r="X128" i="5"/>
  <c r="U115" i="5"/>
  <c r="N24" i="5"/>
  <c r="D15" i="5"/>
  <c r="V151" i="5"/>
  <c r="W128" i="5"/>
  <c r="N6" i="5"/>
  <c r="U41" i="5"/>
  <c r="X41" i="5"/>
  <c r="T26" i="5"/>
  <c r="X148" i="5"/>
  <c r="W74" i="5"/>
  <c r="H16" i="5"/>
  <c r="M46" i="5"/>
  <c r="W90" i="5"/>
  <c r="X29" i="5"/>
  <c r="I36" i="5"/>
  <c r="W149" i="5"/>
  <c r="C41" i="5"/>
  <c r="T42" i="5"/>
  <c r="T121" i="5"/>
  <c r="D32" i="5"/>
  <c r="X52" i="5"/>
  <c r="I16" i="5"/>
  <c r="V51" i="5"/>
  <c r="U35" i="5"/>
  <c r="T20" i="5"/>
  <c r="N15" i="5"/>
  <c r="X153" i="5"/>
  <c r="T82" i="5"/>
  <c r="U54" i="5"/>
  <c r="H13" i="5"/>
  <c r="U72" i="5"/>
  <c r="M25" i="5"/>
  <c r="W5" i="5"/>
  <c r="X141" i="5"/>
  <c r="W99" i="5"/>
  <c r="D48" i="5"/>
  <c r="V130" i="5"/>
  <c r="W50" i="5"/>
  <c r="D9" i="5"/>
  <c r="T83" i="5"/>
  <c r="I15" i="5"/>
  <c r="X112" i="5"/>
  <c r="V104" i="5"/>
  <c r="U15" i="5"/>
  <c r="X31" i="5"/>
  <c r="X106" i="5"/>
  <c r="N34" i="5"/>
  <c r="M6" i="5"/>
  <c r="C8" i="5"/>
  <c r="X103" i="5"/>
  <c r="W104" i="5"/>
  <c r="W132" i="5"/>
  <c r="V67" i="5"/>
  <c r="M55" i="5"/>
  <c r="W123" i="5"/>
  <c r="C53" i="5"/>
  <c r="U138" i="5"/>
  <c r="U145" i="5"/>
  <c r="X88" i="5"/>
  <c r="H42" i="5"/>
  <c r="U87" i="5"/>
  <c r="V82" i="5"/>
  <c r="T35" i="5"/>
  <c r="U67" i="5"/>
  <c r="M54" i="5"/>
  <c r="U40" i="5"/>
  <c r="C38" i="5"/>
  <c r="U76" i="5"/>
  <c r="D44" i="5"/>
  <c r="X110" i="5"/>
  <c r="N21" i="5"/>
  <c r="X94" i="5"/>
  <c r="V63" i="5"/>
  <c r="X134" i="5"/>
  <c r="V73" i="5"/>
  <c r="T15" i="5"/>
  <c r="X142" i="5"/>
  <c r="T92" i="5"/>
  <c r="U69" i="5"/>
  <c r="X89" i="5"/>
  <c r="T73" i="5"/>
  <c r="N10" i="5"/>
  <c r="N3" i="5"/>
  <c r="T37" i="5"/>
  <c r="M48" i="5"/>
  <c r="W94" i="5"/>
  <c r="U153" i="5"/>
  <c r="U61" i="5"/>
  <c r="V19" i="5"/>
  <c r="I22" i="5"/>
  <c r="U98" i="5"/>
  <c r="X86" i="5"/>
  <c r="D43" i="5"/>
  <c r="D17" i="5"/>
  <c r="U91" i="5"/>
  <c r="U57" i="5"/>
  <c r="U33" i="5"/>
  <c r="H21" i="5"/>
  <c r="U60" i="5"/>
  <c r="H34" i="5"/>
  <c r="C33" i="5"/>
  <c r="X115" i="5"/>
  <c r="W101" i="5"/>
  <c r="N53" i="5"/>
  <c r="W138" i="5"/>
  <c r="U81" i="5"/>
  <c r="X9" i="5"/>
  <c r="U97" i="5"/>
  <c r="T88" i="5"/>
  <c r="X74" i="5"/>
  <c r="X68" i="5"/>
  <c r="M19" i="5"/>
  <c r="N41" i="5"/>
  <c r="N33" i="5"/>
  <c r="T105" i="5"/>
  <c r="U51" i="5"/>
  <c r="I44" i="5"/>
  <c r="T99" i="5"/>
  <c r="T85" i="5"/>
  <c r="N50" i="5"/>
  <c r="W35" i="5"/>
  <c r="W114" i="5"/>
  <c r="V3" i="5"/>
  <c r="W59" i="5"/>
  <c r="V137" i="5"/>
  <c r="T102" i="5"/>
  <c r="D49" i="5"/>
  <c r="I3" i="5"/>
  <c r="T81" i="5"/>
  <c r="H11" i="5"/>
  <c r="M38" i="5"/>
  <c r="T41" i="5"/>
  <c r="T22" i="5"/>
  <c r="T96" i="5"/>
  <c r="U26" i="5"/>
  <c r="X62" i="5"/>
  <c r="T98" i="5"/>
  <c r="V141" i="5"/>
  <c r="N37" i="5"/>
  <c r="V115" i="5"/>
  <c r="N7" i="5"/>
  <c r="T30" i="5"/>
  <c r="X99" i="5"/>
  <c r="U45" i="5"/>
  <c r="U20" i="5"/>
  <c r="U31" i="5"/>
  <c r="U131" i="5"/>
  <c r="V22" i="5"/>
  <c r="C44" i="5"/>
  <c r="C46" i="5"/>
  <c r="T53" i="5"/>
  <c r="W122" i="5"/>
  <c r="U108" i="5"/>
  <c r="V44" i="5"/>
  <c r="M9" i="5"/>
  <c r="W108" i="5"/>
  <c r="W92" i="5"/>
  <c r="N36" i="5"/>
  <c r="T66" i="5"/>
  <c r="W57" i="5"/>
  <c r="D16" i="5"/>
  <c r="I5" i="5"/>
  <c r="D29" i="5"/>
  <c r="T106" i="5"/>
  <c r="H24" i="5"/>
  <c r="M8" i="5"/>
  <c r="N32" i="5"/>
  <c r="U71" i="5"/>
  <c r="X19" i="5"/>
  <c r="W34" i="5"/>
  <c r="N18" i="5"/>
  <c r="U68" i="5"/>
  <c r="V5" i="5"/>
  <c r="U90" i="5"/>
  <c r="W98" i="5"/>
  <c r="W30" i="5"/>
  <c r="H41" i="5"/>
  <c r="T29" i="5"/>
  <c r="U92" i="5"/>
  <c r="W65" i="5"/>
  <c r="V128" i="5"/>
  <c r="N54" i="5"/>
  <c r="U17" i="5"/>
  <c r="T151" i="5"/>
  <c r="U7" i="5"/>
  <c r="T111" i="5"/>
  <c r="U36" i="5"/>
  <c r="V139" i="5"/>
  <c r="M24" i="5"/>
  <c r="W17" i="5"/>
  <c r="H17" i="5"/>
  <c r="C27" i="5"/>
  <c r="V37" i="5"/>
  <c r="X91" i="5"/>
  <c r="X4" i="5"/>
  <c r="X96" i="5"/>
  <c r="N38" i="5"/>
  <c r="N13" i="5"/>
  <c r="U119" i="5"/>
  <c r="V77" i="5"/>
  <c r="W130" i="5"/>
  <c r="V27" i="5"/>
  <c r="H33" i="5"/>
  <c r="W116" i="5"/>
  <c r="V84" i="5"/>
  <c r="M45" i="5"/>
  <c r="V12" i="5"/>
  <c r="V61" i="5"/>
  <c r="D22" i="5"/>
  <c r="V30" i="5"/>
  <c r="W145" i="5"/>
  <c r="V118" i="5"/>
  <c r="N16" i="5"/>
  <c r="T11" i="5"/>
  <c r="T120" i="5"/>
  <c r="T104" i="5"/>
  <c r="N4" i="5"/>
  <c r="N52" i="5"/>
  <c r="T64" i="5"/>
  <c r="M4" i="5"/>
  <c r="V146" i="5"/>
  <c r="H46" i="5"/>
  <c r="T39" i="5"/>
  <c r="T18" i="5"/>
  <c r="X93" i="5"/>
  <c r="V38" i="5"/>
  <c r="T27" i="5"/>
  <c r="T113" i="5"/>
  <c r="I20" i="5"/>
  <c r="U112" i="5"/>
  <c r="W51" i="5"/>
  <c r="D23" i="5"/>
  <c r="V87" i="5"/>
  <c r="I39" i="5"/>
  <c r="M11" i="5"/>
  <c r="W135" i="5"/>
  <c r="H37" i="5"/>
  <c r="T142" i="5"/>
  <c r="X39" i="5"/>
  <c r="X44" i="5"/>
  <c r="W77" i="5"/>
  <c r="W11" i="5"/>
  <c r="V110" i="5"/>
  <c r="D55" i="5"/>
  <c r="V96" i="5"/>
  <c r="X8" i="5"/>
  <c r="I38" i="5"/>
  <c r="X97" i="5"/>
  <c r="V26" i="5"/>
  <c r="W80" i="5"/>
  <c r="V136" i="5"/>
  <c r="H26" i="5"/>
  <c r="V14" i="5"/>
  <c r="C51" i="5"/>
  <c r="X122" i="5"/>
  <c r="W118" i="5"/>
  <c r="V18" i="5"/>
  <c r="N43" i="5"/>
  <c r="C52" i="5"/>
  <c r="X37" i="5"/>
  <c r="X40" i="5"/>
  <c r="T78" i="5"/>
  <c r="W113" i="5"/>
  <c r="W67" i="5"/>
  <c r="T6" i="5"/>
  <c r="V106" i="5"/>
  <c r="C17" i="5"/>
  <c r="C42" i="5"/>
  <c r="W43" i="5"/>
  <c r="D26" i="5"/>
  <c r="W139" i="5"/>
  <c r="H39" i="5"/>
  <c r="M40" i="5"/>
  <c r="I30" i="5"/>
  <c r="M51" i="5"/>
  <c r="M49" i="5"/>
  <c r="V138" i="5"/>
  <c r="C56" i="5"/>
  <c r="V92" i="5"/>
  <c r="X35" i="5"/>
  <c r="U130" i="5"/>
  <c r="W62" i="5"/>
  <c r="H9" i="5"/>
  <c r="U24" i="5"/>
  <c r="X49" i="5"/>
  <c r="W143" i="5"/>
  <c r="W60" i="5"/>
  <c r="V43" i="5"/>
  <c r="X56" i="5"/>
  <c r="W107" i="5"/>
  <c r="V150" i="5"/>
  <c r="V114" i="5"/>
  <c r="W29" i="5"/>
  <c r="T74" i="5"/>
  <c r="T134" i="5"/>
  <c r="V145" i="5"/>
  <c r="N8" i="5"/>
  <c r="U124" i="5"/>
  <c r="V32" i="5"/>
  <c r="X71" i="5"/>
  <c r="C7" i="5"/>
  <c r="W111" i="5"/>
  <c r="V123" i="5"/>
  <c r="W144" i="5"/>
  <c r="D36" i="5"/>
  <c r="X36" i="5"/>
  <c r="W66" i="5"/>
  <c r="X80" i="5"/>
  <c r="V120" i="5"/>
  <c r="U74" i="5"/>
  <c r="D28" i="5"/>
  <c r="W110" i="5"/>
  <c r="V125" i="5"/>
  <c r="W31" i="5"/>
  <c r="T60" i="5"/>
  <c r="T94" i="5"/>
  <c r="V13" i="5"/>
  <c r="X95" i="5"/>
  <c r="T114" i="5"/>
  <c r="T10" i="5"/>
  <c r="U146" i="5"/>
  <c r="U111" i="5"/>
  <c r="D31" i="5"/>
  <c r="V135" i="5"/>
  <c r="T144" i="5"/>
  <c r="U29" i="5"/>
  <c r="X54" i="5"/>
  <c r="W81" i="5"/>
  <c r="T79" i="5"/>
  <c r="W112" i="5"/>
  <c r="T124" i="5"/>
  <c r="C11" i="5"/>
  <c r="X121" i="5"/>
  <c r="X23" i="5"/>
  <c r="N17" i="5"/>
  <c r="W109" i="5"/>
  <c r="X58" i="5"/>
  <c r="T130" i="5"/>
  <c r="U118" i="5"/>
  <c r="T21" i="5"/>
  <c r="U103" i="5"/>
  <c r="W142" i="5"/>
  <c r="U3" i="5"/>
  <c r="U25" i="5"/>
  <c r="H50" i="5"/>
  <c r="U102" i="5"/>
  <c r="D20" i="5"/>
  <c r="H45" i="5"/>
  <c r="X33" i="5"/>
  <c r="V40" i="5"/>
  <c r="W38" i="5"/>
  <c r="N12" i="5"/>
  <c r="W147" i="5"/>
  <c r="T112" i="5"/>
  <c r="X30" i="5"/>
  <c r="D38" i="5"/>
  <c r="W46" i="5"/>
  <c r="W3" i="5"/>
  <c r="X130" i="5"/>
  <c r="N31" i="5"/>
  <c r="I8" i="5"/>
  <c r="W148" i="5"/>
  <c r="V31" i="5"/>
  <c r="U63" i="5"/>
  <c r="W42" i="5"/>
  <c r="K5" i="10" l="1"/>
  <c r="K4" i="10"/>
  <c r="K3" i="10"/>
</calcChain>
</file>

<file path=xl/sharedStrings.xml><?xml version="1.0" encoding="utf-8"?>
<sst xmlns="http://schemas.openxmlformats.org/spreadsheetml/2006/main" count="337" uniqueCount="184">
  <si>
    <t>VOD-LON</t>
  </si>
  <si>
    <t>STMN-SWX</t>
  </si>
  <si>
    <t>Reporting Today</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</si>
  <si>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</si>
  <si>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</si>
  <si>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</si>
  <si>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</si>
  <si>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</si>
  <si>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</si>
  <si>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</si>
  <si>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</si>
  <si>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</si>
  <si>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</si>
  <si>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</si>
  <si>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</si>
  <si>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</si>
  <si>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</si>
  <si>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</si>
  <si>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</si>
  <si>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</si>
  <si>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</si>
  <si>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</si>
  <si>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</si>
  <si>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</si>
  <si>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</si>
  <si>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</si>
  <si>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</si>
  <si>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</si>
  <si>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</si>
  <si>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News Type</t>
  </si>
  <si>
    <t>Trade Triggers</t>
  </si>
  <si>
    <t>Configuration Options</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</si>
  <si>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</si>
  <si>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</si>
  <si>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</si>
  <si>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</si>
  <si>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</si>
  <si>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</si>
  <si>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</si>
  <si>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</si>
  <si>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</si>
  <si>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</si>
  <si>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</si>
  <si>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</si>
  <si>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</si>
  <si>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</si>
  <si>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</si>
  <si>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</si>
  <si>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</si>
  <si>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</si>
  <si>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</si>
  <si>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</si>
  <si>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</si>
  <si>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</si>
  <si>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</si>
  <si>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</si>
  <si>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</si>
  <si>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</si>
  <si>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</si>
  <si>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</si>
  <si>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</si>
  <si>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</si>
  <si>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</si>
  <si>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</si>
  <si>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</si>
  <si>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</si>
  <si>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</si>
  <si>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</si>
  <si>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Buy/Sell</t>
  </si>
  <si>
    <t>GP701</t>
  </si>
  <si>
    <t>The account number used to send orders via L2 Auto Trade to IG</t>
  </si>
  <si>
    <t>L2 Auto Trade Acct #</t>
  </si>
  <si>
    <t>L2 Auto Trade Enabled</t>
  </si>
  <si>
    <t>Whether orders are actually sent or only simulated</t>
  </si>
  <si>
    <t>Trade Amount (KUSD)</t>
  </si>
  <si>
    <t>Exchange Codes</t>
  </si>
  <si>
    <t>L</t>
  </si>
  <si>
    <t>DE</t>
  </si>
  <si>
    <t>PA</t>
  </si>
  <si>
    <t>BR</t>
  </si>
  <si>
    <t>AS</t>
  </si>
  <si>
    <t>MI</t>
  </si>
  <si>
    <t>ST</t>
  </si>
  <si>
    <t>OL</t>
  </si>
  <si>
    <t>CO</t>
  </si>
  <si>
    <t>S</t>
  </si>
  <si>
    <t>Forex Conversion Rates &amp; Exchange Codes</t>
  </si>
  <si>
    <t>US</t>
  </si>
  <si>
    <t>USD</t>
  </si>
  <si>
    <t>Saxo Acct #</t>
  </si>
  <si>
    <t>Saxo Acct Key</t>
  </si>
  <si>
    <t>Saxo OpenAPI Enabled</t>
  </si>
  <si>
    <t/>
  </si>
  <si>
    <t xml:space="preserve">Whether orders are actually sent or only simulated.  </t>
  </si>
  <si>
    <t>Saxo Client Key</t>
  </si>
  <si>
    <t>Net Positions</t>
  </si>
  <si>
    <t>All Positions</t>
  </si>
  <si>
    <t>Order Response</t>
  </si>
  <si>
    <t>Order Command</t>
  </si>
  <si>
    <t>Messages</t>
  </si>
  <si>
    <t>Company</t>
  </si>
  <si>
    <t>Time</t>
  </si>
  <si>
    <t>FENR-LON</t>
  </si>
  <si>
    <t>DNLM-LON</t>
  </si>
  <si>
    <t>Tranche Gap</t>
  </si>
  <si>
    <t>The price percent gap between tranche orders when executing a target % group of orders.</t>
  </si>
  <si>
    <t>Tranche Size</t>
  </si>
  <si>
    <t>Exchange Rate</t>
  </si>
  <si>
    <t>KUSD</t>
  </si>
  <si>
    <t>m</t>
  </si>
  <si>
    <t>eSignal Symbol</t>
  </si>
  <si>
    <t>% From Prev Close Before Reporting Day</t>
  </si>
  <si>
    <t>ExecutionTimeOpen</t>
  </si>
  <si>
    <t>Amount</t>
  </si>
  <si>
    <t>OpenPrice</t>
  </si>
  <si>
    <t>OrderTime</t>
  </si>
  <si>
    <t>BuySell</t>
  </si>
  <si>
    <t>OpenOrderType</t>
  </si>
  <si>
    <t>Price</t>
  </si>
  <si>
    <t>FilledAmount</t>
  </si>
  <si>
    <t>ExchangeId</t>
  </si>
  <si>
    <t>AssetType</t>
  </si>
  <si>
    <t>ExpiryDate</t>
  </si>
  <si>
    <t>Status</t>
  </si>
  <si>
    <t>DurationType</t>
  </si>
  <si>
    <t>ExpirationDate</t>
  </si>
  <si>
    <t>StopLimitPrice</t>
  </si>
  <si>
    <t>AverageOpenPrice</t>
  </si>
  <si>
    <t>The account key used to send orders via OpenAPI for Excel to Saxo, SIM: 9|9G7dMWchHftzbHmB-YaQ==, LIVE: itWNFCVHLPChad8WdOVZDg==</t>
  </si>
  <si>
    <t>The client key used to send orders via OpenAPI for Excel to Saxo, 45XQxxJtoz-bbnF8YyTl0Q==, LIVE: IOWRGiOPn49xKRjrnaPxSw==</t>
  </si>
  <si>
    <t>The account number used to send orders via OpenAPI for Excel to Saxo, LIVE: 6871055, 202Fairfield, SIM: 8091733, python123</t>
  </si>
  <si>
    <t>Vodafone</t>
  </si>
  <si>
    <t>Target % Order Type</t>
  </si>
  <si>
    <t>Market</t>
  </si>
  <si>
    <t>Whether target % exit orders should be Market or Limit</t>
  </si>
  <si>
    <t>Algo Tester</t>
  </si>
  <si>
    <t>Bar Size</t>
  </si>
  <si>
    <t>Algo</t>
  </si>
  <si>
    <t>Date</t>
  </si>
  <si>
    <t>Bar Time</t>
  </si>
  <si>
    <t>Intraday_Date</t>
  </si>
  <si>
    <t>Intraday_Time</t>
  </si>
  <si>
    <t>I1</t>
  </si>
  <si>
    <t>Stop % Order Type</t>
  </si>
  <si>
    <t>MISSING</t>
  </si>
  <si>
    <t>Whether stop % exit orders should be Market or Limit</t>
  </si>
  <si>
    <t>Saxo Orders</t>
  </si>
  <si>
    <t>HE</t>
  </si>
  <si>
    <t>D</t>
  </si>
  <si>
    <t>Queued Orders</t>
  </si>
  <si>
    <t>Trade Size</t>
  </si>
  <si>
    <t>Side</t>
  </si>
  <si>
    <t>Order Type</t>
  </si>
  <si>
    <t>Valid From</t>
  </si>
  <si>
    <t>Valid Until</t>
  </si>
  <si>
    <t>Trail %</t>
  </si>
  <si>
    <t>Asset Type</t>
  </si>
  <si>
    <t>Is Stop</t>
  </si>
  <si>
    <t>In Progress</t>
  </si>
  <si>
    <t>Is Entry</t>
  </si>
  <si>
    <t>Is Complete</t>
  </si>
  <si>
    <t>IDs</t>
  </si>
  <si>
    <t>Filled Amt</t>
  </si>
  <si>
    <t>Prev Trades</t>
  </si>
  <si>
    <t>Trade Times</t>
  </si>
  <si>
    <t>Time Gap</t>
  </si>
  <si>
    <t>DayOrder</t>
  </si>
  <si>
    <t>CfdOnStock</t>
  </si>
  <si>
    <t>[]</t>
  </si>
  <si>
    <t>I5 [15:00-15:25 L]</t>
  </si>
  <si>
    <t>03/07/2017</t>
  </si>
  <si>
    <t>04/07/2017</t>
  </si>
  <si>
    <t>05/07/2017</t>
  </si>
  <si>
    <t>06/07/2017</t>
  </si>
  <si>
    <t>End of Day Exit Time</t>
  </si>
  <si>
    <t>The time of day at which "End of Day" exits occur</t>
  </si>
  <si>
    <t>Entry Constraints</t>
  </si>
  <si>
    <t>Add To Constraints</t>
  </si>
  <si>
    <t>Exit Constraints</t>
  </si>
  <si>
    <t>Exit Type</t>
  </si>
  <si>
    <t>Entry Type</t>
  </si>
  <si>
    <t>Add To Type</t>
  </si>
  <si>
    <t>Conviction</t>
  </si>
  <si>
    <t>Re-rater/De-rater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</si>
</sst>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00_);_(&quot;$&quot;* \(#,##0.00\);_(&quot;$&quot;* &quot;-&quot;??_);_(@_)"/>
    <numFmt numFmtId="165" formatCode="_(* #,##0.00_);_(* \(#,##0.00\);_(* &quot;-&quot;??_);_(@_)"/>
    <numFmt numFmtId="166" formatCode="[$-F400]h:mm:ss\ AM/PM"/>
    <numFmt numFmtId="167" formatCode="h:mm;@"/>
    <numFmt numFmtId="168" formatCode="m/dd\ hh:mm"/>
    <numFmt numFmtId="169" formatCode="0.0%"/>
    <numFmt numFmtId="170" formatCode="0.0"/>
    <numFmt numFmtId="171" formatCode="0.000"/>
    <numFmt numFmtId="172" formatCode="m/dd\ hh:mm:ss"/>
  </numFmts>
  <fonts count="19" x14ac:knownFonts="1">
    <font>
      <sz val="12"/>
      <color theme="1"/>
      <name val="Calibri"/>
      <family val="2"/>
      <scheme val="minor"/>
    </font>
    <font>
      <sz val="11"/>
      <color theme="1"/>
      <name val="Calibri"/>
      <family val="2"/>
      <scheme val="minor"/>
    </font>
    <font>
      <sz val="11"/>
      <color theme="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
      <b/>
      <sz val="20"/>
      <color theme="0" tint="-0.249977111117893"/>
      <name val="Calibri"/>
      <family val="2"/>
      <scheme val="minor"/>
    </font>
    <font>
      <b/>
      <sz val="14"/>
      <color theme="0" tint="-0.249977111117893"/>
      <name val="Calibri"/>
      <family val="2"/>
      <scheme val="minor"/>
    </font>
    <font>
      <b/>
      <sz val="12"/>
      <color theme="0" tint="-0.249977111117893"/>
      <name val="Calibri"/>
      <family val="2"/>
      <scheme val="minor"/>
    </font>
    <font>
      <sz val="12"/>
      <color theme="0" tint="-0.249977111117893"/>
      <name val="Calibri"/>
      <family val="2"/>
      <scheme val="minor"/>
    </font>
    <font>
      <sz val="14"/>
      <color theme="0" tint="-0.249977111117893"/>
      <name val="Calibri"/>
      <family val="2"/>
      <scheme val="minor"/>
    </font>
    <font>
      <b/>
      <sz val="12"/>
      <color indexed="55" tint="-0.249977111117893"/>
      <name val="Calibri"/>
      <family val="2"/>
      <scheme val="minor"/>
    </font>
    <font>
      <sz val="12"/>
      <color indexed="55" tint="-0.249977111117893"/>
      <name val="Calibri"/>
      <family val="2"/>
      <scheme val="minor"/>
    </font>
    <font>
      <sz val="12"/>
      <color indexed="55"/>
      <name val="Calibri"/>
      <family val="2"/>
      <scheme val="minor"/>
    </font>
  </fonts>
  <fills count="6">
    <fill>
      <patternFill patternType="none"/>
    </fill>
    <fill>
      <patternFill patternType="gray125"/>
    </fill>
    <fill>
      <patternFill patternType="solid">
        <fgColor theme="8" tint="0.39997558519241921"/>
        <bgColor indexed="65"/>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1" tint="0.14999847407452621"/>
        <bgColor indexed="64"/>
      </patternFill>
    </fill>
  </fills>
  <borders count="3">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2" tint="-0.749992370372631"/>
      </left>
      <right style="thin">
        <color theme="2" tint="-0.749992370372631"/>
      </right>
      <top style="thin">
        <color theme="2" tint="-0.749992370372631"/>
      </top>
      <bottom style="thin">
        <color theme="2" tint="-0.749992370372631"/>
      </bottom>
      <diagonal/>
    </border>
  </borders>
  <cellStyleXfs count="14">
    <xf numFmtId="0" fontId="0" fillId="0" borderId="0"/>
    <xf numFmtId="0" fontId="2" fillId="2" borderId="0" applyNumberFormat="0" applyBorder="0" applyAlignment="0" applyProtection="0"/>
    <xf numFmtId="9" fontId="3" fillId="0" borderId="0" applyFont="0" applyFill="0" applyBorder="0" applyAlignment="0" applyProtection="0"/>
    <xf numFmtId="0" fontId="1" fillId="0" borderId="0"/>
    <xf numFmtId="0" fontId="4" fillId="0" borderId="1" applyNumberFormat="0" applyFill="0" applyProtection="0">
      <alignment horizontal="center"/>
    </xf>
    <xf numFmtId="0" fontId="6" fillId="3" borderId="1">
      <alignment horizontal="left"/>
    </xf>
    <xf numFmtId="0" fontId="9" fillId="4" borderId="0" applyNumberFormat="0" applyAlignment="0">
      <alignment horizontal="left"/>
    </xf>
    <xf numFmtId="0" fontId="7" fillId="0" borderId="1">
      <alignment horizontal="left"/>
    </xf>
    <xf numFmtId="0" fontId="5" fillId="0" borderId="1"/>
    <xf numFmtId="0" fontId="8" fillId="0" borderId="1">
      <alignment horizontal="right"/>
    </xf>
    <xf numFmtId="0" fontId="10" fillId="0" borderId="0" applyNumberFormat="0" applyFill="0" applyBorder="0" applyAlignment="0" applyProtection="0"/>
    <xf numFmtId="0" fontId="4" fillId="0" borderId="1" applyFill="0" applyProtection="0">
      <alignment horizontal="center"/>
    </xf>
    <xf numFmtId="165" fontId="1" fillId="0" borderId="0" applyFont="0" applyFill="0" applyBorder="0" applyAlignment="0" applyProtection="0"/>
    <xf numFmtId="164" fontId="3" fillId="0" borderId="0" applyFont="0" applyFill="0" applyBorder="0" applyAlignment="0" applyProtection="0"/>
  </cellStyleXfs>
  <cellXfs count="108">
    <xf numFmtId="0" fontId="0" fillId="0" borderId="0" xfId="0"/>
    <xf numFmtId="14"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xf>
    <xf numFmtId="169" fontId="12" fillId="5" borderId="2" xfId="2" applyNumberFormat="1" applyFont="1" applyFill="1" applyBorder="1" applyAlignment="1">
      <alignment horizontal="center" vertical="center"/>
    </xf>
    <xf numFmtId="9" fontId="12" fillId="5" borderId="2" xfId="2" applyFont="1" applyFill="1" applyBorder="1" applyAlignment="1">
      <alignment horizontal="center" vertical="center"/>
    </xf>
    <xf numFmtId="0"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wrapText="1"/>
    </xf>
    <xf numFmtId="14" fontId="12" fillId="5" borderId="2" xfId="0" applyNumberFormat="1" applyFont="1" applyFill="1" applyBorder="1" applyAlignment="1">
      <alignment horizontal="center" vertical="center" wrapText="1"/>
    </xf>
    <xf numFmtId="169" fontId="12" fillId="5" borderId="2" xfId="2" applyNumberFormat="1" applyFont="1" applyFill="1" applyBorder="1" applyAlignment="1">
      <alignment horizontal="center" vertical="center" wrapText="1"/>
    </xf>
    <xf numFmtId="9" fontId="12" fillId="5" borderId="2" xfId="2" applyFont="1" applyFill="1" applyBorder="1" applyAlignment="1">
      <alignment horizontal="center" vertical="center" wrapText="1"/>
    </xf>
    <xf numFmtId="0" fontId="12" fillId="5" borderId="2" xfId="0" applyNumberFormat="1" applyFont="1" applyFill="1" applyBorder="1" applyAlignment="1">
      <alignment horizontal="center" vertical="center" wrapText="1"/>
    </xf>
    <xf numFmtId="0" fontId="13" fillId="5" borderId="2" xfId="0" applyFont="1" applyFill="1" applyBorder="1" applyAlignment="1">
      <alignment horizontal="right" indent="1"/>
    </xf>
    <xf numFmtId="0" fontId="14" fillId="5" borderId="2" xfId="0" applyFont="1" applyFill="1" applyBorder="1" applyProtection="1">
      <protection locked="0"/>
    </xf>
    <xf numFmtId="169" fontId="14" fillId="5" borderId="2" xfId="2" applyNumberFormat="1" applyFont="1" applyFill="1" applyBorder="1" applyProtection="1">
      <protection locked="0"/>
    </xf>
    <xf numFmtId="9" fontId="14" fillId="5" borderId="2" xfId="2" applyFont="1" applyFill="1" applyBorder="1" applyProtection="1">
      <protection locked="0"/>
    </xf>
    <xf numFmtId="0" fontId="14" fillId="5" borderId="2" xfId="13" applyNumberFormat="1" applyFont="1" applyFill="1" applyBorder="1" applyProtection="1">
      <protection locked="0"/>
    </xf>
    <xf numFmtId="14" fontId="14" fillId="5" borderId="2" xfId="0" applyNumberFormat="1" applyFont="1" applyFill="1" applyBorder="1"/>
    <xf numFmtId="0" fontId="14" fillId="5" borderId="2" xfId="0" applyFont="1" applyFill="1" applyBorder="1"/>
    <xf numFmtId="22" fontId="14" fillId="5" borderId="2" xfId="0" applyNumberFormat="1" applyFont="1" applyFill="1" applyBorder="1"/>
    <xf numFmtId="0" fontId="14" fillId="5" borderId="2" xfId="0" applyNumberFormat="1" applyFont="1" applyFill="1" applyBorder="1" applyProtection="1">
      <protection locked="0"/>
    </xf>
    <xf numFmtId="169" fontId="14" fillId="5" borderId="2" xfId="2" applyNumberFormat="1" applyFont="1" applyFill="1" applyBorder="1"/>
    <xf numFmtId="9" fontId="14" fillId="5" borderId="2" xfId="2" applyFont="1" applyFill="1" applyBorder="1"/>
    <xf numFmtId="0" fontId="14" fillId="5" borderId="2" xfId="0" applyNumberFormat="1" applyFont="1" applyFill="1" applyBorder="1"/>
    <xf numFmtId="0" fontId="11" fillId="5" borderId="2" xfId="0" applyFont="1" applyFill="1" applyBorder="1" applyAlignment="1" applyProtection="1">
      <alignment horizontal="center" vertical="center"/>
    </xf>
    <xf numFmtId="0" fontId="12" fillId="5" borderId="2" xfId="0"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xf>
    <xf numFmtId="0" fontId="12" fillId="5" borderId="2" xfId="0" applyNumberFormat="1"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wrapText="1"/>
    </xf>
    <xf numFmtId="168" fontId="12" fillId="5" borderId="2" xfId="0" applyNumberFormat="1" applyFont="1" applyFill="1" applyBorder="1" applyAlignment="1" applyProtection="1">
      <alignment horizontal="center" vertical="center"/>
    </xf>
    <xf numFmtId="0" fontId="12" fillId="5" borderId="2" xfId="0" applyFont="1" applyFill="1" applyBorder="1" applyAlignment="1" applyProtection="1">
      <alignment horizontal="center" vertical="center" wrapText="1"/>
    </xf>
    <xf numFmtId="0" fontId="13" fillId="5" borderId="2" xfId="0" applyFont="1" applyFill="1" applyBorder="1" applyAlignment="1" applyProtection="1">
      <alignment horizontal="center"/>
    </xf>
    <xf numFmtId="0" fontId="14" fillId="5" borderId="2" xfId="0" applyNumberFormat="1" applyFont="1" applyFill="1" applyBorder="1" applyAlignment="1" applyProtection="1">
      <alignment horizontal="center"/>
    </xf>
    <xf numFmtId="1" fontId="14" fillId="5" borderId="2" xfId="0" applyNumberFormat="1" applyFont="1" applyFill="1" applyBorder="1" applyAlignment="1" applyProtection="1">
      <alignment horizontal="center"/>
    </xf>
    <xf numFmtId="0" fontId="14" fillId="5" borderId="2" xfId="0" applyFont="1" applyFill="1" applyBorder="1" applyAlignment="1" applyProtection="1">
      <alignment horizontal="center"/>
    </xf>
    <xf numFmtId="168" fontId="14" fillId="5" borderId="2" xfId="0" applyNumberFormat="1" applyFont="1" applyFill="1" applyBorder="1" applyAlignment="1" applyProtection="1">
      <alignment horizontal="center"/>
    </xf>
    <xf numFmtId="0" fontId="14" fillId="5" borderId="2" xfId="0" applyNumberFormat="1" applyFont="1" applyFill="1" applyBorder="1" applyProtection="1"/>
    <xf numFmtId="1" fontId="14" fillId="5" borderId="2" xfId="0" applyNumberFormat="1" applyFont="1" applyFill="1" applyBorder="1" applyProtection="1"/>
    <xf numFmtId="0" fontId="14" fillId="5" borderId="2" xfId="0" applyFont="1" applyFill="1" applyBorder="1" applyProtection="1"/>
    <xf numFmtId="168" fontId="14" fillId="5" borderId="2" xfId="0" applyNumberFormat="1" applyFont="1" applyFill="1" applyBorder="1" applyProtection="1"/>
    <xf numFmtId="0" fontId="13" fillId="5" borderId="2" xfId="0" applyFont="1" applyFill="1" applyBorder="1" applyAlignment="1" applyProtection="1">
      <alignment horizontal="right" indent="1"/>
    </xf>
    <xf numFmtId="14" fontId="14" fillId="5" borderId="2" xfId="0" applyNumberFormat="1" applyFont="1" applyFill="1" applyBorder="1" applyProtection="1">
      <protection locked="0"/>
    </xf>
    <xf numFmtId="0" fontId="13" fillId="5" borderId="2" xfId="0" applyNumberFormat="1" applyFont="1" applyFill="1" applyBorder="1" applyProtection="1">
      <protection locked="0"/>
    </xf>
    <xf numFmtId="20" fontId="14" fillId="5" borderId="2" xfId="0" applyNumberFormat="1" applyFont="1" applyFill="1" applyBorder="1" applyProtection="1">
      <protection locked="0"/>
    </xf>
    <xf numFmtId="20" fontId="14" fillId="5" borderId="2" xfId="0" applyNumberFormat="1" applyFont="1" applyFill="1" applyBorder="1"/>
    <xf numFmtId="0" fontId="11" fillId="5" borderId="2" xfId="1" applyFont="1" applyFill="1" applyBorder="1" applyAlignment="1">
      <alignment vertical="center"/>
    </xf>
    <xf numFmtId="0" fontId="11" fillId="5" borderId="2" xfId="0" applyFont="1" applyFill="1" applyBorder="1" applyAlignment="1">
      <alignment vertical="center"/>
    </xf>
    <xf numFmtId="0" fontId="13" fillId="5" borderId="2" xfId="1" applyFont="1" applyFill="1" applyBorder="1" applyAlignment="1">
      <alignment horizontal="center" vertical="center"/>
    </xf>
    <xf numFmtId="0" fontId="13" fillId="5" borderId="2" xfId="0" applyFont="1" applyFill="1" applyBorder="1" applyAlignment="1">
      <alignment horizontal="center" vertical="center"/>
    </xf>
    <xf numFmtId="166"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left" vertical="center" indent="2"/>
    </xf>
    <xf numFmtId="0" fontId="14" fillId="5" borderId="2" xfId="0" applyFont="1" applyFill="1" applyBorder="1" applyAlignment="1">
      <alignment horizontal="center" vertical="center"/>
    </xf>
    <xf numFmtId="0" fontId="13" fillId="5" borderId="2" xfId="1" applyFont="1" applyFill="1" applyBorder="1" applyAlignment="1">
      <alignment horizontal="right" indent="1"/>
    </xf>
    <xf numFmtId="2" fontId="14" fillId="5" borderId="2" xfId="0" applyNumberFormat="1" applyFont="1" applyFill="1" applyBorder="1"/>
    <xf numFmtId="166" fontId="14" fillId="5" borderId="2" xfId="0" applyNumberFormat="1" applyFont="1" applyFill="1" applyBorder="1"/>
    <xf numFmtId="0" fontId="14" fillId="5" borderId="2" xfId="0" applyNumberFormat="1" applyFont="1" applyFill="1" applyBorder="1" applyAlignment="1">
      <alignment horizontal="left" indent="2"/>
    </xf>
    <xf numFmtId="0" fontId="13" fillId="5" borderId="2" xfId="1" applyFont="1" applyFill="1" applyBorder="1"/>
    <xf numFmtId="14" fontId="14" fillId="5" borderId="2" xfId="0" applyNumberFormat="1" applyFont="1" applyFill="1" applyBorder="1" applyAlignment="1">
      <alignment horizontal="left" indent="2"/>
    </xf>
    <xf numFmtId="0" fontId="14" fillId="5" borderId="2" xfId="0" applyFont="1" applyFill="1" applyBorder="1" applyAlignment="1">
      <alignment horizontal="left" indent="2"/>
    </xf>
    <xf numFmtId="2" fontId="12" fillId="5" borderId="2" xfId="0" applyNumberFormat="1" applyFont="1" applyFill="1" applyBorder="1" applyAlignment="1" applyProtection="1">
      <alignment horizontal="center" vertical="center"/>
    </xf>
    <xf numFmtId="0" fontId="11" fillId="5" borderId="2" xfId="0" applyFont="1" applyFill="1" applyBorder="1" applyAlignment="1" applyProtection="1">
      <alignment vertical="center"/>
    </xf>
    <xf numFmtId="166" fontId="12" fillId="5" borderId="2" xfId="0" applyNumberFormat="1" applyFont="1" applyFill="1" applyBorder="1" applyAlignment="1" applyProtection="1">
      <alignment horizontal="center" vertical="center"/>
    </xf>
    <xf numFmtId="0" fontId="14" fillId="5" borderId="2" xfId="0" applyFont="1" applyFill="1" applyBorder="1" applyAlignment="1" applyProtection="1">
      <alignment horizontal="left"/>
    </xf>
    <xf numFmtId="166" fontId="14" fillId="5" borderId="2" xfId="0" applyNumberFormat="1" applyFont="1" applyFill="1" applyBorder="1" applyAlignment="1" applyProtection="1">
      <alignment horizontal="center"/>
    </xf>
    <xf numFmtId="166" fontId="14" fillId="5" borderId="2" xfId="0" applyNumberFormat="1" applyFont="1" applyFill="1" applyBorder="1" applyProtection="1"/>
    <xf numFmtId="2" fontId="14" fillId="5" borderId="2" xfId="0" applyNumberFormat="1" applyFont="1" applyFill="1" applyBorder="1" applyProtection="1"/>
    <xf numFmtId="0" fontId="14" fillId="5" borderId="2" xfId="0" applyFont="1" applyFill="1" applyBorder="1" applyAlignment="1">
      <alignment horizontal="left"/>
    </xf>
    <xf numFmtId="0" fontId="12" fillId="5" borderId="2" xfId="0" applyFont="1" applyFill="1" applyBorder="1" applyAlignment="1">
      <alignment horizontal="left" vertical="center" indent="3"/>
    </xf>
    <xf numFmtId="0" fontId="14" fillId="5" borderId="2" xfId="0" applyFont="1" applyFill="1" applyBorder="1" applyAlignment="1">
      <alignment horizontal="left" wrapText="1"/>
    </xf>
    <xf numFmtId="0" fontId="15" fillId="5" borderId="2" xfId="0" applyFont="1" applyFill="1" applyBorder="1" applyAlignment="1">
      <alignment horizontal="center" vertical="center"/>
    </xf>
    <xf numFmtId="167" fontId="14" fillId="5" borderId="2" xfId="0" applyNumberFormat="1" applyFont="1" applyFill="1" applyBorder="1" applyAlignment="1">
      <alignment horizontal="left"/>
    </xf>
    <xf numFmtId="0" fontId="13" fillId="5" borderId="2" xfId="0" applyFont="1" applyFill="1" applyBorder="1"/>
    <xf numFmtId="0" fontId="13" fillId="5" borderId="2" xfId="0" applyNumberFormat="1" applyFont="1" applyFill="1" applyBorder="1"/>
    <xf numFmtId="10" fontId="14" fillId="5" borderId="2" xfId="2" applyNumberFormat="1" applyFont="1" applyFill="1" applyBorder="1" applyAlignment="1">
      <alignment horizontal="left"/>
    </xf>
    <xf numFmtId="0" fontId="14" fillId="5" borderId="2" xfId="0" applyFont="1" applyFill="1" applyBorder="1" applyAlignment="1">
      <alignment horizontal="left" vertical="center"/>
    </xf>
    <xf numFmtId="0" fontId="13" fillId="5" borderId="2" xfId="0" applyFont="1" applyFill="1" applyBorder="1" applyAlignment="1">
      <alignment horizontal="right" vertical="top" indent="1"/>
    </xf>
    <xf numFmtId="14" fontId="14" fillId="5" borderId="2" xfId="0" applyNumberFormat="1" applyFont="1" applyFill="1" applyBorder="1" applyAlignment="1">
      <alignment horizontal="center"/>
    </xf>
    <xf numFmtId="0" fontId="14" fillId="5" borderId="2" xfId="0" applyFont="1" applyFill="1" applyBorder="1" applyAlignment="1">
      <alignment horizontal="center"/>
    </xf>
    <xf numFmtId="169" fontId="14" fillId="5" borderId="2" xfId="2" applyNumberFormat="1" applyFont="1" applyFill="1" applyBorder="1" applyAlignment="1" applyProtection="1">
      <alignment horizontal="center"/>
    </xf>
    <xf numFmtId="170" fontId="14" fillId="5" borderId="2" xfId="0" applyNumberFormat="1" applyFont="1" applyFill="1" applyBorder="1" applyAlignment="1">
      <alignment horizontal="left"/>
    </xf>
    <xf numFmtId="2" fontId="12" fillId="5" borderId="2" xfId="2" applyNumberFormat="1" applyFont="1" applyFill="1" applyBorder="1" applyAlignment="1">
      <alignment horizontal="center" vertical="center"/>
    </xf>
    <xf numFmtId="2" fontId="12" fillId="5" borderId="2" xfId="2" applyNumberFormat="1" applyFont="1" applyFill="1" applyBorder="1" applyAlignment="1">
      <alignment horizontal="center" vertical="center" wrapText="1"/>
    </xf>
    <xf numFmtId="2" fontId="14" fillId="5" borderId="2" xfId="2" applyNumberFormat="1" applyFont="1" applyFill="1" applyBorder="1" applyProtection="1">
      <protection locked="0"/>
    </xf>
    <xf numFmtId="2" fontId="14" fillId="5" borderId="2" xfId="2" applyNumberFormat="1" applyFont="1" applyFill="1" applyBorder="1"/>
    <xf numFmtId="171" fontId="12" fillId="5" borderId="2" xfId="2" applyNumberFormat="1" applyFont="1" applyFill="1" applyBorder="1" applyAlignment="1">
      <alignment horizontal="center" vertical="center"/>
    </xf>
    <xf numFmtId="171" fontId="12" fillId="5" borderId="2" xfId="2" applyNumberFormat="1" applyFont="1" applyFill="1" applyBorder="1" applyAlignment="1">
      <alignment horizontal="center" vertical="center" wrapText="1"/>
    </xf>
    <xf numFmtId="171" fontId="14" fillId="5" borderId="2" xfId="2" applyNumberFormat="1" applyFont="1" applyFill="1" applyBorder="1" applyProtection="1">
      <protection locked="0"/>
    </xf>
    <xf numFmtId="171" fontId="14" fillId="5" borderId="2" xfId="2" applyNumberFormat="1" applyFont="1" applyFill="1" applyBorder="1"/>
    <xf numFmtId="166" fontId="11" fillId="5" borderId="2" xfId="0" applyNumberFormat="1" applyFont="1" applyFill="1" applyBorder="1" applyAlignment="1" applyProtection="1">
      <alignment horizontal="center" vertical="center"/>
    </xf>
    <xf numFmtId="0" fontId="16" fillId="5" borderId="2" xfId="0" applyFont="1" applyFill="1" applyBorder="1"/>
    <xf numFmtId="0" fontId="17" fillId="5" borderId="2" xfId="0" applyFont="1" applyFill="1" applyBorder="1"/>
    <xf numFmtId="0" fontId="17" fillId="5" borderId="2" xfId="0" applyNumberFormat="1" applyFont="1" applyFill="1" applyBorder="1" applyProtection="1">
      <protection locked="0"/>
    </xf>
    <xf numFmtId="0" fontId="17" fillId="5" borderId="2" xfId="0" applyNumberFormat="1" applyFont="1" applyFill="1" applyBorder="1"/>
    <xf numFmtId="0" fontId="18" fillId="5" borderId="2" xfId="0" applyNumberFormat="1" applyFont="1" applyFill="1" applyBorder="1"/>
    <xf numFmtId="20" fontId="17" fillId="5" borderId="2" xfId="0" applyNumberFormat="1" applyFont="1" applyFill="1" applyBorder="1"/>
    <xf numFmtId="14" fontId="17" fillId="5" borderId="2" xfId="0" applyNumberFormat="1" applyFont="1" applyFill="1" applyBorder="1"/>
    <xf numFmtId="172" fontId="12" fillId="5" borderId="2" xfId="0" applyNumberFormat="1" applyFont="1" applyFill="1" applyBorder="1" applyAlignment="1" applyProtection="1">
      <alignment horizontal="center" vertical="center"/>
    </xf>
    <xf numFmtId="172" fontId="14" fillId="5" borderId="2" xfId="0" applyNumberFormat="1" applyFont="1" applyFill="1" applyBorder="1" applyAlignment="1" applyProtection="1">
      <alignment horizontal="center"/>
    </xf>
    <xf numFmtId="172" fontId="14" fillId="5" borderId="2" xfId="0" applyNumberFormat="1" applyFont="1" applyFill="1" applyBorder="1" applyProtection="1"/>
    <xf numFmtId="0" fontId="16" fillId="5" borderId="2" xfId="0" applyNumberFormat="1" applyFont="1" applyFill="1" applyBorder="1"/>
    <xf numFmtId="20" fontId="14" fillId="5" borderId="2" xfId="0" applyNumberFormat="1" applyFont="1" applyFill="1" applyBorder="1" applyAlignment="1">
      <alignment horizontal="left"/>
    </xf>
    <xf numFmtId="0" fontId="11" fillId="5" borderId="2" xfId="0" applyFont="1" applyFill="1" applyBorder="1" applyAlignment="1">
      <alignment horizontal="center" vertical="center"/>
    </xf>
    <xf numFmtId="0" fontId="11" fillId="5" borderId="2" xfId="0" applyFont="1" applyFill="1" applyBorder="1" applyAlignment="1" applyProtection="1">
      <alignment horizontal="center" vertical="center"/>
    </xf>
    <xf numFmtId="14" fontId="12" fillId="5" borderId="2" xfId="1" applyNumberFormat="1" applyFont="1" applyFill="1" applyBorder="1" applyAlignment="1">
      <alignment horizontal="center" vertical="center"/>
    </xf>
    <xf numFmtId="0" fontId="11" fillId="5" borderId="2" xfId="1" applyFont="1" applyFill="1" applyBorder="1" applyAlignment="1">
      <alignment horizontal="center" vertical="center"/>
    </xf>
    <xf numFmtId="0" fontId="11" fillId="5" borderId="2" xfId="0" applyFont="1" applyFill="1" applyBorder="1" applyAlignment="1">
      <alignment horizontal="left" vertical="center" indent="3"/>
    </xf>
    <xf numFmtId="0" fontId="14" fillId="5" borderId="2" xfId="0" applyFont="1" applyFill="1" applyBorder="1" applyAlignment="1">
      <alignment horizontal="left" vertical="top"/>
    </xf>
    <xf numFmtId="0" fontId="14" fillId="5" borderId="2" xfId="0" applyFont="1" applyFill="1" applyBorder="1" applyAlignment="1">
      <alignment horizontal="left" vertical="top" wrapText="1"/>
    </xf>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7">
    <dxf>
      <font>
        <color theme="0" tint="-0.24994659260841701"/>
      </font>
      <fill>
        <patternFill>
          <bgColor theme="1" tint="0.14996795556505021"/>
        </patternFill>
      </fill>
      <border>
        <left style="thin">
          <color theme="2" tint="-0.749961851863155"/>
        </left>
        <right style="thin">
          <color theme="2" tint="-0.749961851863155"/>
        </right>
        <top style="thin">
          <color theme="2" tint="-0.749961851863155"/>
        </top>
        <bottom style="thin">
          <color theme="2" tint="-0.749961851863155"/>
        </bottom>
        <vertical/>
        <horizontal/>
      </border>
    </dxf>
    <dxf>
      <font>
        <color rgb="FF9C6500"/>
      </font>
      <fill>
        <patternFill>
          <bgColor rgb="FFFFEB9C"/>
        </patternFill>
      </fill>
    </dxf>
    <dxf>
      <font>
        <color theme="0" tint="-0.24994659260841701"/>
      </font>
      <fill>
        <patternFill>
          <bgColor theme="1" tint="0.14996795556505021"/>
        </patternFill>
      </fill>
      <border>
        <left style="thin">
          <color theme="2" tint="-0.749961851863155"/>
        </left>
        <right style="thin">
          <color theme="2" tint="-0.749961851863155"/>
        </right>
        <top style="thin">
          <color theme="2" tint="-0.749961851863155"/>
        </top>
        <bottom style="thin">
          <color theme="2" tint="-0.749961851863155"/>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192.45</v>
        <stp/>
        <stp>*H</stp>
        <stp>VOD-LON</stp>
        <stp>Last</stp>
        <stp>D</stp>
        <stp>42773</stp>
        <stp/>
        <tr r="AJ23" s="5"/>
      </tp>
      <tp>
        <v>216.85001</v>
        <stp/>
        <stp>*H</stp>
        <stp>VOD-LON</stp>
        <stp>Low</stp>
        <stp>D</stp>
        <stp>03/07/2017</stp>
        <stp/>
        <tr r="AK19" s="5"/>
      </tp>
      <tp>
        <v>216.8</v>
        <stp/>
        <stp>*H</stp>
        <stp>VOD-LON</stp>
        <stp>Low</stp>
        <stp>D</stp>
        <stp>06/07/2017</stp>
        <stp/>
        <tr r="AK22" s="5"/>
      </tp>
      <tp>
        <v>215.89999</v>
        <stp/>
        <stp>*H</stp>
        <stp>VOD-LON</stp>
        <stp>Low</stp>
        <stp>D</stp>
        <stp>05/07/2017</stp>
        <stp/>
        <tr r="AK21" s="5"/>
      </tp>
      <tp>
        <v>216.7</v>
        <stp/>
        <stp>*H</stp>
        <stp>VOD-LON</stp>
        <stp>Low</stp>
        <stp>D</stp>
        <stp>04/07/2017</stp>
        <stp/>
        <tr r="AK20" s="5"/>
      </tp>
      <tp>
        <v>219.2</v>
        <stp/>
        <stp>*H</stp>
        <stp>VOD-LON</stp>
        <stp>High</stp>
        <stp>D</stp>
        <stp>03/07/2017</stp>
        <stp/>
        <tr r="AI19" s="5"/>
      </tp>
      <tp>
        <v>220.2</v>
        <stp/>
        <stp>*H</stp>
        <stp>VOD-LON</stp>
        <stp>High</stp>
        <stp>D</stp>
        <stp>06/07/2017</stp>
        <stp/>
        <tr r="AI22" s="5"/>
      </tp>
      <tp>
        <v>218.7</v>
        <stp/>
        <stp>*H</stp>
        <stp>VOD-LON</stp>
        <stp>High</stp>
        <stp>D</stp>
        <stp>05/07/2017</stp>
        <stp/>
        <tr r="AI21" s="5"/>
      </tp>
      <tp>
        <v>218.45</v>
        <stp/>
        <stp>*H</stp>
        <stp>VOD-LON</stp>
        <stp>High</stp>
        <stp>D</stp>
        <stp>04/07/2017</stp>
        <stp/>
        <tr r="AI20" s="5"/>
      </tp>
      <tp>
        <v>218.45</v>
        <stp/>
        <stp>*H</stp>
        <stp>VOD-LON</stp>
        <stp>Open</stp>
        <stp>D</stp>
        <stp>04/07/2017</stp>
        <stp/>
        <tr r="AL20" s="5"/>
      </tp>
      <tp>
        <v>218</v>
        <stp/>
        <stp>*H</stp>
        <stp>VOD-LON</stp>
        <stp>Open</stp>
        <stp>D</stp>
        <stp>05/07/2017</stp>
        <stp/>
        <tr r="AL21" s="5"/>
      </tp>
      <tp>
        <v>218.25</v>
        <stp/>
        <stp>*H</stp>
        <stp>VOD-LON</stp>
        <stp>Open</stp>
        <stp>D</stp>
        <stp>06/07/2017</stp>
        <stp/>
        <tr r="AL22" s="5"/>
      </tp>
      <tp>
        <v>217.64999</v>
        <stp/>
        <stp>*H</stp>
        <stp>VOD-LON</stp>
        <stp>Open</stp>
        <stp>D</stp>
        <stp>03/07/2017</stp>
        <stp/>
        <tr r="AL19" s="5"/>
      </tp>
      <tp>
        <v>192.25</v>
        <stp/>
        <stp>*H</stp>
        <stp>VOD-LON</stp>
        <stp>Low</stp>
        <stp>D</stp>
        <stp>42773</stp>
        <stp/>
        <tr r="AK23" s="5"/>
      </tp>
    </main>
    <main first="rtdsrv.ba4ec824f7c6401fb58e4ee1e1e4c720">
      <tp t="e">
        <v>#N/A</v>
        <stp/>
        <stp>ExcelTrader_6</stp>
        <stp>BEKB:xbru_CfdOnShare</stp>
        <tr r="F3" s="10"/>
        <tr r="D3" s="10"/>
        <tr r="E3" s="10"/>
        <tr r="C3" s="10"/>
      </tp>
    </main>
    <main first="esrtd">
      <tp>
        <v>194.56379999999999</v>
        <stp/>
        <stp>*H</stp>
        <stp>VOD-LON</stp>
        <stp>High</stp>
        <stp>D</stp>
        <stp>42773</stp>
        <stp>20</stp>
        <tr r="AI23" s="5"/>
      </tp>
      <tp>
        <v>193.55</v>
        <stp/>
        <stp>*H</stp>
        <stp>VOD-LON</stp>
        <stp>Open</stp>
        <stp>D</stp>
        <stp>42773</stp>
        <stp/>
        <tr r="AL23" s="5"/>
      </tp>
      <tp>
        <v>217.64999</v>
        <stp/>
        <stp>*H</stp>
        <stp>VOD-LON</stp>
        <stp>Last</stp>
        <stp>D</stp>
        <stp>06/07/2017</stp>
        <stp/>
        <tr r="AJ22" s="5"/>
      </tp>
      <tp>
        <v>217.89999</v>
        <stp/>
        <stp>*H</stp>
        <stp>VOD-LON</stp>
        <stp>Last</stp>
        <stp>D</stp>
        <stp>05/07/2017</stp>
        <stp/>
        <tr r="AJ21" s="5"/>
      </tp>
      <tp>
        <v>217.3</v>
        <stp/>
        <stp>*H</stp>
        <stp>VOD-LON</stp>
        <stp>Last</stp>
        <stp>D</stp>
        <stp>04/07/2017</stp>
        <stp/>
        <tr r="AJ20" s="5"/>
      </tp>
      <tp>
        <v>218.7</v>
        <stp/>
        <stp>*H</stp>
        <stp>VOD-LON</stp>
        <stp>Last</stp>
        <stp>D</stp>
        <stp>03/07/2017</stp>
        <stp/>
        <tr r="AJ19" s="5"/>
      </tp>
    </main>
    <main first="rtdsrv.ba4ec824f7c6401fb58e4ee1e1e4c720">
      <tp t="e">
        <v>#N/A</v>
        <stp/>
        <stp>ExcelTrader_5</stp>
        <stp>185771167</stp>
        <tr r="V9" s="10"/>
        <tr r="S9" s="10"/>
        <tr r="R9" s="10"/>
        <tr r="W9" s="10"/>
        <tr r="U9" s="10"/>
        <tr r="T9" s="10"/>
        <tr r="Q9" s="10"/>
      </tp>
    </main>
    <main first="rtdsrv.ba4ec824f7c6401fb58e4ee1e1e4c720">
      <tp t="e">
        <v>#N/A</v>
        <stp/>
        <stp>ExcelTrader_5</stp>
        <stp>185771093</stp>
        <tr r="U3" s="10"/>
        <tr r="R3" s="10"/>
        <tr r="W3" s="10"/>
        <tr r="V3" s="10"/>
        <tr r="T3" s="10"/>
        <tr r="S3" s="10"/>
        <tr r="Q3" s="10"/>
      </tp>
      <tp t="e">
        <v>#N/A</v>
        <stp/>
        <stp>ExcelTrader_5</stp>
        <stp>185760091</stp>
        <tr r="U4" s="10"/>
        <tr r="T4" s="10"/>
        <tr r="V4" s="10"/>
        <tr r="R4" s="10"/>
        <tr r="Q4" s="10"/>
        <tr r="W4" s="10"/>
        <tr r="S4" s="10"/>
      </tp>
    </main>
    <main first="rtdsrv.ba4ec824f7c6401fb58e4ee1e1e4c720">
      <tp t="e">
        <v>#N/A</v>
        <stp/>
        <stp>ExcelTrader_5</stp>
        <stp>185771587</stp>
        <tr r="W13" s="10"/>
        <tr r="S13" s="10"/>
        <tr r="R13" s="10"/>
        <tr r="T13" s="10"/>
        <tr r="V13" s="10"/>
        <tr r="U13" s="10"/>
        <tr r="Q13" s="10"/>
      </tp>
      <tp t="e">
        <v>#N/A</v>
        <stp/>
        <stp>ExcelTrader_5</stp>
        <stp>185771563</stp>
        <tr r="W10" s="10"/>
        <tr r="S10" s="10"/>
        <tr r="R10" s="10"/>
        <tr r="V10" s="10"/>
        <tr r="U10" s="10"/>
        <tr r="T10" s="10"/>
        <tr r="Q10" s="10"/>
      </tp>
      <tp t="e">
        <v>#N/A</v>
        <stp/>
        <stp>ExcelTrader_5</stp>
        <stp>185771567</stp>
        <tr r="T12" s="10"/>
        <tr r="R12" s="10"/>
        <tr r="W12" s="10"/>
        <tr r="V12" s="10"/>
        <tr r="U12" s="10"/>
        <tr r="S12" s="10"/>
        <tr r="Q12" s="10"/>
      </tp>
      <tp t="e">
        <v>#N/A</v>
        <stp/>
        <stp>ExcelTrader_5</stp>
        <stp>185771565</stp>
        <tr r="W11" s="10"/>
        <tr r="T11" s="10"/>
        <tr r="R11" s="10"/>
        <tr r="V11" s="10"/>
        <tr r="U11" s="10"/>
        <tr r="S11" s="10"/>
        <tr r="Q11" s="10"/>
      </tp>
    </main>
    <main first="rtdsrv.ba4ec824f7c6401fb58e4ee1e1e4c720">
      <tp t="e">
        <v>#N/A</v>
        <stp/>
        <stp>ExcelTrader_5</stp>
        <stp>185675496</stp>
        <tr r="S8" s="10"/>
        <tr r="U8" s="10"/>
        <tr r="W8" s="10"/>
        <tr r="V8" s="10"/>
        <tr r="R8" s="10"/>
        <tr r="Q8" s="10"/>
        <tr r="T8" s="10"/>
      </tp>
    </main>
    <main first="rtdsrv.ba4ec824f7c6401fb58e4ee1e1e4c720">
      <tp t="e">
        <v>#N/A</v>
        <stp/>
        <stp>ExcelTrader_5</stp>
        <stp>185753759</stp>
        <tr r="V6" s="10"/>
        <tr r="R6" s="10"/>
        <tr r="U6" s="10"/>
        <tr r="W6" s="10"/>
        <tr r="T6" s="10"/>
        <tr r="S6" s="10"/>
        <tr r="Q6" s="10"/>
      </tp>
    </main>
    <main first="rtdsrv.ba4ec824f7c6401fb58e4ee1e1e4c720">
      <tp t="e">
        <v>#N/A</v>
        <stp/>
        <stp>ExcelTrader_5</stp>
        <stp>185771657</stp>
        <tr r="R16" s="10"/>
        <tr r="T16" s="10"/>
        <tr r="S16" s="10"/>
        <tr r="W16" s="10"/>
        <tr r="V16" s="10"/>
        <tr r="U16" s="10"/>
        <tr r="Q16" s="10"/>
      </tp>
      <tp t="e">
        <v>#N/A</v>
        <stp/>
        <stp>ExcelTrader_5</stp>
        <stp>185771663</stp>
        <tr r="W17" s="10"/>
        <tr r="S17" s="10"/>
        <tr r="R17" s="10"/>
        <tr r="V17" s="10"/>
        <tr r="U17" s="10"/>
        <tr r="T17" s="10"/>
        <tr r="Q17" s="10"/>
      </tp>
      <tp t="e">
        <v>#N/A</v>
        <stp/>
        <stp>ExcelTrader_5</stp>
        <stp>185771665</stp>
        <tr r="V18" s="10"/>
        <tr r="S18" s="10"/>
        <tr r="R18" s="10"/>
        <tr r="W18" s="10"/>
        <tr r="U18" s="10"/>
        <tr r="T18" s="10"/>
        <tr r="Q18" s="10"/>
      </tp>
      <tp t="e">
        <v>#N/A</v>
        <stp/>
        <stp>ExcelTrader_5</stp>
        <stp>185771615</stp>
        <tr r="W14" s="10"/>
        <tr r="S14" s="10"/>
        <tr r="R14" s="10"/>
        <tr r="V14" s="10"/>
        <tr r="U14" s="10"/>
        <tr r="T14" s="10"/>
        <tr r="Q14" s="10"/>
      </tp>
      <tp t="e">
        <v>#N/A</v>
        <stp/>
        <stp>ExcelTrader_5</stp>
        <stp>185771631</stp>
        <tr r="V15" s="10"/>
        <tr r="R15" s="10"/>
        <tr r="W15" s="10"/>
        <tr r="U15" s="10"/>
        <tr r="T15" s="10"/>
        <tr r="S15" s="10"/>
        <tr r="Q15" s="10"/>
      </tp>
    </main>
    <main first="rtdsrv.ba4ec824f7c6401fb58e4ee1e1e4c720">
      <tp t="e">
        <v>#N/A</v>
        <stp/>
        <stp>ExcelTrader_5</stp>
        <stp>185735906</stp>
        <tr r="T7" s="10"/>
        <tr r="V7" s="10"/>
        <tr r="R7" s="10"/>
        <tr r="W7" s="10"/>
        <tr r="U7" s="10"/>
        <tr r="S7" s="10"/>
        <tr r="Q7" s="10"/>
      </tp>
      <tp t="e">
        <v>#N/A</v>
        <stp/>
        <stp>ExcelTrader_5</stp>
        <stp>185773903</stp>
        <tr r="W20" s="10"/>
        <tr r="U20" s="10"/>
        <tr r="T20" s="10"/>
        <tr r="S20" s="10"/>
        <tr r="R20" s="10"/>
        <tr r="V20" s="10"/>
        <tr r="Q20" s="10"/>
      </tp>
    </main>
    <main first="esrtd">
      <tp>
        <v>218.8</v>
        <stp/>
        <stp>*H</stp>
        <stp>VOD-LON</stp>
        <stp>Last</stp>
        <stp>I5</stp>
        <stp/>
        <stp>1</stp>
        <tr r="AI3" s="5"/>
      </tp>
    </main>
    <main first="rtdsrv.ba4ec824f7c6401fb58e4ee1e1e4c720">
      <tp t="e">
        <v>#N/A</v>
        <stp/>
        <stp>ExcelTrader_5</stp>
        <stp>185759881</stp>
        <tr r="T5" s="10"/>
        <tr r="S5" s="10"/>
        <tr r="Q5" s="10"/>
        <tr r="W5" s="10"/>
        <tr r="V5" s="10"/>
        <tr r="U5" s="10"/>
        <tr r="R5" s="10"/>
      </tp>
      <tp t="e">
        <v>#N/A</v>
        <stp/>
        <stp>ExcelTrader_5</stp>
        <stp>185773899</stp>
        <tr r="V19" s="10"/>
        <tr r="U19" s="10"/>
        <tr r="T19" s="10"/>
        <tr r="S19" s="10"/>
        <tr r="R19" s="10"/>
        <tr r="W19" s="10"/>
        <tr r="Q19" s="10"/>
      </tp>
    </main>
    <main first="esrtd">
      <tp>
        <v>218.7</v>
        <stp/>
        <stp>*H</stp>
        <stp>VOD-LON</stp>
        <stp>Low</stp>
        <stp>I5 [15:00-15:25 L]</stp>
        <stp/>
        <stp>0</stp>
        <tr r="AJ15" s="5"/>
      </tp>
      <tp>
        <v>218.85</v>
        <stp/>
        <stp>*H</stp>
        <stp>VOD-LON</stp>
        <stp>Low</stp>
        <stp>I5 [15:00-15:25 L]</stp>
        <stp/>
        <stp>1</stp>
        <tr r="AJ14" s="5"/>
      </tp>
      <tp>
        <v>218.85</v>
        <stp/>
        <stp>*H</stp>
        <stp>VOD-LON</stp>
        <stp>Low</stp>
        <stp>I5 [15:00-15:25 L]</stp>
        <stp/>
        <stp>2</stp>
        <tr r="AJ13" s="5"/>
      </tp>
      <tp>
        <v>218.9</v>
        <stp/>
        <stp>*H</stp>
        <stp>VOD-LON</stp>
        <stp>Low</stp>
        <stp>I5 [15:00-15:25 L]</stp>
        <stp/>
        <stp>3</stp>
        <tr r="AJ12" s="5"/>
      </tp>
      <tp>
        <v>219.05</v>
        <stp/>
        <stp>*H</stp>
        <stp>VOD-LON</stp>
        <stp>Low</stp>
        <stp>I5 [15:00-15:25 L]</stp>
        <stp/>
        <stp>4</stp>
        <tr r="AJ11" s="5"/>
      </tp>
      <tp>
        <v>218.7</v>
        <stp/>
        <stp>*H</stp>
        <stp>VOD-LON</stp>
        <stp>Last</stp>
        <stp>I5 [15:00-15:25 L]</stp>
        <stp>07/02/2016</stp>
        <stp>0</stp>
        <tr r="AI15" s="5"/>
      </tp>
      <tp>
        <v>219.5</v>
        <stp/>
        <stp>*H</stp>
        <stp>VOD-LON</stp>
        <stp>High</stp>
        <stp>I5 [15:00-15:25 L]</stp>
        <stp/>
        <stp>4</stp>
        <tr r="AH11" s="5"/>
      </tp>
      <tp>
        <v>219.1</v>
        <stp/>
        <stp>*H</stp>
        <stp>VOD-LON</stp>
        <stp>High</stp>
        <stp>I5 [15:00-15:25 L]</stp>
        <stp/>
        <stp>0</stp>
        <tr r="AH15" s="5"/>
      </tp>
      <tp>
        <v>219.05</v>
        <stp/>
        <stp>*H</stp>
        <stp>VOD-LON</stp>
        <stp>High</stp>
        <stp>I5 [15:00-15:25 L]</stp>
        <stp/>
        <stp>1</stp>
        <tr r="AH14" s="5"/>
      </tp>
      <tp>
        <v>218.95</v>
        <stp/>
        <stp>*H</stp>
        <stp>VOD-LON</stp>
        <stp>High</stp>
        <stp>I5 [15:00-15:25 L]</stp>
        <stp/>
        <stp>2</stp>
        <tr r="AH13" s="5"/>
      </tp>
      <tp>
        <v>219.15</v>
        <stp/>
        <stp>*H</stp>
        <stp>VOD-LON</stp>
        <stp>High</stp>
        <stp>I5 [15:00-15:25 L]</stp>
        <stp/>
        <stp>3</stp>
        <tr r="AH12" s="5"/>
      </tp>
      <tp>
        <v>219.5</v>
        <stp/>
        <stp>*H</stp>
        <stp>VOD-LON</stp>
        <stp>Open</stp>
        <stp>I5 [15:00-15:25 L]</stp>
        <stp/>
        <stp>4</stp>
        <tr r="AK11" s="5"/>
      </tp>
      <tp>
        <v>218.95</v>
        <stp/>
        <stp>*H</stp>
        <stp>VOD-LON</stp>
        <stp>Open</stp>
        <stp>I5 [15:00-15:25 L]</stp>
        <stp/>
        <stp>1</stp>
        <tr r="AK14" s="5"/>
      </tp>
      <tp>
        <v>219.1</v>
        <stp/>
        <stp>*H</stp>
        <stp>VOD-LON</stp>
        <stp>Open</stp>
        <stp>I5 [15:00-15:25 L]</stp>
        <stp/>
        <stp>0</stp>
        <tr r="AK15" s="5"/>
      </tp>
      <tp>
        <v>219.15</v>
        <stp/>
        <stp>*H</stp>
        <stp>VOD-LON</stp>
        <stp>Open</stp>
        <stp>I5 [15:00-15:25 L]</stp>
        <stp/>
        <stp>3</stp>
        <tr r="AK12" s="5"/>
      </tp>
      <tp>
        <v>218.95</v>
        <stp/>
        <stp>*H</stp>
        <stp>VOD-LON</stp>
        <stp>Open</stp>
        <stp>I5 [15:00-15:25 L]</stp>
        <stp/>
        <stp>2</stp>
        <tr r="AK13" s="5"/>
      </tp>
      <tp>
        <v>218.8</v>
        <stp/>
        <stp>*H</stp>
        <stp>VOD-LON</stp>
        <stp>Open</stp>
        <stp>I5</stp>
        <stp/>
        <stp>1</stp>
        <tr r="AK3" s="5"/>
      </tp>
    </main>
    <main first="esrtd">
      <tp>
        <v>218.8</v>
        <stp/>
        <stp>*H</stp>
        <stp>VOD-LON</stp>
        <stp>Low</stp>
        <stp>I5</stp>
        <stp/>
        <stp>1</stp>
        <tr r="AJ3" s="5"/>
      </tp>
      <tp>
        <v>218.8</v>
        <stp/>
        <stp>*H</stp>
        <stp>VOD-LON</stp>
        <stp>High</stp>
        <stp>I5</stp>
        <stp/>
        <stp>1</stp>
        <tr r="AH3" s="5"/>
      </tp>
      <tp>
        <v>219.15</v>
        <stp/>
        <stp>*H</stp>
        <stp>VOD-LON</stp>
        <stp>Last</stp>
        <stp>I5 [15:00-15:25 L]</stp>
        <stp/>
        <stp>4</stp>
        <tr r="AI11" s="5"/>
      </tp>
      <tp>
        <v>219.05</v>
        <stp/>
        <stp>*H</stp>
        <stp>VOD-LON</stp>
        <stp>Last</stp>
        <stp>I5 [15:00-15:25 L]</stp>
        <stp/>
        <stp>1</stp>
        <tr r="AI14" s="5"/>
      </tp>
      <tp>
        <v>218.9</v>
        <stp/>
        <stp>*H</stp>
        <stp>VOD-LON</stp>
        <stp>Last</stp>
        <stp>I5 [15:00-15:25 L]</stp>
        <stp/>
        <stp>2</stp>
        <tr r="AI13" s="5"/>
      </tp>
      <tp>
        <v>218.9</v>
        <stp/>
        <stp>*H</stp>
        <stp>VOD-LON</stp>
        <stp>Last</stp>
        <stp>I5 [15:00-15:25 L]</stp>
        <stp/>
        <stp>3</stp>
        <tr r="AI12" s="5"/>
      </tp>
    </main>
    <main first="esrtd">
      <tp>
        <v>42930.625</v>
        <stp/>
        <stp>*H</stp>
        <stp>VOD-LON</stp>
        <stp>BarTime</stp>
        <stp>I5 [15:00-15:25 L]</stp>
        <stp/>
        <stp>4</stp>
        <tr r="AM11" s="5"/>
      </tp>
      <tp>
        <v>42930.628472222219</v>
        <stp/>
        <stp>*H</stp>
        <stp>VOD-LON</stp>
        <stp>BarTime</stp>
        <stp>I5 [15:00-15:25 L]</stp>
        <stp/>
        <stp>3</stp>
        <tr r="AM12" s="5"/>
      </tp>
      <tp>
        <v>42930.631944444445</v>
        <stp/>
        <stp>*H</stp>
        <stp>VOD-LON</stp>
        <stp>BarTime</stp>
        <stp>I5 [15:00-15:25 L]</stp>
        <stp/>
        <stp>2</stp>
        <tr r="AM13" s="5"/>
      </tp>
      <tp>
        <v>42930.635416666664</v>
        <stp/>
        <stp>*H</stp>
        <stp>VOD-LON</stp>
        <stp>BarTime</stp>
        <stp>I5 [15:00-15:25 L]</stp>
        <stp/>
        <stp>1</stp>
        <tr r="AM14" s="5"/>
      </tp>
      <tp>
        <v>42930.638888888891</v>
        <stp/>
        <stp>*H</stp>
        <stp>VOD-LON</stp>
        <stp>BarTime</stp>
        <stp>I5 [15:00-15:25 L]</stp>
        <stp/>
        <stp>0</stp>
        <tr r="AM15" s="5"/>
      </tp>
      <tp>
        <v>457118</v>
        <stp/>
        <stp>*H</stp>
        <stp>VOD-LON</stp>
        <stp>Volume</stp>
        <stp>I5 [15:00-15:25 L]</stp>
        <stp/>
        <stp>4</stp>
        <tr r="AL11" s="5"/>
      </tp>
      <tp>
        <v>97783</v>
        <stp/>
        <stp>*H</stp>
        <stp>VOD-LON</stp>
        <stp>Volume</stp>
        <stp>I5 [15:00-15:25 L]</stp>
        <stp/>
        <stp>0</stp>
        <tr r="AL15" s="5"/>
      </tp>
      <tp>
        <v>59538</v>
        <stp/>
        <stp>*H</stp>
        <stp>VOD-LON</stp>
        <stp>Volume</stp>
        <stp>I5 [15:00-15:25 L]</stp>
        <stp/>
        <stp>1</stp>
        <tr r="AL14" s="5"/>
      </tp>
      <tp>
        <v>112975</v>
        <stp/>
        <stp>*H</stp>
        <stp>VOD-LON</stp>
        <stp>Volume</stp>
        <stp>I5 [15:00-15:25 L]</stp>
        <stp/>
        <stp>2</stp>
        <tr r="AL13" s="5"/>
      </tp>
      <tp>
        <v>257943</v>
        <stp/>
        <stp>*H</stp>
        <stp>VOD-LON</stp>
        <stp>Volume</stp>
        <stp>I5 [15:00-15:25 L]</stp>
        <stp/>
        <stp>3</stp>
        <tr r="AL12" s="5"/>
      </tp>
      <tp>
        <v>5200</v>
        <stp/>
        <stp>*H</stp>
        <stp>VOD-LON</stp>
        <stp>Volume</stp>
        <stp>I5</stp>
        <stp/>
        <stp>1</stp>
        <tr r="AL3" s="5"/>
      </tp>
    </main>
    <main first="rtdsrv.ba4ec824f7c6401fb58e4ee1e1e4c720">
      <tp t="e">
        <v>#N/A</v>
        <stp/>
        <stp>ExcelTrader_7</stp>
        <stp>68536039</stp>
        <tr r="I3" s="7"/>
        <tr r="L3" s="7"/>
        <tr r="F3" s="7"/>
        <tr r="P3" s="7"/>
        <tr r="B3" s="7"/>
        <tr r="M3" s="7"/>
        <tr r="H3" s="7"/>
        <tr r="J3" s="7"/>
        <tr r="O3" s="7"/>
        <tr r="K3" s="7"/>
        <tr r="G3" s="7"/>
        <tr r="E3" s="7"/>
        <tr r="D3" s="7"/>
        <tr r="C3" s="7"/>
        <tr r="N3" s="7"/>
        <tr r="Q3" s="7"/>
      </tp>
    </main>
    <main first="esrtd">
      <tp>
        <v>42919.541666666664</v>
        <stp/>
        <stp>*H</stp>
        <stp>VOD-LON</stp>
        <stp>BarTime</stp>
        <stp>D</stp>
        <stp>03/07/2017</stp>
        <stp/>
        <tr r="AH19" s="5"/>
      </tp>
      <tp>
        <v>42922.541666666664</v>
        <stp/>
        <stp>*H</stp>
        <stp>VOD-LON</stp>
        <stp>BarTime</stp>
        <stp>D</stp>
        <stp>06/07/2017</stp>
        <stp/>
        <tr r="AH22" s="5"/>
      </tp>
      <tp>
        <v>42921.541666666664</v>
        <stp/>
        <stp>*H</stp>
        <stp>VOD-LON</stp>
        <stp>BarTime</stp>
        <stp>D</stp>
        <stp>05/07/2017</stp>
        <stp/>
        <tr r="AH21" s="5"/>
      </tp>
      <tp>
        <v>42920.541666666664</v>
        <stp/>
        <stp>*H</stp>
        <stp>VOD-LON</stp>
        <stp>BarTime</stp>
        <stp>D</stp>
        <stp>04/07/2017</stp>
        <stp/>
        <tr r="AH20" s="5"/>
      </tp>
      <tp>
        <v>55309430</v>
        <stp/>
        <stp>*H</stp>
        <stp>VOD-LON</stp>
        <stp>Volume</stp>
        <stp>D</stp>
        <stp>42773</stp>
        <stp/>
        <tr r="AM23" s="5"/>
      </tp>
      <tp>
        <v>42773.5</v>
        <stp/>
        <stp>*H</stp>
        <stp>VOD-LON</stp>
        <stp>BarTime</stp>
        <stp>D</stp>
        <stp>42773</stp>
        <stp/>
        <tr r="AH23" s="5"/>
      </tp>
      <tp>
        <v>42930.635416666664</v>
        <stp/>
        <stp>*H</stp>
        <stp>VOD-LON</stp>
        <stp>Intraday_Time</stp>
        <stp>I5 [15:00-15:25 L]</stp>
        <stp/>
        <stp>1</stp>
        <tr r="AO14" s="5"/>
      </tp>
      <tp>
        <v>42930.638888888891</v>
        <stp/>
        <stp>*H</stp>
        <stp>VOD-LON</stp>
        <stp>Intraday_Time</stp>
        <stp>I5 [15:00-15:25 L]</stp>
        <stp/>
        <stp>0</stp>
        <tr r="AO15" s="5"/>
      </tp>
      <tp>
        <v>42930.628472222219</v>
        <stp/>
        <stp>*H</stp>
        <stp>VOD-LON</stp>
        <stp>Intraday_Time</stp>
        <stp>I5 [15:00-15:25 L]</stp>
        <stp/>
        <stp>3</stp>
        <tr r="AO12" s="5"/>
      </tp>
      <tp>
        <v>42930.631944444445</v>
        <stp/>
        <stp>*H</stp>
        <stp>VOD-LON</stp>
        <stp>Intraday_Time</stp>
        <stp>I5 [15:00-15:25 L]</stp>
        <stp/>
        <stp>2</stp>
        <tr r="AO13" s="5"/>
      </tp>
      <tp>
        <v>42930.625</v>
        <stp/>
        <stp>*H</stp>
        <stp>VOD-LON</stp>
        <stp>Intraday_Time</stp>
        <stp>I5 [15:00-15:25 L]</stp>
        <stp/>
        <stp>4</stp>
        <tr r="AO11" s="5"/>
      </tp>
      <tp>
        <v>42930.541666666664</v>
        <stp/>
        <stp>*H</stp>
        <stp>VOD-LON</stp>
        <stp>Intraday_Date</stp>
        <stp>I5 [15:00-15:25 L]</stp>
        <stp/>
        <stp>1</stp>
        <tr r="AN14" s="5"/>
      </tp>
      <tp>
        <v>42930.541666666664</v>
        <stp/>
        <stp>*H</stp>
        <stp>VOD-LON</stp>
        <stp>Intraday_Date</stp>
        <stp>I5 [15:00-15:25 L]</stp>
        <stp/>
        <stp>0</stp>
        <tr r="AN15" s="5"/>
      </tp>
      <tp>
        <v>42930.541666666664</v>
        <stp/>
        <stp>*H</stp>
        <stp>VOD-LON</stp>
        <stp>Intraday_Date</stp>
        <stp>I5 [15:00-15:25 L]</stp>
        <stp/>
        <stp>3</stp>
        <tr r="AN12" s="5"/>
      </tp>
      <tp>
        <v>42930.541666666664</v>
        <stp/>
        <stp>*H</stp>
        <stp>VOD-LON</stp>
        <stp>Intraday_Date</stp>
        <stp>I5 [15:00-15:25 L]</stp>
        <stp/>
        <stp>2</stp>
        <tr r="AN13" s="5"/>
      </tp>
      <tp>
        <v>42930.541666666664</v>
        <stp/>
        <stp>*H</stp>
        <stp>VOD-LON</stp>
        <stp>Intraday_Date</stp>
        <stp>I5 [15:00-15:25 L]</stp>
        <stp/>
        <stp>4</stp>
        <tr r="AN11" s="5"/>
      </tp>
      <tp>
        <v>33567300</v>
        <stp/>
        <stp>*H</stp>
        <stp>VOD-LON</stp>
        <stp>Volume</stp>
        <stp>D</stp>
        <stp>06/07/2017</stp>
        <stp/>
        <tr r="AM22" s="5"/>
      </tp>
      <tp>
        <v>25564700</v>
        <stp/>
        <stp>*H</stp>
        <stp>VOD-LON</stp>
        <stp>Volume</stp>
        <stp>D</stp>
        <stp>04/07/2017</stp>
        <stp/>
        <tr r="AM20" s="5"/>
      </tp>
      <tp>
        <v>37661680</v>
        <stp/>
        <stp>*H</stp>
        <stp>VOD-LON</stp>
        <stp>Volume</stp>
        <stp>D</stp>
        <stp>05/07/2017</stp>
        <stp/>
        <tr r="AM21" s="5"/>
      </tp>
      <tp>
        <v>29556930</v>
        <stp/>
        <stp>*H</stp>
        <stp>VOD-LON</stp>
        <stp>Volume</stp>
        <stp>D</stp>
        <stp>03/07/2017</stp>
        <stp/>
        <tr r="AM19" s="5"/>
      </tp>
    </main>
    <main first="rtdsrv.ba4ec824f7c6401fb58e4ee1e1e4c720">
      <tp t="e">
        <v>#N/A</v>
        <stp/>
        <stp>ExcelTrader_6</stp>
        <stp>VOD:xlon_CfdOnShare</stp>
        <tr r="C5" s="10"/>
        <tr r="F5" s="10"/>
        <tr r="D5" s="10"/>
        <tr r="E5" s="10"/>
      </tp>
    </main>
    <main first="rtdsrv.ba4ec824f7c6401fb58e4ee1e1e4c720">
      <tp t="e">
        <v>#N/A</v>
        <stp/>
        <stp>ExcelTrader_6</stp>
        <stp>RTN:xlon_CfdOnShare</stp>
        <tr r="C4" s="10"/>
        <tr r="F4" s="10"/>
        <tr r="E4" s="10"/>
        <tr r="D4" s="10"/>
      </tp>
    </main>
    <main first="esrtd">
      <tp>
        <v>42932.552083333336</v>
        <stp/>
        <stp>*H</stp>
        <stp>VOD-LON</stp>
        <stp>Intraday_Time</stp>
        <stp>I5</stp>
        <stp/>
        <stp>1</stp>
        <tr r="AN3" s="5"/>
      </tp>
      <tp>
        <v>42932.541666666664</v>
        <stp/>
        <stp>*H</stp>
        <stp>VOD-LON</stp>
        <stp>Intraday_Date</stp>
        <stp>I5</stp>
        <stp/>
        <stp>1</stp>
        <tr r="AM3"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102"/>
  <sheetViews>
    <sheetView tabSelected="1" zoomScaleNormal="100" workbookViewId="0">
      <selection activeCell="I8" sqref="I8:I9"/>
    </sheetView>
  </sheetViews>
  <sheetFormatPr defaultRowHeight="15.75" x14ac:dyDescent="0.25"/>
  <cols>
    <col min="1" max="1" width="5.625" style="11" customWidth="1"/>
    <col min="2" max="3" width="18.875" style="17" customWidth="1"/>
    <col min="4" max="4" width="19.625" style="17" customWidth="1"/>
    <col min="5" max="7" width="18.875" style="17" customWidth="1"/>
    <col min="8" max="8" width="14" style="17" customWidth="1"/>
    <col min="9" max="9" width="18.625" style="22" customWidth="1"/>
    <col min="10" max="10" width="21.25" style="87" customWidth="1"/>
    <col min="11" max="11" width="15.625" style="87" customWidth="1"/>
    <col min="12" max="12" width="18.875" style="20" customWidth="1"/>
    <col min="13" max="13" width="16.5" style="20" customWidth="1"/>
    <col min="14" max="14" width="17" style="87" customWidth="1"/>
    <col min="15" max="15" width="17.375" style="83" customWidth="1"/>
    <col min="16" max="16" width="18.875" style="17" customWidth="1"/>
    <col min="17" max="17" width="18.875" style="21" customWidth="1"/>
    <col min="18" max="18" width="18.875" style="17" customWidth="1"/>
    <col min="19" max="20" width="58.875" style="17" hidden="1" customWidth="1"/>
    <col min="21" max="16384" width="9" style="17"/>
  </cols>
  <sheetData>
    <row r="1" spans="1:26" s="2" customFormat="1" ht="41.25" customHeight="1" x14ac:dyDescent="0.25">
      <c r="A1" s="101" t="s">
        <v>2</v>
      </c>
      <c r="B1" s="101"/>
      <c r="C1" s="101"/>
      <c r="D1" s="1">
        <f ca="1">TODAY()</f>
        <v>42932</v>
      </c>
      <c r="E1" s="1"/>
      <c r="I1" s="5"/>
      <c r="J1" s="84"/>
      <c r="K1" s="84"/>
      <c r="L1" s="3"/>
      <c r="M1" s="3"/>
      <c r="N1" s="84"/>
      <c r="O1" s="80"/>
      <c r="Q1" s="4"/>
    </row>
    <row r="2" spans="1:26" s="6" customFormat="1" ht="37.5" customHeight="1" x14ac:dyDescent="0.25">
      <c r="B2" s="6" t="s">
        <v>28</v>
      </c>
      <c r="C2" s="7" t="s">
        <v>29</v>
      </c>
      <c r="D2" s="6" t="s">
        <v>183</v>
      </c>
      <c r="E2" s="6" t="s">
        <v>182</v>
      </c>
      <c r="F2" s="6" t="s">
        <v>40</v>
      </c>
      <c r="G2" s="6" t="s">
        <v>41</v>
      </c>
      <c r="H2" s="6" t="s">
        <v>68</v>
      </c>
      <c r="I2" s="10" t="s">
        <v>74</v>
      </c>
      <c r="J2" s="85" t="s">
        <v>176</v>
      </c>
      <c r="K2" s="85" t="s">
        <v>180</v>
      </c>
      <c r="L2" s="8" t="s">
        <v>177</v>
      </c>
      <c r="M2" s="8" t="s">
        <v>181</v>
      </c>
      <c r="N2" s="85" t="s">
        <v>178</v>
      </c>
      <c r="O2" s="81" t="s">
        <v>179</v>
      </c>
      <c r="P2" s="6" t="s">
        <v>30</v>
      </c>
      <c r="Q2" s="9"/>
      <c r="S2" s="6" t="s">
        <v>64</v>
      </c>
      <c r="T2" s="6" t="s">
        <v>65</v>
      </c>
    </row>
    <row r="3" spans="1:26" x14ac:dyDescent="0.25">
      <c r="A3" s="11">
        <f>IF(COUNTA(B3:Q3,R3:AB3)=0,"", MAX(A$2:A2)+1)</f>
        <v>1</v>
      </c>
      <c r="B3" s="12" t="s">
        <v>103</v>
      </c>
      <c r="C3" s="12"/>
      <c r="D3" s="12"/>
      <c r="E3" s="12"/>
      <c r="F3" s="12"/>
      <c r="G3" s="12"/>
      <c r="H3" s="12"/>
      <c r="I3" s="15"/>
      <c r="J3" s="86"/>
      <c r="K3" s="86"/>
      <c r="L3" s="13"/>
      <c r="M3" s="13"/>
      <c r="N3" s="86"/>
      <c r="O3" s="82"/>
      <c r="P3" s="12"/>
      <c r="Q3" s="14"/>
      <c r="R3" s="12"/>
      <c r="Z3" s="18"/>
    </row>
    <row r="4" spans="1:26" x14ac:dyDescent="0.25">
      <c r="A4" s="11">
        <f>IF(COUNTA(B4:Q4,R4:AB4)=0,"", MAX(A$2:A3)+1)</f>
        <v>2</v>
      </c>
      <c r="B4" s="12" t="s">
        <v>102</v>
      </c>
      <c r="C4" s="12"/>
      <c r="D4" s="12"/>
      <c r="E4" s="12"/>
      <c r="F4" s="12"/>
      <c r="G4" s="12"/>
      <c r="H4" s="12"/>
      <c r="I4" s="19"/>
      <c r="J4" s="86"/>
      <c r="K4" s="86"/>
      <c r="L4" s="13"/>
      <c r="M4" s="13"/>
      <c r="N4" s="86"/>
      <c r="O4" s="82"/>
      <c r="P4" s="12"/>
      <c r="Q4" s="14"/>
      <c r="R4" s="12"/>
    </row>
    <row r="5" spans="1:26" x14ac:dyDescent="0.25">
      <c r="A5" s="11">
        <f>IF(COUNTA(B5:Q5,R5:AB5)=0,"", MAX(A$2:A4)+1)</f>
        <v>3</v>
      </c>
      <c r="B5" s="12" t="s">
        <v>10</v>
      </c>
      <c r="C5" s="12"/>
      <c r="D5" s="12"/>
      <c r="E5" s="12"/>
      <c r="F5" s="12"/>
      <c r="G5" s="12"/>
      <c r="H5" s="12"/>
      <c r="I5" s="19"/>
      <c r="J5" s="86"/>
      <c r="K5" s="86"/>
      <c r="L5" s="13"/>
      <c r="M5" s="13"/>
      <c r="N5" s="86"/>
      <c r="O5" s="82"/>
      <c r="P5" s="12"/>
      <c r="Q5" s="14"/>
      <c r="R5" s="12"/>
    </row>
    <row r="6" spans="1:26" x14ac:dyDescent="0.25">
      <c r="A6" s="11">
        <f>IF(COUNTA(B6:Q6,R6:AB6)=0,"", MAX(A$2:A5)+1)</f>
        <v>4</v>
      </c>
      <c r="B6" s="12" t="s">
        <v>5</v>
      </c>
      <c r="C6" s="12"/>
      <c r="D6" s="12"/>
      <c r="E6" s="12"/>
      <c r="F6" s="12"/>
      <c r="G6" s="12"/>
      <c r="H6" s="12"/>
      <c r="I6" s="19"/>
      <c r="J6" s="86"/>
      <c r="K6" s="86"/>
      <c r="L6" s="13"/>
      <c r="M6" s="13"/>
      <c r="N6" s="86"/>
      <c r="O6" s="82"/>
      <c r="P6" s="12"/>
      <c r="Q6" s="14"/>
      <c r="R6" s="12"/>
    </row>
    <row r="7" spans="1:26" x14ac:dyDescent="0.25">
      <c r="A7" s="11">
        <f>IF(COUNTA(B7:Q7,R7:AB7)=0,"", MAX(A$2:A6)+1)</f>
        <v>5</v>
      </c>
      <c r="B7" s="12" t="s">
        <v>4</v>
      </c>
      <c r="C7" s="12"/>
      <c r="D7" s="12"/>
      <c r="E7" s="12"/>
      <c r="F7" s="12"/>
      <c r="G7" s="12"/>
      <c r="H7" s="12"/>
      <c r="I7" s="19"/>
      <c r="J7" s="86"/>
      <c r="K7" s="86"/>
      <c r="L7" s="13"/>
      <c r="M7" s="13"/>
      <c r="N7" s="86"/>
      <c r="O7" s="82"/>
      <c r="P7" s="12"/>
      <c r="Q7" s="14"/>
      <c r="R7" s="12"/>
    </row>
    <row r="8" spans="1:26" x14ac:dyDescent="0.25">
      <c r="A8" s="11">
        <f>IF(COUNTA(B8:Q8,R8:AB8)=0,"", MAX(A$2:A7)+1)</f>
        <v>6</v>
      </c>
      <c r="B8" s="12" t="s">
        <v>9</v>
      </c>
      <c r="C8" s="12"/>
      <c r="D8" s="12"/>
      <c r="E8" s="12"/>
      <c r="F8" s="12"/>
      <c r="G8" s="12"/>
      <c r="H8" s="12"/>
      <c r="I8" s="19"/>
      <c r="J8" s="86"/>
      <c r="K8" s="86"/>
      <c r="L8" s="13"/>
      <c r="M8" s="13"/>
      <c r="N8" s="86"/>
      <c r="O8" s="82"/>
      <c r="P8" s="12"/>
      <c r="Q8" s="14"/>
      <c r="R8" s="12"/>
    </row>
    <row r="9" spans="1:26" x14ac:dyDescent="0.25">
      <c r="A9" s="11">
        <f>IF(COUNTA(B9:Q9,R9:AB9)=0,"", MAX(A$2:A8)+1)</f>
        <v>7</v>
      </c>
      <c r="B9" s="12" t="s">
        <v>0</v>
      </c>
      <c r="C9" s="12"/>
      <c r="D9" s="12"/>
      <c r="E9" s="12"/>
      <c r="F9" s="12"/>
      <c r="G9" s="12"/>
      <c r="H9" s="12"/>
      <c r="I9" s="19"/>
      <c r="J9" s="86"/>
      <c r="K9" s="86"/>
      <c r="L9" s="13"/>
      <c r="M9" s="13"/>
      <c r="N9" s="86"/>
      <c r="O9" s="82"/>
      <c r="P9" s="12"/>
      <c r="Q9" s="14"/>
      <c r="R9" s="12"/>
    </row>
    <row r="10" spans="1:26" x14ac:dyDescent="0.25">
      <c r="A10" s="11" t="str">
        <f>IF(COUNTA(B10:Q10,R10:AB10)=0,"", MAX(A$2:A9)+1)</f>
        <v/>
      </c>
      <c r="B10" s="12"/>
      <c r="C10" s="12"/>
      <c r="D10" s="12"/>
      <c r="E10" s="12"/>
      <c r="F10" s="12"/>
      <c r="G10" s="12"/>
      <c r="H10" s="12"/>
      <c r="I10" s="19"/>
      <c r="J10" s="86"/>
      <c r="K10" s="86"/>
      <c r="L10" s="13"/>
      <c r="M10" s="13"/>
      <c r="N10" s="86"/>
      <c r="O10" s="82"/>
      <c r="P10" s="12"/>
      <c r="Q10" s="14"/>
      <c r="R10" s="12"/>
    </row>
    <row r="11" spans="1:26" x14ac:dyDescent="0.25">
      <c r="A11" s="11" t="str">
        <f>IF(COUNTA(B11:Q11,R11:AB11)=0,"", MAX(A$2:A10)+1)</f>
        <v/>
      </c>
      <c r="B11" s="12"/>
      <c r="C11" s="12"/>
      <c r="D11" s="12"/>
      <c r="E11" s="12"/>
      <c r="F11" s="12"/>
      <c r="G11" s="12"/>
      <c r="H11" s="12"/>
      <c r="I11" s="19"/>
      <c r="J11" s="86"/>
      <c r="K11" s="86"/>
      <c r="L11" s="13"/>
      <c r="M11" s="13"/>
      <c r="N11" s="86"/>
      <c r="O11" s="82"/>
      <c r="P11" s="12"/>
      <c r="Q11" s="14"/>
      <c r="R11" s="12"/>
    </row>
    <row r="12" spans="1:26" x14ac:dyDescent="0.25">
      <c r="A12" s="11" t="str">
        <f>IF(COUNTA(B12:Q12,R12:AB12)=0,"", MAX(A$2:A11)+1)</f>
        <v/>
      </c>
      <c r="B12" s="12"/>
      <c r="C12" s="12"/>
      <c r="D12" s="12"/>
      <c r="E12" s="12"/>
      <c r="F12" s="12"/>
      <c r="G12" s="12"/>
      <c r="H12" s="12"/>
      <c r="I12" s="19"/>
      <c r="J12" s="86"/>
      <c r="K12" s="86"/>
      <c r="L12" s="13"/>
      <c r="M12" s="13"/>
      <c r="N12" s="86"/>
      <c r="O12" s="82"/>
      <c r="P12" s="12"/>
      <c r="Q12" s="14"/>
      <c r="R12" s="12"/>
    </row>
    <row r="13" spans="1:26" x14ac:dyDescent="0.25">
      <c r="A13" s="11" t="str">
        <f>IF(COUNTA(B13:Q13,R13:AB13)=0,"", MAX(A$2:A12)+1)</f>
        <v/>
      </c>
      <c r="B13" s="12"/>
      <c r="C13" s="12"/>
      <c r="D13" s="12"/>
      <c r="E13" s="12"/>
      <c r="F13" s="12"/>
      <c r="G13" s="12"/>
      <c r="H13" s="12"/>
      <c r="I13" s="19"/>
      <c r="J13" s="86"/>
      <c r="K13" s="86"/>
      <c r="L13" s="13"/>
      <c r="M13" s="13"/>
      <c r="N13" s="86"/>
      <c r="O13" s="82"/>
      <c r="P13" s="12"/>
      <c r="Q13" s="14"/>
      <c r="R13" s="12"/>
    </row>
    <row r="14" spans="1:26" x14ac:dyDescent="0.25">
      <c r="A14" s="11" t="str">
        <f>IF(COUNTA(B14:Q14,R14:AB14)=0,"", MAX(A$2:A13)+1)</f>
        <v/>
      </c>
      <c r="B14" s="12"/>
      <c r="C14" s="12"/>
      <c r="D14" s="12"/>
      <c r="E14" s="12"/>
      <c r="F14" s="12"/>
      <c r="G14" s="12"/>
      <c r="H14" s="12"/>
      <c r="I14" s="19"/>
      <c r="J14" s="86"/>
      <c r="K14" s="86"/>
      <c r="L14" s="13"/>
      <c r="M14" s="13"/>
      <c r="N14" s="86"/>
      <c r="O14" s="82"/>
      <c r="P14" s="12"/>
      <c r="Q14" s="14"/>
      <c r="R14" s="12"/>
    </row>
    <row r="15" spans="1:26" x14ac:dyDescent="0.25">
      <c r="A15" s="11" t="str">
        <f>IF(COUNTA(B15:Q15,R15:AB15)=0,"", MAX(A$2:A14)+1)</f>
        <v/>
      </c>
      <c r="B15" s="12"/>
      <c r="C15" s="12"/>
      <c r="D15" s="12"/>
      <c r="E15" s="12"/>
      <c r="F15" s="12"/>
      <c r="G15" s="12"/>
      <c r="H15" s="12"/>
      <c r="I15" s="19"/>
      <c r="J15" s="86"/>
      <c r="K15" s="86"/>
      <c r="L15" s="13"/>
      <c r="M15" s="13"/>
      <c r="N15" s="86"/>
      <c r="O15" s="82"/>
      <c r="P15" s="12"/>
      <c r="Q15" s="14"/>
      <c r="R15" s="12"/>
    </row>
    <row r="16" spans="1:26" x14ac:dyDescent="0.25">
      <c r="A16" s="11" t="str">
        <f>IF(COUNTA(B16:Q16,R16:AB16)=0,"", MAX(A$2:A15)+1)</f>
        <v/>
      </c>
      <c r="B16" s="12"/>
      <c r="C16" s="12"/>
      <c r="D16" s="12"/>
      <c r="E16" s="12"/>
      <c r="F16" s="12"/>
      <c r="G16" s="12"/>
      <c r="H16" s="12"/>
      <c r="I16" s="19"/>
      <c r="J16" s="86"/>
      <c r="K16" s="86"/>
      <c r="L16" s="13"/>
      <c r="M16" s="13"/>
      <c r="N16" s="86"/>
      <c r="O16" s="82"/>
      <c r="P16" s="12"/>
      <c r="Q16" s="14"/>
      <c r="R16" s="12"/>
    </row>
    <row r="17" spans="1:18" x14ac:dyDescent="0.25">
      <c r="A17" s="11" t="str">
        <f>IF(COUNTA(B17:Q17,R17:AB17)=0,"", MAX(A$2:A16)+1)</f>
        <v/>
      </c>
      <c r="B17" s="12"/>
      <c r="C17" s="12"/>
      <c r="D17" s="12"/>
      <c r="E17" s="12"/>
      <c r="F17" s="12"/>
      <c r="G17" s="12"/>
      <c r="H17" s="12"/>
      <c r="I17" s="19"/>
      <c r="J17" s="86"/>
      <c r="K17" s="86"/>
      <c r="L17" s="13"/>
      <c r="M17" s="13"/>
      <c r="N17" s="86"/>
      <c r="O17" s="82"/>
      <c r="P17" s="12"/>
      <c r="Q17" s="14"/>
      <c r="R17" s="12"/>
    </row>
    <row r="18" spans="1:18" x14ac:dyDescent="0.25">
      <c r="A18" s="11" t="str">
        <f>IF(COUNTA(B18:Q18,R18:AB18)=0,"", MAX(A$2:A17)+1)</f>
        <v/>
      </c>
      <c r="B18" s="12"/>
      <c r="C18" s="12"/>
      <c r="D18" s="12"/>
      <c r="E18" s="12"/>
      <c r="F18" s="12"/>
      <c r="G18" s="12"/>
      <c r="H18" s="12"/>
      <c r="I18" s="19"/>
      <c r="J18" s="86"/>
      <c r="K18" s="86"/>
      <c r="L18" s="13"/>
      <c r="M18" s="13"/>
      <c r="N18" s="86"/>
      <c r="O18" s="82"/>
      <c r="P18" s="12"/>
      <c r="Q18" s="14"/>
      <c r="R18" s="12"/>
    </row>
    <row r="19" spans="1:18" x14ac:dyDescent="0.25">
      <c r="A19" s="11" t="str">
        <f>IF(COUNTA(B19:Q19,R19:AB19)=0,"", MAX(A$2:A18)+1)</f>
        <v/>
      </c>
      <c r="B19" s="12"/>
      <c r="C19" s="12"/>
      <c r="D19" s="12"/>
      <c r="E19" s="12"/>
      <c r="F19" s="12"/>
      <c r="G19" s="12"/>
      <c r="H19" s="12"/>
      <c r="I19" s="19"/>
      <c r="J19" s="86"/>
      <c r="K19" s="86"/>
      <c r="L19" s="13"/>
      <c r="M19" s="13"/>
      <c r="N19" s="86"/>
      <c r="O19" s="82"/>
      <c r="P19" s="12"/>
      <c r="Q19" s="14"/>
      <c r="R19" s="12"/>
    </row>
    <row r="20" spans="1:18" x14ac:dyDescent="0.25">
      <c r="A20" s="11" t="str">
        <f>IF(COUNTA(B20:Q20,R20:AB20)=0,"", MAX(A$2:A19)+1)</f>
        <v/>
      </c>
      <c r="B20" s="12"/>
      <c r="C20" s="12"/>
      <c r="D20" s="12"/>
      <c r="E20" s="12"/>
      <c r="F20" s="12"/>
      <c r="G20" s="12"/>
      <c r="H20" s="12"/>
      <c r="I20" s="19"/>
      <c r="J20" s="86"/>
      <c r="K20" s="86"/>
      <c r="L20" s="13"/>
      <c r="M20" s="13"/>
      <c r="N20" s="86"/>
      <c r="O20" s="82"/>
      <c r="P20" s="12"/>
      <c r="Q20" s="14"/>
      <c r="R20" s="12"/>
    </row>
    <row r="21" spans="1:18" x14ac:dyDescent="0.25">
      <c r="A21" s="11" t="str">
        <f>IF(COUNTA(B21:Q21,R21:AB21)=0,"", MAX(A$2:A20)+1)</f>
        <v/>
      </c>
      <c r="B21" s="12"/>
      <c r="C21" s="12"/>
      <c r="D21" s="12"/>
      <c r="E21" s="12"/>
      <c r="F21" s="12"/>
      <c r="G21" s="12"/>
      <c r="H21" s="12"/>
      <c r="I21" s="19"/>
      <c r="J21" s="86"/>
      <c r="K21" s="86"/>
      <c r="L21" s="13"/>
      <c r="M21" s="13"/>
      <c r="N21" s="86"/>
      <c r="O21" s="82"/>
      <c r="P21" s="12"/>
      <c r="Q21" s="14"/>
      <c r="R21" s="12"/>
    </row>
    <row r="22" spans="1:18" x14ac:dyDescent="0.25">
      <c r="A22" s="11" t="str">
        <f>IF(COUNTA(B22:Q22,R22:AB22)=0,"", MAX(A$2:A21)+1)</f>
        <v/>
      </c>
      <c r="B22" s="12"/>
      <c r="C22" s="12"/>
      <c r="D22" s="12"/>
      <c r="E22" s="12"/>
      <c r="F22" s="12"/>
      <c r="G22" s="12"/>
      <c r="H22" s="12"/>
      <c r="I22" s="19"/>
      <c r="J22" s="86"/>
      <c r="K22" s="86"/>
      <c r="L22" s="13"/>
      <c r="M22" s="13"/>
      <c r="N22" s="86"/>
      <c r="O22" s="82"/>
      <c r="P22" s="12"/>
      <c r="Q22" s="14"/>
      <c r="R22" s="12"/>
    </row>
    <row r="23" spans="1:18" x14ac:dyDescent="0.25">
      <c r="A23" s="11" t="str">
        <f>IF(COUNTA(B23:Q23,R23:AB23)=0,"", MAX(A$2:A22)+1)</f>
        <v/>
      </c>
      <c r="B23" s="12"/>
      <c r="C23" s="12"/>
      <c r="D23" s="12"/>
      <c r="E23" s="12"/>
      <c r="F23" s="12"/>
      <c r="G23" s="12"/>
      <c r="H23" s="12"/>
      <c r="I23" s="19"/>
      <c r="J23" s="86"/>
      <c r="K23" s="86"/>
      <c r="L23" s="13"/>
      <c r="M23" s="13"/>
      <c r="N23" s="86"/>
      <c r="O23" s="82"/>
      <c r="P23" s="12"/>
      <c r="Q23" s="14"/>
      <c r="R23" s="12"/>
    </row>
    <row r="24" spans="1:18" x14ac:dyDescent="0.25">
      <c r="A24" s="11" t="str">
        <f>IF(COUNTA(B24:Q24,R24:AB24)=0,"", MAX(A$2:A23)+1)</f>
        <v/>
      </c>
      <c r="B24" s="12"/>
      <c r="C24" s="12"/>
      <c r="D24" s="12"/>
      <c r="E24" s="12"/>
      <c r="F24" s="12"/>
      <c r="G24" s="12"/>
      <c r="H24" s="12"/>
      <c r="I24" s="19"/>
      <c r="J24" s="86"/>
      <c r="K24" s="86"/>
      <c r="L24" s="13"/>
      <c r="M24" s="13"/>
      <c r="N24" s="86"/>
      <c r="O24" s="82"/>
      <c r="P24" s="12"/>
      <c r="Q24" s="14"/>
      <c r="R24" s="12"/>
    </row>
    <row r="25" spans="1:18" x14ac:dyDescent="0.25">
      <c r="A25" s="11" t="str">
        <f>IF(COUNTA(B25:Q25,R25:AB25)=0,"", MAX(A$2:A24)+1)</f>
        <v/>
      </c>
      <c r="B25" s="12"/>
      <c r="C25" s="12"/>
      <c r="D25" s="12"/>
      <c r="E25" s="12"/>
      <c r="F25" s="12"/>
      <c r="G25" s="12"/>
      <c r="H25" s="12"/>
      <c r="I25" s="19"/>
      <c r="J25" s="86"/>
      <c r="K25" s="86"/>
      <c r="L25" s="13"/>
      <c r="M25" s="13"/>
      <c r="N25" s="86"/>
      <c r="O25" s="82"/>
      <c r="P25" s="12"/>
      <c r="Q25" s="14"/>
      <c r="R25" s="12"/>
    </row>
    <row r="26" spans="1:18" x14ac:dyDescent="0.25">
      <c r="A26" s="11" t="str">
        <f>IF(COUNTA(B26:Q26,R26:AB26)=0,"", MAX(A$2:A25)+1)</f>
        <v/>
      </c>
      <c r="B26" s="12"/>
      <c r="C26" s="12"/>
      <c r="D26" s="12"/>
      <c r="E26" s="12"/>
      <c r="F26" s="12"/>
      <c r="G26" s="12"/>
      <c r="H26" s="12"/>
      <c r="I26" s="19"/>
      <c r="J26" s="86"/>
      <c r="K26" s="86"/>
      <c r="L26" s="13"/>
      <c r="M26" s="13"/>
      <c r="N26" s="86"/>
      <c r="O26" s="82"/>
      <c r="P26" s="12"/>
      <c r="Q26" s="14"/>
      <c r="R26" s="12"/>
    </row>
    <row r="27" spans="1:18" x14ac:dyDescent="0.25">
      <c r="A27" s="11" t="str">
        <f>IF(COUNTA(B27:Q27,R27:AB27)=0,"", MAX(A$2:A26)+1)</f>
        <v/>
      </c>
      <c r="B27" s="12"/>
      <c r="C27" s="12"/>
      <c r="D27" s="12"/>
      <c r="E27" s="12"/>
      <c r="F27" s="12"/>
      <c r="G27" s="12"/>
      <c r="H27" s="12"/>
      <c r="I27" s="19"/>
      <c r="J27" s="86"/>
      <c r="K27" s="86"/>
      <c r="L27" s="13"/>
      <c r="M27" s="13"/>
      <c r="N27" s="86"/>
      <c r="O27" s="82"/>
      <c r="P27" s="12"/>
      <c r="Q27" s="14"/>
      <c r="R27" s="12"/>
    </row>
    <row r="28" spans="1:18" x14ac:dyDescent="0.25">
      <c r="A28" s="11" t="str">
        <f>IF(COUNTA(B28:Q28,R28:AB28)=0,"", MAX(A$2:A27)+1)</f>
        <v/>
      </c>
      <c r="B28" s="12"/>
      <c r="C28" s="12"/>
      <c r="D28" s="12"/>
      <c r="E28" s="12"/>
      <c r="F28" s="12"/>
      <c r="G28" s="12"/>
      <c r="H28" s="12"/>
      <c r="I28" s="19"/>
      <c r="J28" s="86"/>
      <c r="K28" s="86"/>
      <c r="L28" s="13"/>
      <c r="M28" s="13"/>
      <c r="N28" s="86"/>
      <c r="O28" s="82"/>
      <c r="P28" s="12"/>
      <c r="Q28" s="14"/>
      <c r="R28" s="12"/>
    </row>
    <row r="29" spans="1:18" x14ac:dyDescent="0.25">
      <c r="A29" s="11" t="str">
        <f>IF(COUNTA(B29:Q29,R29:AB29)=0,"", MAX(A$2:A28)+1)</f>
        <v/>
      </c>
      <c r="B29" s="12"/>
      <c r="C29" s="12"/>
      <c r="D29" s="12"/>
      <c r="E29" s="12"/>
      <c r="F29" s="12"/>
      <c r="G29" s="12"/>
      <c r="H29" s="12"/>
      <c r="I29" s="19"/>
      <c r="J29" s="86"/>
      <c r="K29" s="86"/>
      <c r="L29" s="13"/>
      <c r="M29" s="13"/>
      <c r="N29" s="86"/>
      <c r="O29" s="82"/>
      <c r="P29" s="12"/>
      <c r="Q29" s="14"/>
      <c r="R29" s="12"/>
    </row>
    <row r="30" spans="1:18" x14ac:dyDescent="0.25">
      <c r="A30" s="11" t="str">
        <f>IF(COUNTA(B30:Q30,R30:AB30)=0,"", MAX(A$2:A29)+1)</f>
        <v/>
      </c>
      <c r="B30" s="12"/>
      <c r="C30" s="12"/>
      <c r="D30" s="12"/>
      <c r="E30" s="12"/>
      <c r="F30" s="12"/>
      <c r="G30" s="12"/>
      <c r="H30" s="12"/>
      <c r="I30" s="19"/>
      <c r="J30" s="86"/>
      <c r="K30" s="86"/>
      <c r="L30" s="13"/>
      <c r="M30" s="13"/>
      <c r="N30" s="86"/>
      <c r="O30" s="82"/>
      <c r="P30" s="12"/>
      <c r="Q30" s="14"/>
      <c r="R30" s="12"/>
    </row>
    <row r="31" spans="1:18" x14ac:dyDescent="0.25">
      <c r="A31" s="11" t="str">
        <f>IF(COUNTA(B31:Q31,R31:AB31)=0,"", MAX(A$2:A30)+1)</f>
        <v/>
      </c>
      <c r="B31" s="12"/>
      <c r="C31" s="12"/>
      <c r="D31" s="12"/>
      <c r="E31" s="12"/>
      <c r="F31" s="12"/>
      <c r="G31" s="12"/>
      <c r="H31" s="12"/>
      <c r="I31" s="19"/>
      <c r="J31" s="86"/>
      <c r="K31" s="86"/>
      <c r="L31" s="13"/>
      <c r="M31" s="13"/>
      <c r="N31" s="86"/>
      <c r="O31" s="82"/>
      <c r="P31" s="12"/>
      <c r="Q31" s="14"/>
      <c r="R31" s="12"/>
    </row>
    <row r="32" spans="1:18" x14ac:dyDescent="0.25">
      <c r="A32" s="11" t="str">
        <f>IF(COUNTA(B32:Q32,R32:AB32)=0,"", MAX(A$2:A31)+1)</f>
        <v/>
      </c>
      <c r="B32" s="12"/>
      <c r="C32" s="12"/>
      <c r="D32" s="12"/>
      <c r="E32" s="12"/>
      <c r="F32" s="12"/>
      <c r="G32" s="12"/>
      <c r="H32" s="12"/>
      <c r="I32" s="19"/>
      <c r="J32" s="86"/>
      <c r="K32" s="86"/>
      <c r="L32" s="13"/>
      <c r="M32" s="13"/>
      <c r="N32" s="86"/>
      <c r="O32" s="82"/>
      <c r="P32" s="12"/>
      <c r="Q32" s="14"/>
      <c r="R32" s="12"/>
    </row>
    <row r="33" spans="1:18" x14ac:dyDescent="0.25">
      <c r="A33" s="11" t="str">
        <f>IF(COUNTA(B33:Q33,R33:AB33)=0,"", MAX(A$2:A32)+1)</f>
        <v/>
      </c>
      <c r="B33" s="12"/>
      <c r="C33" s="12"/>
      <c r="D33" s="12"/>
      <c r="E33" s="12"/>
      <c r="F33" s="12"/>
      <c r="G33" s="12"/>
      <c r="H33" s="12"/>
      <c r="I33" s="19"/>
      <c r="J33" s="86"/>
      <c r="K33" s="86"/>
      <c r="L33" s="13"/>
      <c r="M33" s="13"/>
      <c r="N33" s="86"/>
      <c r="O33" s="82"/>
      <c r="P33" s="12"/>
      <c r="Q33" s="14"/>
      <c r="R33" s="12"/>
    </row>
    <row r="34" spans="1:18" x14ac:dyDescent="0.25">
      <c r="A34" s="11" t="str">
        <f>IF(COUNTA(B34:Q34,R34:AB34)=0,"", MAX(A$2:A33)+1)</f>
        <v/>
      </c>
      <c r="B34" s="12"/>
      <c r="C34" s="12"/>
      <c r="D34" s="12"/>
      <c r="E34" s="12"/>
      <c r="F34" s="12"/>
      <c r="G34" s="12"/>
      <c r="H34" s="12"/>
      <c r="I34" s="19"/>
      <c r="J34" s="86"/>
      <c r="K34" s="86"/>
      <c r="L34" s="13"/>
      <c r="M34" s="13"/>
      <c r="N34" s="86"/>
      <c r="O34" s="82"/>
      <c r="P34" s="12"/>
      <c r="Q34" s="14"/>
      <c r="R34" s="12"/>
    </row>
    <row r="35" spans="1:18" x14ac:dyDescent="0.25">
      <c r="A35" s="11" t="str">
        <f>IF(COUNTA(B35:Q35,R35:AB35)=0,"", MAX(A$2:A34)+1)</f>
        <v/>
      </c>
      <c r="B35" s="12"/>
      <c r="C35" s="12"/>
      <c r="D35" s="12"/>
      <c r="E35" s="12"/>
      <c r="F35" s="12"/>
      <c r="G35" s="12"/>
      <c r="H35" s="12"/>
      <c r="I35" s="19"/>
      <c r="J35" s="86"/>
      <c r="K35" s="86"/>
      <c r="L35" s="13"/>
      <c r="M35" s="13"/>
      <c r="N35" s="86"/>
      <c r="O35" s="82"/>
      <c r="P35" s="12"/>
      <c r="Q35" s="14"/>
      <c r="R35" s="12"/>
    </row>
    <row r="36" spans="1:18" x14ac:dyDescent="0.25">
      <c r="A36" s="11" t="str">
        <f>IF(COUNTA(B36:Q36,R36:AB36)=0,"", MAX(A$2:A35)+1)</f>
        <v/>
      </c>
      <c r="B36" s="12"/>
      <c r="C36" s="12"/>
      <c r="D36" s="12"/>
      <c r="E36" s="12"/>
      <c r="F36" s="12"/>
      <c r="G36" s="12"/>
      <c r="H36" s="12"/>
      <c r="I36" s="19"/>
      <c r="J36" s="86"/>
      <c r="K36" s="86"/>
      <c r="L36" s="13"/>
      <c r="M36" s="13"/>
      <c r="N36" s="86"/>
      <c r="O36" s="82"/>
      <c r="P36" s="12"/>
      <c r="Q36" s="14"/>
      <c r="R36" s="12"/>
    </row>
    <row r="37" spans="1:18" x14ac:dyDescent="0.25">
      <c r="A37" s="11" t="str">
        <f>IF(COUNTA(B37:Q37,R37:AB37)=0,"", MAX(A$2:A36)+1)</f>
        <v/>
      </c>
      <c r="B37" s="12"/>
      <c r="C37" s="12"/>
      <c r="D37" s="12"/>
      <c r="E37" s="12"/>
      <c r="F37" s="12"/>
      <c r="G37" s="12"/>
      <c r="H37" s="12"/>
      <c r="I37" s="19"/>
      <c r="J37" s="86"/>
      <c r="K37" s="86"/>
      <c r="L37" s="13"/>
      <c r="M37" s="13"/>
      <c r="N37" s="86"/>
      <c r="O37" s="82"/>
      <c r="P37" s="12"/>
      <c r="Q37" s="14"/>
      <c r="R37" s="12"/>
    </row>
    <row r="38" spans="1:18" x14ac:dyDescent="0.25">
      <c r="A38" s="11" t="str">
        <f>IF(COUNTA(B38:Q38,R38:AB38)=0,"", MAX(A$2:A37)+1)</f>
        <v/>
      </c>
      <c r="B38" s="12"/>
      <c r="C38" s="12"/>
      <c r="D38" s="12"/>
      <c r="E38" s="12"/>
      <c r="F38" s="12"/>
      <c r="G38" s="12"/>
      <c r="H38" s="12"/>
      <c r="I38" s="19"/>
      <c r="J38" s="86"/>
      <c r="K38" s="86"/>
      <c r="L38" s="13"/>
      <c r="M38" s="13"/>
      <c r="N38" s="86"/>
      <c r="O38" s="82"/>
      <c r="P38" s="12"/>
      <c r="Q38" s="14"/>
      <c r="R38" s="12"/>
    </row>
    <row r="39" spans="1:18" x14ac:dyDescent="0.25">
      <c r="A39" s="11" t="str">
        <f>IF(COUNTA(B39:Q39,R39:AB39)=0,"", MAX(A$2:A38)+1)</f>
        <v/>
      </c>
      <c r="B39" s="12"/>
      <c r="C39" s="12"/>
      <c r="D39" s="12"/>
      <c r="E39" s="12"/>
      <c r="F39" s="12"/>
      <c r="G39" s="12"/>
      <c r="H39" s="12"/>
      <c r="I39" s="19"/>
      <c r="J39" s="86"/>
      <c r="K39" s="86"/>
      <c r="L39" s="13"/>
      <c r="M39" s="13"/>
      <c r="N39" s="86"/>
      <c r="O39" s="82"/>
      <c r="P39" s="12"/>
      <c r="Q39" s="14"/>
      <c r="R39" s="12"/>
    </row>
    <row r="40" spans="1:18" x14ac:dyDescent="0.25">
      <c r="A40" s="11" t="str">
        <f>IF(COUNTA(B40:Q40,R40:AB40)=0,"", MAX(A$2:A39)+1)</f>
        <v/>
      </c>
      <c r="B40" s="12"/>
      <c r="C40" s="12"/>
      <c r="D40" s="12"/>
      <c r="E40" s="12"/>
      <c r="F40" s="12"/>
      <c r="G40" s="12"/>
      <c r="H40" s="12"/>
      <c r="I40" s="19"/>
      <c r="J40" s="86"/>
      <c r="K40" s="86"/>
      <c r="L40" s="13"/>
      <c r="M40" s="13"/>
      <c r="N40" s="86"/>
      <c r="O40" s="82"/>
      <c r="P40" s="12"/>
      <c r="Q40" s="14"/>
      <c r="R40" s="12"/>
    </row>
    <row r="41" spans="1:18" x14ac:dyDescent="0.25">
      <c r="A41" s="11" t="str">
        <f>IF(COUNTA(B41:Q41,R41:AB41)=0,"", MAX(A$2:A40)+1)</f>
        <v/>
      </c>
      <c r="B41" s="12"/>
      <c r="C41" s="12"/>
      <c r="D41" s="12"/>
      <c r="E41" s="12"/>
      <c r="F41" s="12"/>
      <c r="G41" s="12"/>
      <c r="H41" s="12"/>
      <c r="I41" s="19"/>
      <c r="J41" s="86"/>
      <c r="K41" s="86"/>
      <c r="L41" s="13"/>
      <c r="M41" s="13"/>
      <c r="N41" s="86"/>
      <c r="O41" s="82"/>
      <c r="P41" s="12"/>
      <c r="Q41" s="14"/>
      <c r="R41" s="12"/>
    </row>
    <row r="42" spans="1:18" x14ac:dyDescent="0.25">
      <c r="A42" s="11" t="str">
        <f>IF(COUNTA(B42:Q42,R42:AB42)=0,"", MAX(A$2:A41)+1)</f>
        <v/>
      </c>
      <c r="B42" s="12"/>
      <c r="C42" s="12"/>
      <c r="D42" s="12"/>
      <c r="E42" s="12"/>
      <c r="F42" s="12"/>
      <c r="G42" s="12"/>
      <c r="H42" s="12"/>
      <c r="I42" s="19"/>
      <c r="J42" s="86"/>
      <c r="K42" s="86"/>
      <c r="L42" s="13"/>
      <c r="M42" s="13"/>
      <c r="N42" s="86"/>
      <c r="O42" s="82"/>
      <c r="P42" s="12"/>
      <c r="Q42" s="14"/>
      <c r="R42" s="12"/>
    </row>
    <row r="43" spans="1:18" x14ac:dyDescent="0.25">
      <c r="A43" s="11" t="str">
        <f>IF(COUNTA(B43:Q43,R43:AB43)=0,"", MAX(A$2:A42)+1)</f>
        <v/>
      </c>
      <c r="B43" s="12"/>
      <c r="C43" s="12"/>
      <c r="D43" s="12"/>
      <c r="E43" s="12"/>
      <c r="F43" s="12"/>
      <c r="G43" s="12"/>
      <c r="H43" s="12"/>
      <c r="I43" s="19"/>
      <c r="J43" s="86"/>
      <c r="K43" s="86"/>
      <c r="L43" s="13"/>
      <c r="M43" s="13"/>
      <c r="N43" s="86"/>
      <c r="O43" s="82"/>
      <c r="P43" s="12"/>
      <c r="Q43" s="14"/>
      <c r="R43" s="12"/>
    </row>
    <row r="44" spans="1:18" x14ac:dyDescent="0.25">
      <c r="A44" s="11" t="str">
        <f>IF(COUNTA(B44:Q44,R44:AB44)=0,"", MAX(A$2:A43)+1)</f>
        <v/>
      </c>
      <c r="B44" s="12"/>
      <c r="C44" s="12"/>
      <c r="D44" s="12"/>
      <c r="E44" s="12"/>
      <c r="F44" s="12"/>
      <c r="G44" s="12"/>
      <c r="H44" s="12"/>
      <c r="I44" s="19"/>
      <c r="J44" s="86"/>
      <c r="K44" s="86"/>
      <c r="L44" s="13"/>
      <c r="M44" s="13"/>
      <c r="N44" s="86"/>
      <c r="O44" s="82"/>
      <c r="P44" s="12"/>
      <c r="Q44" s="14"/>
      <c r="R44" s="12"/>
    </row>
    <row r="45" spans="1:18" x14ac:dyDescent="0.25">
      <c r="A45" s="11" t="str">
        <f>IF(COUNTA(B45:Q45,R45:AB45)=0,"", MAX(A$2:A44)+1)</f>
        <v/>
      </c>
      <c r="B45" s="12"/>
      <c r="C45" s="12"/>
      <c r="D45" s="12"/>
      <c r="E45" s="12"/>
      <c r="F45" s="12"/>
      <c r="G45" s="12"/>
      <c r="H45" s="12"/>
      <c r="I45" s="19"/>
      <c r="J45" s="86"/>
      <c r="K45" s="86"/>
      <c r="L45" s="13"/>
      <c r="M45" s="13"/>
      <c r="N45" s="86"/>
      <c r="O45" s="82"/>
      <c r="P45" s="12"/>
      <c r="Q45" s="14"/>
      <c r="R45" s="12"/>
    </row>
    <row r="46" spans="1:18" x14ac:dyDescent="0.25">
      <c r="A46" s="11" t="str">
        <f>IF(COUNTA(B46:Q46,R46:AB46)=0,"", MAX(A$2:A45)+1)</f>
        <v/>
      </c>
      <c r="B46" s="12"/>
      <c r="C46" s="12"/>
      <c r="D46" s="12"/>
      <c r="E46" s="12"/>
      <c r="F46" s="12"/>
      <c r="G46" s="12"/>
      <c r="H46" s="12"/>
      <c r="I46" s="19"/>
      <c r="J46" s="86"/>
      <c r="K46" s="86"/>
      <c r="L46" s="13"/>
      <c r="M46" s="13"/>
      <c r="N46" s="86"/>
      <c r="O46" s="82"/>
      <c r="P46" s="12"/>
      <c r="Q46" s="14"/>
      <c r="R46" s="12"/>
    </row>
    <row r="47" spans="1:18" x14ac:dyDescent="0.25">
      <c r="A47" s="11" t="str">
        <f>IF(COUNTA(B47:Q47,R47:AB47)=0,"", MAX(A$2:A46)+1)</f>
        <v/>
      </c>
      <c r="B47" s="12"/>
      <c r="C47" s="12"/>
      <c r="D47" s="12"/>
      <c r="E47" s="12"/>
      <c r="F47" s="12"/>
      <c r="G47" s="12"/>
      <c r="H47" s="12"/>
      <c r="I47" s="19"/>
      <c r="J47" s="86"/>
      <c r="K47" s="86"/>
      <c r="L47" s="13"/>
      <c r="M47" s="13"/>
      <c r="N47" s="86"/>
      <c r="O47" s="82"/>
      <c r="P47" s="12"/>
      <c r="Q47" s="14"/>
      <c r="R47" s="12"/>
    </row>
    <row r="48" spans="1:18" x14ac:dyDescent="0.25">
      <c r="A48" s="11" t="str">
        <f>IF(COUNTA(B48:Q48,R48:AB48)=0,"", MAX(A$2:A47)+1)</f>
        <v/>
      </c>
      <c r="B48" s="12"/>
      <c r="C48" s="12"/>
      <c r="D48" s="12"/>
      <c r="E48" s="12"/>
      <c r="F48" s="12"/>
      <c r="G48" s="12"/>
      <c r="H48" s="12"/>
      <c r="I48" s="19"/>
      <c r="J48" s="86"/>
      <c r="K48" s="86"/>
      <c r="L48" s="13"/>
      <c r="M48" s="13"/>
      <c r="N48" s="86"/>
      <c r="O48" s="82"/>
      <c r="P48" s="12"/>
      <c r="Q48" s="14"/>
      <c r="R48" s="12"/>
    </row>
    <row r="49" spans="1:18" x14ac:dyDescent="0.25">
      <c r="A49" s="11" t="str">
        <f>IF(COUNTA(B49:Q49,R49:AB49)=0,"", MAX(A$2:A48)+1)</f>
        <v/>
      </c>
      <c r="B49" s="12"/>
      <c r="C49" s="12"/>
      <c r="D49" s="12"/>
      <c r="E49" s="12"/>
      <c r="F49" s="12"/>
      <c r="G49" s="12"/>
      <c r="H49" s="12"/>
      <c r="I49" s="19"/>
      <c r="J49" s="86"/>
      <c r="K49" s="86"/>
      <c r="L49" s="13"/>
      <c r="M49" s="13"/>
      <c r="N49" s="86"/>
      <c r="O49" s="82"/>
      <c r="P49" s="12"/>
      <c r="Q49" s="14"/>
      <c r="R49" s="12"/>
    </row>
    <row r="50" spans="1:18" x14ac:dyDescent="0.25">
      <c r="A50" s="11" t="str">
        <f>IF(COUNTA(B50:Q50,R50:AB50)=0,"", MAX(A$2:A49)+1)</f>
        <v/>
      </c>
      <c r="B50" s="12"/>
      <c r="C50" s="12"/>
      <c r="D50" s="12"/>
      <c r="E50" s="12"/>
      <c r="F50" s="12"/>
      <c r="G50" s="12"/>
      <c r="H50" s="12"/>
      <c r="I50" s="19"/>
      <c r="J50" s="86"/>
      <c r="K50" s="86"/>
      <c r="L50" s="13"/>
      <c r="M50" s="13"/>
      <c r="N50" s="86"/>
      <c r="O50" s="82"/>
      <c r="P50" s="12"/>
      <c r="Q50" s="14"/>
      <c r="R50" s="12"/>
    </row>
    <row r="51" spans="1:18" x14ac:dyDescent="0.25">
      <c r="A51" s="11" t="str">
        <f>IF(COUNTA(B51:Q51,R51:AB51)=0,"", MAX(A$2:A50)+1)</f>
        <v/>
      </c>
      <c r="B51" s="12"/>
      <c r="C51" s="12"/>
      <c r="D51" s="12"/>
      <c r="E51" s="12"/>
      <c r="F51" s="12"/>
      <c r="G51" s="12"/>
      <c r="H51" s="12"/>
      <c r="I51" s="19"/>
      <c r="J51" s="86"/>
      <c r="K51" s="86"/>
      <c r="L51" s="13"/>
      <c r="M51" s="13"/>
      <c r="N51" s="86"/>
      <c r="O51" s="82"/>
      <c r="P51" s="12"/>
      <c r="Q51" s="14"/>
      <c r="R51" s="12"/>
    </row>
    <row r="52" spans="1:18" x14ac:dyDescent="0.25">
      <c r="A52" s="11" t="str">
        <f>IF(COUNTA(B52:Q52,R52:AB52)=0,"", MAX(A$2:A51)+1)</f>
        <v/>
      </c>
      <c r="B52" s="12"/>
      <c r="C52" s="12"/>
      <c r="D52" s="12"/>
      <c r="E52" s="12"/>
      <c r="F52" s="12"/>
      <c r="G52" s="12"/>
      <c r="H52" s="12"/>
      <c r="I52" s="19"/>
      <c r="J52" s="86"/>
      <c r="K52" s="86"/>
      <c r="L52" s="13"/>
      <c r="M52" s="13"/>
      <c r="N52" s="86"/>
      <c r="O52" s="82"/>
      <c r="P52" s="12"/>
      <c r="Q52" s="14"/>
      <c r="R52" s="12"/>
    </row>
    <row r="53" spans="1:18" x14ac:dyDescent="0.25">
      <c r="A53" s="11" t="str">
        <f>IF(COUNTA(B53:Q53,R53:AB53)=0,"", MAX(A$2:A52)+1)</f>
        <v/>
      </c>
      <c r="B53" s="12"/>
      <c r="C53" s="12"/>
      <c r="D53" s="12"/>
      <c r="E53" s="12"/>
      <c r="F53" s="12"/>
      <c r="G53" s="12"/>
      <c r="H53" s="12"/>
      <c r="I53" s="19"/>
      <c r="J53" s="86"/>
      <c r="K53" s="86"/>
      <c r="L53" s="13"/>
      <c r="M53" s="13"/>
      <c r="N53" s="86"/>
      <c r="O53" s="82"/>
      <c r="P53" s="12"/>
      <c r="Q53" s="14"/>
      <c r="R53" s="12"/>
    </row>
    <row r="54" spans="1:18" x14ac:dyDescent="0.25">
      <c r="A54" s="11" t="str">
        <f>IF(COUNTA(B54:Q54,R54:AB54)=0,"", MAX(A$2:A53)+1)</f>
        <v/>
      </c>
      <c r="B54" s="12"/>
      <c r="C54" s="12"/>
      <c r="D54" s="12"/>
      <c r="E54" s="12"/>
      <c r="F54" s="12"/>
      <c r="G54" s="12"/>
      <c r="H54" s="12"/>
      <c r="I54" s="19"/>
      <c r="J54" s="86"/>
      <c r="K54" s="86"/>
      <c r="L54" s="13"/>
      <c r="M54" s="13"/>
      <c r="N54" s="86"/>
      <c r="O54" s="82"/>
      <c r="P54" s="12"/>
      <c r="Q54" s="14"/>
      <c r="R54" s="12"/>
    </row>
    <row r="55" spans="1:18" x14ac:dyDescent="0.25">
      <c r="A55" s="11" t="str">
        <f>IF(COUNTA(B55:Q55,R55:AB55)=0,"", MAX(A$2:A54)+1)</f>
        <v/>
      </c>
      <c r="B55" s="12"/>
      <c r="C55" s="12"/>
      <c r="D55" s="12"/>
      <c r="E55" s="12"/>
      <c r="F55" s="12"/>
      <c r="G55" s="12"/>
      <c r="H55" s="12"/>
      <c r="I55" s="19"/>
      <c r="J55" s="86"/>
      <c r="K55" s="86"/>
      <c r="L55" s="13"/>
      <c r="M55" s="13"/>
      <c r="N55" s="86"/>
      <c r="O55" s="82"/>
      <c r="P55" s="12"/>
      <c r="Q55" s="14"/>
      <c r="R55" s="12"/>
    </row>
    <row r="56" spans="1:18" x14ac:dyDescent="0.25">
      <c r="A56" s="11" t="str">
        <f>IF(COUNTA(B56:Q56,R56:AB56)=0,"", MAX(A$2:A55)+1)</f>
        <v/>
      </c>
      <c r="B56" s="12"/>
      <c r="C56" s="12"/>
      <c r="D56" s="12"/>
      <c r="E56" s="12"/>
      <c r="F56" s="12"/>
      <c r="G56" s="12"/>
      <c r="H56" s="12"/>
      <c r="I56" s="19"/>
      <c r="J56" s="86"/>
      <c r="K56" s="86"/>
      <c r="L56" s="13"/>
      <c r="M56" s="13"/>
      <c r="N56" s="86"/>
      <c r="O56" s="82"/>
      <c r="P56" s="12"/>
      <c r="Q56" s="14"/>
      <c r="R56" s="12"/>
    </row>
    <row r="57" spans="1:18" x14ac:dyDescent="0.25">
      <c r="A57" s="11" t="str">
        <f>IF(COUNTA(B57:Q57,R57:AB57)=0,"", MAX(A$2:A56)+1)</f>
        <v/>
      </c>
      <c r="B57" s="12"/>
      <c r="C57" s="12"/>
      <c r="D57" s="12"/>
      <c r="E57" s="12"/>
      <c r="F57" s="12"/>
      <c r="G57" s="12"/>
      <c r="H57" s="12"/>
      <c r="I57" s="19"/>
      <c r="J57" s="86"/>
      <c r="K57" s="86"/>
      <c r="L57" s="13"/>
      <c r="M57" s="13"/>
      <c r="N57" s="86"/>
      <c r="O57" s="82"/>
      <c r="P57" s="12"/>
      <c r="Q57" s="14"/>
      <c r="R57" s="12"/>
    </row>
    <row r="58" spans="1:18" x14ac:dyDescent="0.25">
      <c r="A58" s="11" t="str">
        <f>IF(COUNTA(B58:Q58,R58:AB58)=0,"", MAX(A$2:A57)+1)</f>
        <v/>
      </c>
      <c r="B58" s="12"/>
      <c r="C58" s="12"/>
      <c r="D58" s="12"/>
      <c r="E58" s="12"/>
      <c r="F58" s="12"/>
      <c r="G58" s="12"/>
      <c r="H58" s="12"/>
      <c r="I58" s="19"/>
      <c r="J58" s="86"/>
      <c r="K58" s="86"/>
      <c r="L58" s="13"/>
      <c r="M58" s="13"/>
      <c r="N58" s="86"/>
      <c r="O58" s="82"/>
      <c r="P58" s="12"/>
      <c r="Q58" s="14"/>
      <c r="R58" s="12"/>
    </row>
    <row r="59" spans="1:18" x14ac:dyDescent="0.25">
      <c r="A59" s="11" t="str">
        <f>IF(COUNTA(B59:Q59,R59:AB59)=0,"", MAX(A$2:A58)+1)</f>
        <v/>
      </c>
      <c r="B59" s="12"/>
      <c r="C59" s="12"/>
      <c r="D59" s="12"/>
      <c r="E59" s="12"/>
      <c r="F59" s="12"/>
      <c r="G59" s="12"/>
      <c r="H59" s="12"/>
      <c r="I59" s="19"/>
      <c r="J59" s="86"/>
      <c r="K59" s="86"/>
      <c r="L59" s="13"/>
      <c r="M59" s="13"/>
      <c r="N59" s="86"/>
      <c r="O59" s="82"/>
      <c r="P59" s="12"/>
      <c r="Q59" s="14"/>
      <c r="R59" s="12"/>
    </row>
    <row r="60" spans="1:18" x14ac:dyDescent="0.25">
      <c r="A60" s="11" t="str">
        <f>IF(COUNTA(B60:Q60,R60:AB60)=0,"", MAX(A$2:A59)+1)</f>
        <v/>
      </c>
      <c r="B60" s="12"/>
      <c r="C60" s="12"/>
      <c r="D60" s="12"/>
      <c r="E60" s="12"/>
      <c r="F60" s="12"/>
      <c r="G60" s="12"/>
      <c r="H60" s="12"/>
      <c r="I60" s="19"/>
      <c r="J60" s="86"/>
      <c r="K60" s="86"/>
      <c r="L60" s="13"/>
      <c r="M60" s="13"/>
      <c r="N60" s="86"/>
      <c r="O60" s="82"/>
      <c r="P60" s="12"/>
      <c r="Q60" s="14"/>
      <c r="R60" s="12"/>
    </row>
    <row r="61" spans="1:18" x14ac:dyDescent="0.25">
      <c r="A61" s="11" t="str">
        <f>IF(COUNTA(B61:Q61,R61:AB61)=0,"", MAX(A$2:A60)+1)</f>
        <v/>
      </c>
      <c r="B61" s="12"/>
      <c r="C61" s="12"/>
      <c r="D61" s="12"/>
      <c r="E61" s="12"/>
      <c r="F61" s="12"/>
      <c r="G61" s="12"/>
      <c r="H61" s="12"/>
      <c r="I61" s="19"/>
      <c r="J61" s="86"/>
      <c r="K61" s="86"/>
      <c r="L61" s="13"/>
      <c r="M61" s="13"/>
      <c r="N61" s="86"/>
      <c r="O61" s="82"/>
      <c r="P61" s="12"/>
      <c r="Q61" s="14"/>
      <c r="R61" s="12"/>
    </row>
    <row r="62" spans="1:18" x14ac:dyDescent="0.25">
      <c r="A62" s="11" t="str">
        <f>IF(COUNTA(B62:Q62,R62:AB62)=0,"", MAX(A$2:A61)+1)</f>
        <v/>
      </c>
      <c r="B62" s="12"/>
      <c r="C62" s="12"/>
      <c r="D62" s="12"/>
      <c r="E62" s="12"/>
      <c r="F62" s="12"/>
      <c r="G62" s="12"/>
      <c r="H62" s="12"/>
      <c r="I62" s="19"/>
      <c r="J62" s="86"/>
      <c r="K62" s="86"/>
      <c r="L62" s="13"/>
      <c r="M62" s="13"/>
      <c r="N62" s="86"/>
      <c r="O62" s="82"/>
      <c r="P62" s="12"/>
      <c r="Q62" s="14"/>
      <c r="R62" s="12"/>
    </row>
    <row r="63" spans="1:18" x14ac:dyDescent="0.25">
      <c r="A63" s="11" t="str">
        <f>IF(COUNTA(B63:Q63,R63:AB63)=0,"", MAX(A$2:A62)+1)</f>
        <v/>
      </c>
      <c r="B63" s="12"/>
      <c r="C63" s="12"/>
      <c r="D63" s="12"/>
      <c r="E63" s="12"/>
      <c r="F63" s="12"/>
      <c r="G63" s="12"/>
      <c r="H63" s="12"/>
      <c r="I63" s="19"/>
      <c r="J63" s="86"/>
      <c r="K63" s="86"/>
      <c r="L63" s="13"/>
      <c r="M63" s="13"/>
      <c r="N63" s="86"/>
      <c r="O63" s="82"/>
      <c r="P63" s="12"/>
      <c r="Q63" s="14"/>
      <c r="R63" s="12"/>
    </row>
    <row r="64" spans="1:18" x14ac:dyDescent="0.25">
      <c r="A64" s="11" t="str">
        <f>IF(COUNTA(B64:Q64,R64:AB64)=0,"", MAX(A$2:A63)+1)</f>
        <v/>
      </c>
      <c r="B64" s="12"/>
      <c r="C64" s="12"/>
      <c r="D64" s="12"/>
      <c r="E64" s="12"/>
      <c r="F64" s="12"/>
      <c r="G64" s="12"/>
      <c r="H64" s="12"/>
      <c r="I64" s="19"/>
      <c r="J64" s="86"/>
      <c r="K64" s="86"/>
      <c r="L64" s="13"/>
      <c r="M64" s="13"/>
      <c r="N64" s="86"/>
      <c r="O64" s="82"/>
      <c r="P64" s="12"/>
      <c r="Q64" s="14"/>
      <c r="R64" s="12"/>
    </row>
    <row r="65" spans="1:18" x14ac:dyDescent="0.25">
      <c r="A65" s="11" t="str">
        <f>IF(COUNTA(B65:Q65,R65:AB65)=0,"", MAX(A$2:A64)+1)</f>
        <v/>
      </c>
      <c r="B65" s="12"/>
      <c r="C65" s="12"/>
      <c r="D65" s="12"/>
      <c r="E65" s="12"/>
      <c r="F65" s="12"/>
      <c r="G65" s="12"/>
      <c r="H65" s="12"/>
      <c r="I65" s="19"/>
      <c r="J65" s="86"/>
      <c r="K65" s="86"/>
      <c r="L65" s="13"/>
      <c r="M65" s="13"/>
      <c r="N65" s="86"/>
      <c r="O65" s="82"/>
      <c r="P65" s="12"/>
      <c r="Q65" s="14"/>
      <c r="R65" s="12"/>
    </row>
    <row r="66" spans="1:18" x14ac:dyDescent="0.25">
      <c r="A66" s="11" t="str">
        <f>IF(COUNTA(B66:Q66,R66:AB66)=0,"", MAX(A$2:A65)+1)</f>
        <v/>
      </c>
      <c r="B66" s="12"/>
      <c r="C66" s="12"/>
      <c r="D66" s="12"/>
      <c r="E66" s="12"/>
      <c r="F66" s="12"/>
      <c r="G66" s="12"/>
      <c r="H66" s="12"/>
      <c r="I66" s="19"/>
      <c r="J66" s="86"/>
      <c r="K66" s="86"/>
      <c r="L66" s="13"/>
      <c r="M66" s="13"/>
      <c r="N66" s="86"/>
      <c r="O66" s="82"/>
      <c r="P66" s="12"/>
      <c r="Q66" s="14"/>
      <c r="R66" s="12"/>
    </row>
    <row r="67" spans="1:18" x14ac:dyDescent="0.25">
      <c r="A67" s="11" t="str">
        <f>IF(COUNTA(B67:Q67,R67:AB67)=0,"", MAX(A$2:A66)+1)</f>
        <v/>
      </c>
      <c r="B67" s="12"/>
      <c r="C67" s="12"/>
      <c r="D67" s="12"/>
      <c r="E67" s="12"/>
      <c r="F67" s="12"/>
      <c r="G67" s="12"/>
      <c r="H67" s="12"/>
      <c r="I67" s="19"/>
      <c r="J67" s="86"/>
      <c r="K67" s="86"/>
      <c r="L67" s="13"/>
      <c r="M67" s="13"/>
      <c r="N67" s="86"/>
      <c r="O67" s="82"/>
      <c r="P67" s="12"/>
      <c r="Q67" s="14"/>
      <c r="R67" s="12"/>
    </row>
    <row r="68" spans="1:18" x14ac:dyDescent="0.25">
      <c r="A68" s="11" t="str">
        <f>IF(COUNTA(B68:Q68,R68:AB68)=0,"", MAX(A$2:A67)+1)</f>
        <v/>
      </c>
      <c r="B68" s="12"/>
      <c r="C68" s="12"/>
      <c r="D68" s="12"/>
      <c r="E68" s="12"/>
      <c r="F68" s="12"/>
      <c r="G68" s="12"/>
      <c r="H68" s="12"/>
      <c r="I68" s="19"/>
      <c r="J68" s="86"/>
      <c r="K68" s="86"/>
      <c r="L68" s="13"/>
      <c r="M68" s="13"/>
      <c r="N68" s="86"/>
      <c r="O68" s="82"/>
      <c r="P68" s="12"/>
      <c r="Q68" s="14"/>
      <c r="R68" s="12"/>
    </row>
    <row r="69" spans="1:18" x14ac:dyDescent="0.25">
      <c r="A69" s="11" t="str">
        <f>IF(COUNTA(B69:Q69,R69:AB69)=0,"", MAX(A$2:A68)+1)</f>
        <v/>
      </c>
      <c r="B69" s="12"/>
      <c r="C69" s="12"/>
      <c r="D69" s="12"/>
      <c r="E69" s="12"/>
      <c r="F69" s="12"/>
      <c r="G69" s="12"/>
      <c r="H69" s="12"/>
      <c r="I69" s="19"/>
      <c r="J69" s="86"/>
      <c r="K69" s="86"/>
      <c r="L69" s="13"/>
      <c r="M69" s="13"/>
      <c r="N69" s="86"/>
      <c r="O69" s="82"/>
      <c r="P69" s="12"/>
      <c r="Q69" s="14"/>
      <c r="R69" s="12"/>
    </row>
    <row r="70" spans="1:18" x14ac:dyDescent="0.25">
      <c r="A70" s="11" t="str">
        <f>IF(COUNTA(B70:Q70,R70:AB70)=0,"", MAX(A$2:A69)+1)</f>
        <v/>
      </c>
      <c r="B70" s="12"/>
      <c r="C70" s="12"/>
      <c r="D70" s="12"/>
      <c r="E70" s="12"/>
      <c r="F70" s="12"/>
      <c r="G70" s="12"/>
      <c r="H70" s="12"/>
      <c r="I70" s="19"/>
      <c r="J70" s="86"/>
      <c r="K70" s="86"/>
      <c r="L70" s="13"/>
      <c r="M70" s="13"/>
      <c r="N70" s="86"/>
      <c r="O70" s="82"/>
      <c r="P70" s="12"/>
      <c r="Q70" s="14"/>
      <c r="R70" s="12"/>
    </row>
    <row r="71" spans="1:18" x14ac:dyDescent="0.25">
      <c r="A71" s="11" t="str">
        <f>IF(COUNTA(B71:Q71,R71:AB71)=0,"", MAX(A$2:A70)+1)</f>
        <v/>
      </c>
      <c r="B71" s="12"/>
      <c r="C71" s="12"/>
      <c r="D71" s="12"/>
      <c r="E71" s="12"/>
      <c r="F71" s="12"/>
      <c r="G71" s="12"/>
      <c r="H71" s="12"/>
      <c r="I71" s="19"/>
      <c r="J71" s="86"/>
      <c r="K71" s="86"/>
      <c r="L71" s="13"/>
      <c r="M71" s="13"/>
      <c r="N71" s="86"/>
      <c r="O71" s="82"/>
      <c r="P71" s="12"/>
      <c r="Q71" s="14"/>
      <c r="R71" s="12"/>
    </row>
    <row r="72" spans="1:18" x14ac:dyDescent="0.25">
      <c r="A72" s="11" t="str">
        <f>IF(COUNTA(B72:Q72,R72:AB72)=0,"", MAX(A$2:A71)+1)</f>
        <v/>
      </c>
      <c r="B72" s="12"/>
      <c r="C72" s="12"/>
      <c r="D72" s="12"/>
      <c r="E72" s="12"/>
      <c r="F72" s="12"/>
      <c r="G72" s="12"/>
      <c r="H72" s="12"/>
      <c r="I72" s="19"/>
      <c r="J72" s="86"/>
      <c r="K72" s="86"/>
      <c r="L72" s="13"/>
      <c r="M72" s="13"/>
      <c r="N72" s="86"/>
      <c r="O72" s="82"/>
      <c r="P72" s="12"/>
      <c r="Q72" s="14"/>
      <c r="R72" s="12"/>
    </row>
    <row r="73" spans="1:18" x14ac:dyDescent="0.25">
      <c r="A73" s="11" t="str">
        <f>IF(COUNTA(B73:Q73,R73:AB73)=0,"", MAX(A$2:A72)+1)</f>
        <v/>
      </c>
      <c r="B73" s="12"/>
      <c r="C73" s="12"/>
      <c r="D73" s="12"/>
      <c r="E73" s="12"/>
      <c r="F73" s="12"/>
      <c r="G73" s="12"/>
      <c r="H73" s="12"/>
      <c r="I73" s="19"/>
      <c r="J73" s="86"/>
      <c r="K73" s="86"/>
      <c r="L73" s="13"/>
      <c r="M73" s="13"/>
      <c r="N73" s="86"/>
      <c r="O73" s="82"/>
      <c r="P73" s="12"/>
      <c r="Q73" s="14"/>
      <c r="R73" s="12"/>
    </row>
    <row r="74" spans="1:18" x14ac:dyDescent="0.25">
      <c r="A74" s="11" t="str">
        <f>IF(COUNTA(B74:Q74,R74:AB74)=0,"", MAX(A$2:A73)+1)</f>
        <v/>
      </c>
      <c r="B74" s="12"/>
      <c r="C74" s="12"/>
      <c r="D74" s="12"/>
      <c r="E74" s="12"/>
      <c r="F74" s="12"/>
      <c r="G74" s="12"/>
      <c r="H74" s="12"/>
      <c r="I74" s="19"/>
      <c r="J74" s="86"/>
      <c r="K74" s="86"/>
      <c r="L74" s="13"/>
      <c r="M74" s="13"/>
      <c r="N74" s="86"/>
      <c r="O74" s="82"/>
      <c r="P74" s="12"/>
      <c r="Q74" s="14"/>
      <c r="R74" s="12"/>
    </row>
    <row r="75" spans="1:18" x14ac:dyDescent="0.25">
      <c r="A75" s="11" t="str">
        <f>IF(COUNTA(B75:Q75,R75:AB75)=0,"", MAX(A$2:A74)+1)</f>
        <v/>
      </c>
      <c r="B75" s="12"/>
      <c r="C75" s="12"/>
      <c r="D75" s="12"/>
      <c r="E75" s="12"/>
      <c r="F75" s="12"/>
      <c r="G75" s="12"/>
      <c r="H75" s="12"/>
      <c r="I75" s="19"/>
      <c r="J75" s="86"/>
      <c r="K75" s="86"/>
      <c r="L75" s="13"/>
      <c r="M75" s="13"/>
      <c r="N75" s="86"/>
      <c r="O75" s="82"/>
      <c r="P75" s="12"/>
      <c r="Q75" s="14"/>
      <c r="R75" s="12"/>
    </row>
    <row r="76" spans="1:18" x14ac:dyDescent="0.25">
      <c r="A76" s="11" t="str">
        <f>IF(COUNTA(B76:Q76,R76:AB76)=0,"", MAX(A$2:A75)+1)</f>
        <v/>
      </c>
      <c r="B76" s="12"/>
      <c r="C76" s="12"/>
      <c r="D76" s="12"/>
      <c r="E76" s="12"/>
      <c r="F76" s="12"/>
      <c r="G76" s="12"/>
      <c r="H76" s="12"/>
      <c r="I76" s="19"/>
      <c r="J76" s="86"/>
      <c r="K76" s="86"/>
      <c r="L76" s="13"/>
      <c r="M76" s="13"/>
      <c r="N76" s="86"/>
      <c r="O76" s="82"/>
      <c r="P76" s="12"/>
      <c r="Q76" s="14"/>
      <c r="R76" s="12"/>
    </row>
    <row r="77" spans="1:18" x14ac:dyDescent="0.25">
      <c r="A77" s="11" t="str">
        <f>IF(COUNTA(B77:Q77,R77:AB77)=0,"", MAX(A$2:A76)+1)</f>
        <v/>
      </c>
      <c r="B77" s="12"/>
      <c r="C77" s="12"/>
      <c r="D77" s="12"/>
      <c r="E77" s="12"/>
      <c r="F77" s="12"/>
      <c r="G77" s="12"/>
      <c r="H77" s="12"/>
      <c r="I77" s="19"/>
      <c r="J77" s="86"/>
      <c r="K77" s="86"/>
      <c r="L77" s="13"/>
      <c r="M77" s="13"/>
      <c r="N77" s="86"/>
      <c r="O77" s="82"/>
      <c r="P77" s="12"/>
      <c r="Q77" s="14"/>
      <c r="R77" s="12"/>
    </row>
    <row r="78" spans="1:18" x14ac:dyDescent="0.25">
      <c r="A78" s="11" t="str">
        <f>IF(COUNTA(B78:Q78,R78:AB78)=0,"", MAX(A$2:A77)+1)</f>
        <v/>
      </c>
      <c r="B78" s="12"/>
      <c r="C78" s="12"/>
      <c r="D78" s="12"/>
      <c r="E78" s="12"/>
      <c r="F78" s="12"/>
      <c r="G78" s="12"/>
      <c r="H78" s="12"/>
      <c r="I78" s="19"/>
      <c r="J78" s="86"/>
      <c r="K78" s="86"/>
      <c r="L78" s="13"/>
      <c r="M78" s="13"/>
      <c r="N78" s="86"/>
      <c r="O78" s="82"/>
      <c r="P78" s="12"/>
      <c r="Q78" s="14"/>
      <c r="R78" s="12"/>
    </row>
    <row r="79" spans="1:18" x14ac:dyDescent="0.25">
      <c r="A79" s="11" t="str">
        <f>IF(COUNTA(B79:Q79,R79:AB79)=0,"", MAX(A$2:A78)+1)</f>
        <v/>
      </c>
      <c r="B79" s="12"/>
      <c r="C79" s="12"/>
      <c r="D79" s="12"/>
      <c r="E79" s="12"/>
      <c r="F79" s="12"/>
      <c r="G79" s="12"/>
      <c r="H79" s="12"/>
      <c r="I79" s="19"/>
      <c r="J79" s="86"/>
      <c r="K79" s="86"/>
      <c r="L79" s="13"/>
      <c r="M79" s="13"/>
      <c r="N79" s="86"/>
      <c r="O79" s="82"/>
      <c r="P79" s="12"/>
      <c r="Q79" s="14"/>
      <c r="R79" s="12"/>
    </row>
    <row r="80" spans="1:18" x14ac:dyDescent="0.25">
      <c r="A80" s="11" t="str">
        <f>IF(COUNTA(B80:Q80,R80:AB80)=0,"", MAX(A$2:A79)+1)</f>
        <v/>
      </c>
      <c r="B80" s="12"/>
      <c r="C80" s="12"/>
      <c r="D80" s="12"/>
      <c r="E80" s="12"/>
      <c r="F80" s="12"/>
      <c r="G80" s="12"/>
      <c r="H80" s="12"/>
      <c r="I80" s="19"/>
      <c r="J80" s="86"/>
      <c r="K80" s="86"/>
      <c r="L80" s="13"/>
      <c r="M80" s="13"/>
      <c r="N80" s="86"/>
      <c r="O80" s="82"/>
      <c r="P80" s="12"/>
      <c r="Q80" s="14"/>
      <c r="R80" s="12"/>
    </row>
    <row r="81" spans="1:18" x14ac:dyDescent="0.25">
      <c r="A81" s="11" t="str">
        <f>IF(COUNTA(B81:Q81,R81:AB81)=0,"", MAX(A$2:A80)+1)</f>
        <v/>
      </c>
      <c r="B81" s="12"/>
      <c r="C81" s="12"/>
      <c r="D81" s="12"/>
      <c r="E81" s="12"/>
      <c r="F81" s="12"/>
      <c r="G81" s="12"/>
      <c r="H81" s="12"/>
      <c r="I81" s="19"/>
      <c r="J81" s="86"/>
      <c r="K81" s="86"/>
      <c r="L81" s="13"/>
      <c r="M81" s="13"/>
      <c r="N81" s="86"/>
      <c r="O81" s="82"/>
      <c r="P81" s="12"/>
      <c r="Q81" s="14"/>
      <c r="R81" s="12"/>
    </row>
    <row r="82" spans="1:18" x14ac:dyDescent="0.25">
      <c r="A82" s="11" t="str">
        <f>IF(COUNTA(B82:Q82,R82:AB82)=0,"", MAX(A$2:A81)+1)</f>
        <v/>
      </c>
      <c r="B82" s="12"/>
      <c r="C82" s="12"/>
      <c r="D82" s="12"/>
      <c r="E82" s="12"/>
      <c r="F82" s="12"/>
      <c r="G82" s="12"/>
      <c r="H82" s="12"/>
      <c r="I82" s="19"/>
      <c r="J82" s="86"/>
      <c r="K82" s="86"/>
      <c r="L82" s="13"/>
      <c r="M82" s="13"/>
      <c r="N82" s="86"/>
      <c r="O82" s="82"/>
      <c r="P82" s="12"/>
      <c r="Q82" s="14"/>
      <c r="R82" s="12"/>
    </row>
    <row r="83" spans="1:18" x14ac:dyDescent="0.25">
      <c r="A83" s="11" t="str">
        <f>IF(COUNTA(B83:Q83,R83:AB83)=0,"", MAX(A$2:A82)+1)</f>
        <v/>
      </c>
      <c r="B83" s="12"/>
      <c r="C83" s="12"/>
      <c r="D83" s="12"/>
      <c r="E83" s="12"/>
      <c r="F83" s="12"/>
      <c r="G83" s="12"/>
      <c r="H83" s="12"/>
      <c r="I83" s="19"/>
      <c r="J83" s="86"/>
      <c r="K83" s="86"/>
      <c r="L83" s="13"/>
      <c r="M83" s="13"/>
      <c r="N83" s="86"/>
      <c r="O83" s="82"/>
      <c r="P83" s="12"/>
      <c r="Q83" s="14"/>
      <c r="R83" s="12"/>
    </row>
    <row r="84" spans="1:18" x14ac:dyDescent="0.25">
      <c r="A84" s="11" t="str">
        <f>IF(COUNTA(B84:Q84,R84:AB84)=0,"", MAX(A$2:A83)+1)</f>
        <v/>
      </c>
      <c r="B84" s="12"/>
      <c r="C84" s="12"/>
      <c r="D84" s="12"/>
      <c r="E84" s="12"/>
      <c r="F84" s="12"/>
      <c r="G84" s="12"/>
      <c r="H84" s="12"/>
      <c r="I84" s="19"/>
      <c r="J84" s="86"/>
      <c r="K84" s="86"/>
      <c r="L84" s="13"/>
      <c r="M84" s="13"/>
      <c r="N84" s="86"/>
      <c r="O84" s="82"/>
      <c r="P84" s="12"/>
      <c r="Q84" s="14"/>
      <c r="R84" s="12"/>
    </row>
    <row r="85" spans="1:18" x14ac:dyDescent="0.25">
      <c r="A85" s="11" t="str">
        <f>IF(COUNTA(B85:Q85,R85:AB85)=0,"", MAX(A$2:A84)+1)</f>
        <v/>
      </c>
      <c r="B85" s="12"/>
      <c r="C85" s="12"/>
      <c r="D85" s="12"/>
      <c r="E85" s="12"/>
      <c r="F85" s="12"/>
      <c r="G85" s="12"/>
      <c r="H85" s="12"/>
      <c r="I85" s="19"/>
      <c r="J85" s="86"/>
      <c r="K85" s="86"/>
      <c r="L85" s="13"/>
      <c r="M85" s="13"/>
      <c r="N85" s="86"/>
      <c r="O85" s="82"/>
      <c r="P85" s="12"/>
      <c r="Q85" s="14"/>
      <c r="R85" s="12"/>
    </row>
    <row r="86" spans="1:18" x14ac:dyDescent="0.25">
      <c r="A86" s="11" t="str">
        <f>IF(COUNTA(B86:Q86,R86:AB86)=0,"", MAX(A$2:A85)+1)</f>
        <v/>
      </c>
      <c r="B86" s="12"/>
      <c r="C86" s="12"/>
      <c r="D86" s="12"/>
      <c r="E86" s="12"/>
      <c r="F86" s="12"/>
      <c r="G86" s="12"/>
      <c r="H86" s="12"/>
      <c r="I86" s="19"/>
      <c r="J86" s="86"/>
      <c r="K86" s="86"/>
      <c r="L86" s="13"/>
      <c r="M86" s="13"/>
      <c r="N86" s="86"/>
      <c r="O86" s="82"/>
      <c r="P86" s="12"/>
      <c r="Q86" s="14"/>
      <c r="R86" s="12"/>
    </row>
    <row r="87" spans="1:18" x14ac:dyDescent="0.25">
      <c r="A87" s="11" t="str">
        <f>IF(COUNTA(B87:Q87,R87:AB87)=0,"", MAX(A$2:A86)+1)</f>
        <v/>
      </c>
      <c r="B87" s="12"/>
      <c r="C87" s="12"/>
      <c r="D87" s="12"/>
      <c r="E87" s="12"/>
      <c r="F87" s="12"/>
      <c r="G87" s="12"/>
      <c r="H87" s="12"/>
      <c r="I87" s="19"/>
      <c r="J87" s="86"/>
      <c r="K87" s="86"/>
      <c r="L87" s="13"/>
      <c r="M87" s="13"/>
      <c r="N87" s="86"/>
      <c r="O87" s="82"/>
      <c r="P87" s="12"/>
      <c r="Q87" s="14"/>
      <c r="R87" s="12"/>
    </row>
    <row r="88" spans="1:18" x14ac:dyDescent="0.25">
      <c r="A88" s="11" t="str">
        <f>IF(COUNTA(B88:Q88,R88:AB88)=0,"", MAX(A$2:A87)+1)</f>
        <v/>
      </c>
      <c r="B88" s="12"/>
      <c r="C88" s="12"/>
      <c r="D88" s="12"/>
      <c r="E88" s="12"/>
      <c r="F88" s="12"/>
      <c r="G88" s="12"/>
      <c r="H88" s="12"/>
      <c r="I88" s="19"/>
      <c r="J88" s="86"/>
      <c r="K88" s="86"/>
      <c r="L88" s="13"/>
      <c r="M88" s="13"/>
      <c r="N88" s="86"/>
      <c r="O88" s="82"/>
      <c r="P88" s="12"/>
      <c r="Q88" s="14"/>
      <c r="R88" s="12"/>
    </row>
    <row r="89" spans="1:18" x14ac:dyDescent="0.25">
      <c r="A89" s="11" t="str">
        <f>IF(COUNTA(B89:Q89,R89:AB89)=0,"", MAX(A$2:A88)+1)</f>
        <v/>
      </c>
      <c r="B89" s="12"/>
      <c r="C89" s="12"/>
      <c r="D89" s="12"/>
      <c r="E89" s="12"/>
      <c r="F89" s="12"/>
      <c r="G89" s="12"/>
      <c r="H89" s="12"/>
      <c r="I89" s="19"/>
      <c r="J89" s="86"/>
      <c r="K89" s="86"/>
      <c r="L89" s="13"/>
      <c r="M89" s="13"/>
      <c r="N89" s="86"/>
      <c r="O89" s="82"/>
      <c r="P89" s="12"/>
      <c r="Q89" s="14"/>
      <c r="R89" s="12"/>
    </row>
    <row r="90" spans="1:18" x14ac:dyDescent="0.25">
      <c r="A90" s="11" t="str">
        <f>IF(COUNTA(B90:Q90,R90:AB90)=0,"", MAX(A$2:A89)+1)</f>
        <v/>
      </c>
      <c r="B90" s="12"/>
      <c r="C90" s="12"/>
      <c r="D90" s="12"/>
      <c r="E90" s="12"/>
      <c r="F90" s="12"/>
      <c r="G90" s="12"/>
      <c r="H90" s="12"/>
      <c r="I90" s="19"/>
      <c r="J90" s="86"/>
      <c r="K90" s="86"/>
      <c r="L90" s="13"/>
      <c r="M90" s="13"/>
      <c r="N90" s="86"/>
      <c r="O90" s="82"/>
      <c r="P90" s="12"/>
      <c r="Q90" s="14"/>
      <c r="R90" s="12"/>
    </row>
    <row r="91" spans="1:18" x14ac:dyDescent="0.25">
      <c r="A91" s="11" t="str">
        <f>IF(COUNTA(B91:Q91,R91:AB91)=0,"", MAX(A$2:A90)+1)</f>
        <v/>
      </c>
      <c r="B91" s="12"/>
      <c r="C91" s="12"/>
      <c r="D91" s="12"/>
      <c r="E91" s="12"/>
      <c r="F91" s="12"/>
      <c r="G91" s="12"/>
      <c r="H91" s="12"/>
      <c r="I91" s="19"/>
      <c r="J91" s="86"/>
      <c r="K91" s="86"/>
      <c r="L91" s="13"/>
      <c r="M91" s="13"/>
      <c r="N91" s="86"/>
      <c r="O91" s="82"/>
      <c r="P91" s="12"/>
      <c r="Q91" s="14"/>
      <c r="R91" s="12"/>
    </row>
    <row r="92" spans="1:18" x14ac:dyDescent="0.25">
      <c r="A92" s="11" t="str">
        <f>IF(COUNTA(B92:Q92,R92:AB92)=0,"", MAX(A$2:A91)+1)</f>
        <v/>
      </c>
      <c r="B92" s="12"/>
      <c r="C92" s="12"/>
      <c r="D92" s="12"/>
      <c r="E92" s="12"/>
      <c r="F92" s="12"/>
      <c r="G92" s="12"/>
      <c r="H92" s="12"/>
      <c r="I92" s="19"/>
      <c r="J92" s="86"/>
      <c r="K92" s="86"/>
      <c r="L92" s="13"/>
      <c r="M92" s="13"/>
      <c r="N92" s="86"/>
      <c r="O92" s="82"/>
      <c r="P92" s="12"/>
      <c r="Q92" s="14"/>
      <c r="R92" s="12"/>
    </row>
    <row r="93" spans="1:18" x14ac:dyDescent="0.25">
      <c r="A93" s="11" t="str">
        <f>IF(COUNTA(B93:Q93,R93:AB93)=0,"", MAX(A$2:A92)+1)</f>
        <v/>
      </c>
      <c r="B93" s="12"/>
      <c r="C93" s="12"/>
      <c r="D93" s="12"/>
      <c r="E93" s="12"/>
      <c r="F93" s="12"/>
      <c r="G93" s="12"/>
      <c r="H93" s="12"/>
      <c r="I93" s="19"/>
      <c r="J93" s="86"/>
      <c r="K93" s="86"/>
      <c r="L93" s="13"/>
      <c r="M93" s="13"/>
      <c r="N93" s="86"/>
      <c r="O93" s="82"/>
      <c r="P93" s="12"/>
      <c r="Q93" s="14"/>
      <c r="R93" s="12"/>
    </row>
    <row r="94" spans="1:18" x14ac:dyDescent="0.25">
      <c r="A94" s="11" t="str">
        <f>IF(COUNTA(B94:Q94,R94:AB94)=0,"", MAX(A$2:A93)+1)</f>
        <v/>
      </c>
      <c r="B94" s="12"/>
      <c r="C94" s="12"/>
      <c r="D94" s="12"/>
      <c r="E94" s="12"/>
      <c r="F94" s="12"/>
      <c r="G94" s="12"/>
      <c r="H94" s="12"/>
      <c r="I94" s="19"/>
      <c r="J94" s="86"/>
      <c r="K94" s="86"/>
      <c r="L94" s="13"/>
      <c r="M94" s="13"/>
      <c r="N94" s="86"/>
      <c r="O94" s="82"/>
      <c r="P94" s="12"/>
      <c r="Q94" s="14"/>
      <c r="R94" s="12"/>
    </row>
    <row r="95" spans="1:18" x14ac:dyDescent="0.25">
      <c r="A95" s="11" t="str">
        <f>IF(COUNTA(B95:Q95,R95:AB95)=0,"", MAX(A$2:A94)+1)</f>
        <v/>
      </c>
      <c r="B95" s="12"/>
      <c r="C95" s="12"/>
      <c r="D95" s="12"/>
      <c r="E95" s="12"/>
      <c r="F95" s="12"/>
      <c r="G95" s="12"/>
      <c r="H95" s="12"/>
      <c r="I95" s="19"/>
      <c r="J95" s="86"/>
      <c r="K95" s="86"/>
      <c r="L95" s="13"/>
      <c r="M95" s="13"/>
      <c r="N95" s="86"/>
      <c r="O95" s="82"/>
      <c r="P95" s="12"/>
      <c r="Q95" s="14"/>
      <c r="R95" s="12"/>
    </row>
    <row r="96" spans="1:18" x14ac:dyDescent="0.25">
      <c r="A96" s="11" t="str">
        <f>IF(COUNTA(B96:Q96,R96:AB96)=0,"", MAX(A$2:A95)+1)</f>
        <v/>
      </c>
      <c r="B96" s="12"/>
      <c r="C96" s="12"/>
      <c r="D96" s="12"/>
      <c r="E96" s="12"/>
      <c r="F96" s="12"/>
      <c r="G96" s="12"/>
      <c r="H96" s="12"/>
      <c r="I96" s="19"/>
      <c r="J96" s="86"/>
      <c r="K96" s="86"/>
      <c r="L96" s="13"/>
      <c r="M96" s="13"/>
      <c r="N96" s="86"/>
      <c r="O96" s="82"/>
      <c r="P96" s="12"/>
      <c r="Q96" s="14"/>
      <c r="R96" s="12"/>
    </row>
    <row r="97" spans="1:18" x14ac:dyDescent="0.25">
      <c r="A97" s="11" t="str">
        <f>IF(COUNTA(B97:Q97,R97:AB97)=0,"", MAX(A$2:A96)+1)</f>
        <v/>
      </c>
      <c r="B97" s="12"/>
      <c r="C97" s="12"/>
      <c r="D97" s="12"/>
      <c r="E97" s="12"/>
      <c r="F97" s="12"/>
      <c r="G97" s="12"/>
      <c r="H97" s="12"/>
      <c r="I97" s="19"/>
      <c r="J97" s="86"/>
      <c r="K97" s="86"/>
      <c r="L97" s="13"/>
      <c r="M97" s="13"/>
      <c r="N97" s="86"/>
      <c r="O97" s="82"/>
      <c r="P97" s="12"/>
      <c r="Q97" s="14"/>
      <c r="R97" s="12"/>
    </row>
    <row r="98" spans="1:18" x14ac:dyDescent="0.25">
      <c r="A98" s="11" t="str">
        <f>IF(COUNTA(B98:Q98,R98:AB98)=0,"", MAX(A$2:A97)+1)</f>
        <v/>
      </c>
      <c r="B98" s="12"/>
      <c r="C98" s="12"/>
      <c r="D98" s="12"/>
      <c r="E98" s="12"/>
      <c r="F98" s="12"/>
      <c r="G98" s="12"/>
      <c r="H98" s="12"/>
      <c r="I98" s="19"/>
      <c r="J98" s="86"/>
      <c r="K98" s="86"/>
      <c r="L98" s="13"/>
      <c r="M98" s="13"/>
      <c r="N98" s="86"/>
      <c r="O98" s="82"/>
      <c r="P98" s="12"/>
      <c r="Q98" s="14"/>
      <c r="R98" s="12"/>
    </row>
    <row r="99" spans="1:18" x14ac:dyDescent="0.25">
      <c r="A99" s="11" t="str">
        <f>IF(COUNTA(B99:Q99,R99:AB99)=0,"", MAX(A$2:A98)+1)</f>
        <v/>
      </c>
      <c r="B99" s="12"/>
      <c r="C99" s="12"/>
      <c r="D99" s="12"/>
      <c r="E99" s="12"/>
      <c r="F99" s="12"/>
      <c r="G99" s="12"/>
      <c r="H99" s="12"/>
      <c r="I99" s="19"/>
      <c r="J99" s="86"/>
      <c r="K99" s="86"/>
      <c r="L99" s="13"/>
      <c r="M99" s="13"/>
      <c r="N99" s="86"/>
      <c r="O99" s="82"/>
      <c r="P99" s="12"/>
      <c r="Q99" s="14"/>
      <c r="R99" s="12"/>
    </row>
    <row r="100" spans="1:18" x14ac:dyDescent="0.25">
      <c r="A100" s="11" t="str">
        <f>IF(COUNTA(B100:Q100,R100:AB100)=0,"", MAX(A$2:A99)+1)</f>
        <v/>
      </c>
      <c r="B100" s="12"/>
      <c r="C100" s="12"/>
      <c r="D100" s="12"/>
      <c r="E100" s="12"/>
      <c r="F100" s="12"/>
      <c r="G100" s="12"/>
      <c r="H100" s="12"/>
      <c r="I100" s="19"/>
      <c r="J100" s="86"/>
      <c r="K100" s="86"/>
      <c r="L100" s="13"/>
      <c r="M100" s="13"/>
      <c r="N100" s="86"/>
      <c r="O100" s="82"/>
      <c r="P100" s="12"/>
      <c r="Q100" s="14"/>
      <c r="R100" s="12"/>
    </row>
    <row r="101" spans="1:18" x14ac:dyDescent="0.25">
      <c r="A101" s="11" t="str">
        <f>IF(COUNTA(B101:Q101,R101:AB101)=0,"", MAX(A$2:A100)+1)</f>
        <v/>
      </c>
      <c r="B101" s="12"/>
      <c r="C101" s="12"/>
      <c r="D101" s="12"/>
      <c r="E101" s="12"/>
      <c r="F101" s="12"/>
      <c r="G101" s="12"/>
      <c r="H101" s="12"/>
      <c r="I101" s="19"/>
      <c r="J101" s="86"/>
      <c r="K101" s="86"/>
      <c r="L101" s="13"/>
      <c r="M101" s="13"/>
      <c r="N101" s="86"/>
      <c r="O101" s="82"/>
      <c r="P101" s="12"/>
      <c r="Q101" s="14"/>
      <c r="R101" s="12"/>
    </row>
    <row r="102" spans="1:18" x14ac:dyDescent="0.25">
      <c r="A102" s="11" t="str">
        <f>IF(COUNTA(B102:Q102,R102:AB102)=0,"", MAX(A$2:A101)+1)</f>
        <v/>
      </c>
      <c r="B102" s="12"/>
      <c r="C102" s="12"/>
      <c r="D102" s="12"/>
      <c r="E102" s="12"/>
      <c r="F102" s="12"/>
      <c r="G102" s="12"/>
      <c r="H102" s="12"/>
      <c r="I102" s="19"/>
      <c r="J102" s="86"/>
      <c r="K102" s="86"/>
      <c r="L102" s="13"/>
      <c r="M102" s="13"/>
      <c r="N102" s="86"/>
      <c r="O102" s="82"/>
      <c r="P102" s="12"/>
      <c r="Q102" s="14"/>
      <c r="R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03"/>
  <sheetViews>
    <sheetView zoomScaleNormal="100" workbookViewId="0">
      <selection activeCell="E8" sqref="E8"/>
    </sheetView>
  </sheetViews>
  <sheetFormatPr defaultRowHeight="15.75" x14ac:dyDescent="0.25"/>
  <cols>
    <col min="1" max="1" width="6.625" style="39" customWidth="1"/>
    <col min="2" max="2" width="16.75" style="39" customWidth="1"/>
    <col min="3" max="3" width="16.375" style="35" customWidth="1"/>
    <col min="4" max="4" width="14.625" style="36" customWidth="1"/>
    <col min="5" max="5" width="14.375" style="37" customWidth="1"/>
    <col min="6" max="6" width="21.5" style="37" customWidth="1"/>
    <col min="7" max="7" width="16.625" style="37" customWidth="1"/>
    <col min="8" max="8" width="9.875" style="36" customWidth="1"/>
    <col min="9" max="9" width="20.375" style="32" customWidth="1"/>
    <col min="10" max="10" width="18.25" style="77" customWidth="1"/>
    <col min="11" max="11" width="25" style="36" customWidth="1"/>
    <col min="12" max="14" width="12.75" style="36" hidden="1" customWidth="1"/>
    <col min="15" max="15" width="6.75" style="37" customWidth="1"/>
    <col min="16" max="16" width="6.625" style="39" customWidth="1"/>
    <col min="17" max="17" width="17.125" style="38" customWidth="1"/>
    <col min="18" max="18" width="22.375" style="38" customWidth="1"/>
    <col min="19" max="19" width="12.625" style="37" customWidth="1"/>
    <col min="20" max="20" width="16" style="37" customWidth="1"/>
    <col min="21" max="21" width="12.625" style="37" customWidth="1"/>
    <col min="22" max="22" width="21.125" style="37" customWidth="1"/>
    <col min="23" max="23" width="23" style="38" customWidth="1"/>
    <col min="24" max="24" width="15.625" style="36" bestFit="1" customWidth="1"/>
    <col min="25" max="25" width="12.5" style="37" customWidth="1"/>
    <col min="26" max="27" width="17.5" style="37" customWidth="1"/>
    <col min="28" max="16384" width="9" style="37"/>
  </cols>
  <sheetData>
    <row r="1" spans="1:27" s="24" customFormat="1" ht="41.25" customHeight="1" x14ac:dyDescent="0.25">
      <c r="A1" s="102" t="s">
        <v>95</v>
      </c>
      <c r="B1" s="102"/>
      <c r="C1" s="102"/>
      <c r="D1" s="102"/>
      <c r="E1" s="23"/>
      <c r="H1" s="25"/>
      <c r="I1" s="25"/>
      <c r="J1" s="2"/>
      <c r="K1" s="25"/>
      <c r="L1" s="25"/>
      <c r="M1" s="25"/>
      <c r="N1" s="25"/>
      <c r="O1" s="23"/>
      <c r="P1" s="102" t="s">
        <v>96</v>
      </c>
      <c r="Q1" s="102"/>
      <c r="R1" s="102"/>
      <c r="S1" s="23"/>
      <c r="U1" s="23"/>
      <c r="V1" s="23"/>
      <c r="W1" s="28"/>
      <c r="X1" s="25"/>
    </row>
    <row r="2" spans="1:27" s="24" customFormat="1" ht="38.25" customHeight="1" x14ac:dyDescent="0.25">
      <c r="B2" s="24" t="s">
        <v>110</v>
      </c>
      <c r="C2" s="26" t="str">
        <f>_xll.OpenApiSubscribe("/openapi/port/v1/netpositions/subscriptions/active","ClientKey:"&amp;_xll.OpenApiGetClientKey(),"DisplayAndFormat,NetPositionBase,NetPositionView","DisplayAndFormat.Symbol,NetPositionBase.Amount,DisplayAndFormat.Currency,NetPositionView.AverageOpenPrice")</f>
        <v>Symbol</v>
      </c>
      <c r="D2" s="25" t="s">
        <v>113</v>
      </c>
      <c r="E2" s="24" t="s">
        <v>63</v>
      </c>
      <c r="F2" s="24" t="s">
        <v>127</v>
      </c>
      <c r="G2" s="24" t="s">
        <v>107</v>
      </c>
      <c r="H2" s="25" t="s">
        <v>108</v>
      </c>
      <c r="I2" s="27" t="s">
        <v>39</v>
      </c>
      <c r="J2" s="6" t="s">
        <v>42</v>
      </c>
      <c r="K2" s="27" t="s">
        <v>111</v>
      </c>
      <c r="L2" s="25"/>
      <c r="M2" s="25"/>
      <c r="N2" s="25"/>
      <c r="Q2" s="28" t="str">
        <f>_xll.OpenApiSubscribe("/openapi/port/v1/positions/subscriptions/active","ClientKey:"&amp;_xll.OpenApiGetClientKey(),"PositionBase,DisplayAndFormat,PositionView",CONCATENATE("PositionBase.SourceOrderId,DisplayAndFormat.Symbol,PositionBase.Amount,PositionBase.OpenPrice,DisplayAndFormat.Currency,DisplayAndFormat.Description,PositionBase.ExecutionTimeOpen"))</f>
        <v>SourceOrderId</v>
      </c>
      <c r="R2" s="28" t="s">
        <v>28</v>
      </c>
      <c r="S2" s="24" t="s">
        <v>113</v>
      </c>
      <c r="T2" s="24" t="s">
        <v>114</v>
      </c>
      <c r="U2" s="24" t="s">
        <v>63</v>
      </c>
      <c r="V2" s="24" t="s">
        <v>51</v>
      </c>
      <c r="W2" s="28" t="s">
        <v>112</v>
      </c>
      <c r="X2" s="24" t="s">
        <v>107</v>
      </c>
      <c r="Y2" s="25" t="s">
        <v>108</v>
      </c>
      <c r="Z2" s="29"/>
      <c r="AA2" s="29"/>
    </row>
    <row r="3" spans="1:27" s="33" customFormat="1" x14ac:dyDescent="0.25">
      <c r="A3" s="30">
        <f>IF(COUNTA(C3:D3)=0,"", MAX(A$2:A2)+1)</f>
        <v>1</v>
      </c>
      <c r="B3" s="30" t="s">
        <v>8</v>
      </c>
      <c r="C3" s="31" t="str">
        <f t="array" ref="C3:F3">_xll.OpenApiSubscribeRtd("ExcelTrader_6","NetpositionId","BEKB:xbru_CfdOnShare")</f>
        <v>BEKB:xbru</v>
      </c>
      <c r="D3" s="32">
        <v>295</v>
      </c>
      <c r="E3" s="33" t="str">
        <v>EUR</v>
      </c>
      <c r="F3" s="33">
        <v>44.360300000000002</v>
      </c>
      <c r="G3" s="33">
        <f>IF(ISNA(VLOOKUP(E3,Forex!$B$3:$C$8,2,FALSE)),"",VLOOKUP(E3,Forex!$B$3:$C$8,2,FALSE))</f>
        <v>0.89</v>
      </c>
      <c r="H3" s="32">
        <f>IF(ISERR(F3/G3*D3/1000),"", ABS(F3/G3*D3/1000))</f>
        <v>14.703694943820224</v>
      </c>
      <c r="I3" s="32" t="s">
        <v>144</v>
      </c>
      <c r="J3" s="76" t="s">
        <v>144</v>
      </c>
      <c r="K3" s="78" t="e">
        <f ca="1">IF(ISNA(PctFromPrevRep),"", PctFromPrevRep)</f>
        <v>#NAME?</v>
      </c>
      <c r="L3" s="32"/>
      <c r="M3" s="32"/>
      <c r="N3" s="32"/>
      <c r="P3" s="30">
        <f>IF(COUNTA(Q3:Q3)=0,"", MAX(P$2:P2)+1)</f>
        <v>1</v>
      </c>
      <c r="Q3" s="34" t="str">
        <f t="array" ref="Q3:W3">_xll.OpenApiSubscribeRtd("ExcelTrader_5","PositionId","185771093")</f>
        <v>68545616</v>
      </c>
      <c r="R3" s="34" t="str">
        <v>VOD:xlon</v>
      </c>
      <c r="S3" s="33">
        <v>-3555</v>
      </c>
      <c r="T3" s="33">
        <v>219.35</v>
      </c>
      <c r="U3" s="33" t="str">
        <v>GBP</v>
      </c>
      <c r="V3" s="33" t="str">
        <v>Vodafone Group Plc</v>
      </c>
      <c r="W3" s="34">
        <v>42930.404166180553</v>
      </c>
      <c r="X3" s="33">
        <f>IF(ISNA(VLOOKUP(U3,Forex!$B$3:$C$8,2,FALSE)),"",VLOOKUP(U3,Forex!$B$3:$C$8,2,FALSE))</f>
        <v>78</v>
      </c>
      <c r="Y3" s="32">
        <f>IF(ISERR(T3/X3*S3/1000),"", T3/X3*S3/1000)</f>
        <v>-9.9972980769230766</v>
      </c>
    </row>
    <row r="4" spans="1:27" s="33" customFormat="1" x14ac:dyDescent="0.25">
      <c r="A4" s="30">
        <f>IF(COUNTA(C4:D4)=0,"", MAX(A$2:A3)+1)</f>
        <v>2</v>
      </c>
      <c r="B4" s="30" t="s">
        <v>9</v>
      </c>
      <c r="C4" s="31" t="str">
        <f t="array" ref="C4:F4">_xll.OpenApiSubscribeRtd("ExcelTrader_6","NetpositionId","RTN:xlon_CfdOnShare")</f>
        <v>RTN:xlon</v>
      </c>
      <c r="D4" s="32">
        <v>-5198</v>
      </c>
      <c r="E4" s="33" t="str">
        <v>GBP</v>
      </c>
      <c r="F4" s="33">
        <v>305.05</v>
      </c>
      <c r="G4" s="33">
        <f>IF(ISNA(VLOOKUP(E4,Forex!$B$3:$C$8,2,FALSE)),"",VLOOKUP(E4,Forex!$B$3:$C$8,2,FALSE))</f>
        <v>78</v>
      </c>
      <c r="H4" s="32">
        <f t="shared" ref="H4:H53" si="0">IF(ISERR(F4/G4*D4/1000),"", ABS(F4/G4*D4/1000))</f>
        <v>20.328844871794875</v>
      </c>
      <c r="I4" s="32" t="s">
        <v>109</v>
      </c>
      <c r="J4" s="76">
        <v>42928</v>
      </c>
      <c r="K4" s="78" t="e">
        <f ca="1">IF(ISNA(PctFromPrevRep),"", PctFromPrevRep)</f>
        <v>#NAME?</v>
      </c>
      <c r="L4" s="32"/>
      <c r="M4" s="32"/>
      <c r="N4" s="32"/>
      <c r="P4" s="30">
        <f>IF(COUNTA(Q4:Q4)=0,"", MAX(P$2:P3)+1)</f>
        <v>2</v>
      </c>
      <c r="Q4" s="34" t="str">
        <f t="array" ref="Q4:W4">_xll.OpenApiSubscribeRtd("ExcelTrader_5","PositionId","185760091")</f>
        <v>68539877</v>
      </c>
      <c r="R4" s="34" t="str">
        <v>VOD:xlon</v>
      </c>
      <c r="S4" s="33">
        <v>5294</v>
      </c>
      <c r="T4" s="33">
        <v>220.5</v>
      </c>
      <c r="U4" s="33" t="str">
        <v>GBP</v>
      </c>
      <c r="V4" s="33" t="str">
        <v>Vodafone Group Plc</v>
      </c>
      <c r="W4" s="34">
        <v>42929.641531689813</v>
      </c>
      <c r="X4" s="33">
        <f>IF(ISNA(VLOOKUP(U4,Forex!$B$3:$C$8,2,FALSE)),"",VLOOKUP(U4,Forex!$B$3:$C$8,2,FALSE))</f>
        <v>78</v>
      </c>
      <c r="Y4" s="32">
        <f t="shared" ref="Y4:Y53" si="1">IF(ISERR(T4/X4*S4/1000),"", T4/X4*S4/1000)</f>
        <v>14.96573076923077</v>
      </c>
    </row>
    <row r="5" spans="1:27" s="33" customFormat="1" x14ac:dyDescent="0.25">
      <c r="A5" s="30">
        <f>IF(COUNTA(C5:D5)=0,"", MAX(A$2:A4)+1)</f>
        <v>3</v>
      </c>
      <c r="B5" s="30" t="s">
        <v>0</v>
      </c>
      <c r="C5" s="31" t="str">
        <f t="array" ref="C5:F5">_xll.OpenApiSubscribeRtd("ExcelTrader_6","NetpositionId","VOD:xlon_CfdOnShare")</f>
        <v>VOD:xlon</v>
      </c>
      <c r="D5" s="32">
        <v>0</v>
      </c>
      <c r="E5" s="33" t="str">
        <v>GBP</v>
      </c>
      <c r="F5" s="33">
        <v>0</v>
      </c>
      <c r="G5" s="33">
        <f>IF(ISNA(VLOOKUP(E5,Forex!$B$3:$C$8,2,FALSE)),"",VLOOKUP(E5,Forex!$B$3:$C$8,2,FALSE))</f>
        <v>78</v>
      </c>
      <c r="H5" s="32">
        <f t="shared" si="0"/>
        <v>0</v>
      </c>
      <c r="I5" s="32"/>
      <c r="J5" s="76">
        <v>42928</v>
      </c>
      <c r="K5" s="78" t="e">
        <f ca="1">IF(ISNA(PctFromPrevRep),"", PctFromPrevRep)</f>
        <v>#NAME?</v>
      </c>
      <c r="L5" s="32"/>
      <c r="M5" s="32"/>
      <c r="N5" s="32"/>
      <c r="P5" s="30">
        <f>IF(COUNTA(Q5:Q5)=0,"", MAX(P$2:P4)+1)</f>
        <v>3</v>
      </c>
      <c r="Q5" s="34" t="str">
        <f t="array" ref="Q5:W5">_xll.OpenApiSubscribeRtd("ExcelTrader_5","PositionId","185759881")</f>
        <v>68539866</v>
      </c>
      <c r="R5" s="34" t="str">
        <v>VOD:xlon</v>
      </c>
      <c r="S5" s="33">
        <v>5294</v>
      </c>
      <c r="T5" s="33">
        <v>220.45</v>
      </c>
      <c r="U5" s="33" t="str">
        <v>GBP</v>
      </c>
      <c r="V5" s="33" t="str">
        <v>Vodafone Group Plc</v>
      </c>
      <c r="W5" s="34">
        <v>42929.63616480324</v>
      </c>
      <c r="X5" s="33">
        <f>IF(ISNA(VLOOKUP(U5,Forex!$B$3:$C$8,2,FALSE)),"",VLOOKUP(U5,Forex!$B$3:$C$8,2,FALSE))</f>
        <v>78</v>
      </c>
      <c r="Y5" s="32">
        <f t="shared" si="1"/>
        <v>14.962337179487179</v>
      </c>
    </row>
    <row r="6" spans="1:27" s="33" customFormat="1" x14ac:dyDescent="0.25">
      <c r="A6" s="30" t="str">
        <f>IF(COUNTA(C6:D6)=0,"", MAX(A$2:A5)+1)</f>
        <v/>
      </c>
      <c r="B6" s="30"/>
      <c r="C6" s="31"/>
      <c r="D6" s="32"/>
      <c r="G6" s="33" t="str">
        <f>IF(ISNA(VLOOKUP(E6,Forex!$B$3:$C$8,2,FALSE)),"",VLOOKUP(E6,Forex!$B$3:$C$8,2,FALSE))</f>
        <v/>
      </c>
      <c r="H6" s="32" t="str">
        <f t="shared" si="0"/>
        <v/>
      </c>
      <c r="I6" s="32"/>
      <c r="J6" s="76"/>
      <c r="K6" s="78" t="str">
        <f>IF(ISNA(PctFromPrevRep),"", PctFromPrevRep)</f>
        <v/>
      </c>
      <c r="L6" s="32"/>
      <c r="M6" s="32"/>
      <c r="N6" s="32"/>
      <c r="P6" s="30">
        <f>IF(COUNTA(Q6:Q6)=0,"", MAX(P$2:P5)+1)</f>
        <v>4</v>
      </c>
      <c r="Q6" s="34" t="str">
        <f t="array" ref="Q6:W6">_xll.OpenApiSubscribeRtd("ExcelTrader_5","PositionId","185753759")</f>
        <v>68527157</v>
      </c>
      <c r="R6" s="34" t="str">
        <v>RTN:xlon</v>
      </c>
      <c r="S6" s="33">
        <v>-2599</v>
      </c>
      <c r="T6" s="33">
        <v>310</v>
      </c>
      <c r="U6" s="33" t="str">
        <v>GBP</v>
      </c>
      <c r="V6" s="33" t="str">
        <v>Restaurant Group</v>
      </c>
      <c r="W6" s="34">
        <v>42929.46248707176</v>
      </c>
      <c r="X6" s="33">
        <f>IF(ISNA(VLOOKUP(U6,Forex!$B$3:$C$8,2,FALSE)),"",VLOOKUP(U6,Forex!$B$3:$C$8,2,FALSE))</f>
        <v>78</v>
      </c>
      <c r="Y6" s="32">
        <f t="shared" si="1"/>
        <v>-10.329358974358975</v>
      </c>
    </row>
    <row r="7" spans="1:27" s="33" customFormat="1" x14ac:dyDescent="0.25">
      <c r="A7" s="30" t="str">
        <f>IF(COUNTA(C7:D7)=0,"", MAX(A$2:A6)+1)</f>
        <v/>
      </c>
      <c r="B7" s="30"/>
      <c r="C7" s="31"/>
      <c r="D7" s="32"/>
      <c r="G7" s="33" t="str">
        <f>IF(ISNA(VLOOKUP(E7,Forex!$B$3:$C$8,2,FALSE)),"",VLOOKUP(E7,Forex!$B$3:$C$8,2,FALSE))</f>
        <v/>
      </c>
      <c r="H7" s="32" t="str">
        <f t="shared" si="0"/>
        <v/>
      </c>
      <c r="I7" s="32"/>
      <c r="J7" s="76"/>
      <c r="K7" s="78" t="str">
        <f>IF(ISNA(PctFromPrevRep),"", PctFromPrevRep)</f>
        <v/>
      </c>
      <c r="L7" s="32"/>
      <c r="M7" s="32"/>
      <c r="N7" s="32"/>
      <c r="P7" s="30">
        <f>IF(COUNTA(Q7:Q7)=0,"", MAX(P$2:P6)+1)</f>
        <v>5</v>
      </c>
      <c r="Q7" s="34" t="str">
        <f t="array" ref="Q7:W7">_xll.OpenApiSubscribeRtd("ExcelTrader_5","PositionId","185735906")</f>
        <v>68525884</v>
      </c>
      <c r="R7" s="34" t="str">
        <v>RTN:xlon</v>
      </c>
      <c r="S7" s="33">
        <v>-2599</v>
      </c>
      <c r="T7" s="33">
        <v>300.10000000000002</v>
      </c>
      <c r="U7" s="33" t="str">
        <v>GBP</v>
      </c>
      <c r="V7" s="33" t="str">
        <v>Restaurant Group</v>
      </c>
      <c r="W7" s="34">
        <v>42928.556951840277</v>
      </c>
      <c r="X7" s="33">
        <f>IF(ISNA(VLOOKUP(U7,Forex!$B$3:$C$8,2,FALSE)),"",VLOOKUP(U7,Forex!$B$3:$C$8,2,FALSE))</f>
        <v>78</v>
      </c>
      <c r="Y7" s="32">
        <f t="shared" si="1"/>
        <v>-9.999485897435898</v>
      </c>
    </row>
    <row r="8" spans="1:27" s="33" customFormat="1" x14ac:dyDescent="0.25">
      <c r="A8" s="30" t="str">
        <f>IF(COUNTA(C8:D8)=0,"", MAX(A$2:A7)+1)</f>
        <v/>
      </c>
      <c r="B8" s="30"/>
      <c r="C8" s="31"/>
      <c r="D8" s="32"/>
      <c r="G8" s="33" t="str">
        <f>IF(ISNA(VLOOKUP(E8,Forex!$B$3:$C$8,2,FALSE)),"",VLOOKUP(E8,Forex!$B$3:$C$8,2,FALSE))</f>
        <v/>
      </c>
      <c r="H8" s="32" t="str">
        <f t="shared" si="0"/>
        <v/>
      </c>
      <c r="I8" s="32"/>
      <c r="J8" s="76"/>
      <c r="K8" s="78" t="str">
        <f>IF(ISNA(PctFromPrevRep),"", PctFromPrevRep)</f>
        <v/>
      </c>
      <c r="L8" s="32"/>
      <c r="M8" s="32"/>
      <c r="N8" s="32"/>
      <c r="P8" s="30">
        <f>IF(COUNTA(Q8:Q8)=0,"", MAX(P$2:P7)+1)</f>
        <v>6</v>
      </c>
      <c r="Q8" s="34" t="str">
        <f t="array" ref="Q8:W8">_xll.OpenApiSubscribeRtd("ExcelTrader_5","PositionId","185675496")</f>
        <v>68489006</v>
      </c>
      <c r="R8" s="34" t="str">
        <v>BEKB:xbru</v>
      </c>
      <c r="S8" s="33">
        <v>295</v>
      </c>
      <c r="T8" s="33">
        <v>44.360300000000002</v>
      </c>
      <c r="U8" s="33" t="str">
        <v>EUR</v>
      </c>
      <c r="V8" s="33" t="str">
        <v>Bekaert</v>
      </c>
      <c r="W8" s="34">
        <v>42923.546530555555</v>
      </c>
      <c r="X8" s="33">
        <f>IF(ISNA(VLOOKUP(U8,Forex!$B$3:$C$8,2,FALSE)),"",VLOOKUP(U8,Forex!$B$3:$C$8,2,FALSE))</f>
        <v>0.89</v>
      </c>
      <c r="Y8" s="32">
        <f t="shared" si="1"/>
        <v>14.703694943820224</v>
      </c>
    </row>
    <row r="9" spans="1:27" s="33" customFormat="1" x14ac:dyDescent="0.25">
      <c r="A9" s="30" t="str">
        <f>IF(COUNTA(C9:D9)=0,"", MAX(A$2:A8)+1)</f>
        <v/>
      </c>
      <c r="B9" s="30"/>
      <c r="C9" s="31"/>
      <c r="D9" s="32"/>
      <c r="G9" s="33" t="str">
        <f>IF(ISNA(VLOOKUP(E9,Forex!$B$3:$C$8,2,FALSE)),"",VLOOKUP(E9,Forex!$B$3:$C$8,2,FALSE))</f>
        <v/>
      </c>
      <c r="H9" s="32" t="str">
        <f t="shared" si="0"/>
        <v/>
      </c>
      <c r="I9" s="32"/>
      <c r="J9" s="76"/>
      <c r="K9" s="78" t="str">
        <f>IF(ISNA(PctFromPrevRep),"", PctFromPrevRep)</f>
        <v/>
      </c>
      <c r="L9" s="32"/>
      <c r="M9" s="32"/>
      <c r="N9" s="32"/>
      <c r="P9" s="30">
        <f>IF(COUNTA(Q9:Q9)=0,"", MAX(P$2:P8)+1)</f>
        <v>7</v>
      </c>
      <c r="Q9" s="34" t="str">
        <f t="array" ref="Q9:W9">_xll.OpenApiSubscribeRtd("ExcelTrader_5","PositionId","185771167")</f>
        <v>68545620</v>
      </c>
      <c r="R9" s="34" t="str">
        <v>VOD:xlon</v>
      </c>
      <c r="S9" s="33">
        <v>-3555</v>
      </c>
      <c r="T9" s="33">
        <v>219.5</v>
      </c>
      <c r="U9" s="33" t="str">
        <v>GBP</v>
      </c>
      <c r="V9" s="33" t="str">
        <v>Vodafone Group Plc</v>
      </c>
      <c r="W9" s="34">
        <v>42930.406137071761</v>
      </c>
      <c r="X9" s="33">
        <f>IF(ISNA(VLOOKUP(U9,Forex!$B$3:$C$8,2,FALSE)),"",VLOOKUP(U9,Forex!$B$3:$C$8,2,FALSE))</f>
        <v>78</v>
      </c>
      <c r="Y9" s="32">
        <f t="shared" si="1"/>
        <v>-10.004134615384617</v>
      </c>
    </row>
    <row r="10" spans="1:27" s="33" customFormat="1" x14ac:dyDescent="0.25">
      <c r="A10" s="30" t="str">
        <f>IF(COUNTA(C10:D10)=0,"", MAX(A$2:A9)+1)</f>
        <v/>
      </c>
      <c r="B10" s="30"/>
      <c r="C10" s="31"/>
      <c r="D10" s="32"/>
      <c r="G10" s="33" t="str">
        <f>IF(ISNA(VLOOKUP(E10,Forex!$B$3:$C$8,2,FALSE)),"",VLOOKUP(E10,Forex!$B$3:$C$8,2,FALSE))</f>
        <v/>
      </c>
      <c r="H10" s="32" t="str">
        <f t="shared" si="0"/>
        <v/>
      </c>
      <c r="I10" s="32"/>
      <c r="J10" s="76"/>
      <c r="K10" s="78" t="str">
        <f>IF(ISNA(PctFromPrevRep),"", PctFromPrevRep)</f>
        <v/>
      </c>
      <c r="L10" s="32"/>
      <c r="M10" s="32"/>
      <c r="N10" s="32"/>
      <c r="P10" s="30">
        <f>IF(COUNTA(Q10:Q10)=0,"", MAX(P$2:P9)+1)</f>
        <v>8</v>
      </c>
      <c r="Q10" s="34" t="str">
        <f t="array" ref="Q10:W10">_xll.OpenApiSubscribeRtd("ExcelTrader_5","PositionId","185771563")</f>
        <v>68545639</v>
      </c>
      <c r="R10" s="34" t="str">
        <v>VOD:xlon</v>
      </c>
      <c r="S10" s="33">
        <v>-3555</v>
      </c>
      <c r="T10" s="33">
        <v>219.85</v>
      </c>
      <c r="U10" s="33" t="str">
        <v>GBP</v>
      </c>
      <c r="V10" s="33" t="str">
        <v>Vodafone Group Plc</v>
      </c>
      <c r="W10" s="34">
        <v>42930.414621770833</v>
      </c>
      <c r="X10" s="33">
        <f>IF(ISNA(VLOOKUP(U10,Forex!$B$3:$C$8,2,FALSE)),"",VLOOKUP(U10,Forex!$B$3:$C$8,2,FALSE))</f>
        <v>78</v>
      </c>
      <c r="Y10" s="32">
        <f t="shared" si="1"/>
        <v>-10.020086538461538</v>
      </c>
    </row>
    <row r="11" spans="1:27" s="33" customFormat="1" x14ac:dyDescent="0.25">
      <c r="A11" s="30" t="str">
        <f>IF(COUNTA(C11:D11)=0,"", MAX(A$2:A10)+1)</f>
        <v/>
      </c>
      <c r="B11" s="30"/>
      <c r="C11" s="31"/>
      <c r="D11" s="32"/>
      <c r="G11" s="33" t="str">
        <f>IF(ISNA(VLOOKUP(E11,Forex!$B$3:$C$8,2,FALSE)),"",VLOOKUP(E11,Forex!$B$3:$C$8,2,FALSE))</f>
        <v/>
      </c>
      <c r="H11" s="32" t="str">
        <f t="shared" si="0"/>
        <v/>
      </c>
      <c r="I11" s="32"/>
      <c r="J11" s="76"/>
      <c r="K11" s="78" t="str">
        <f>IF(ISNA(PctFromPrevRep),"", PctFromPrevRep)</f>
        <v/>
      </c>
      <c r="L11" s="32"/>
      <c r="M11" s="32"/>
      <c r="N11" s="32"/>
      <c r="P11" s="30">
        <f>IF(COUNTA(Q11:Q11)=0,"", MAX(P$2:P10)+1)</f>
        <v>9</v>
      </c>
      <c r="Q11" s="34" t="str">
        <f t="array" ref="Q11:W11">_xll.OpenApiSubscribeRtd("ExcelTrader_5","PositionId","185771565")</f>
        <v>68545640</v>
      </c>
      <c r="R11" s="34" t="str">
        <v>VOD:xlon</v>
      </c>
      <c r="S11" s="33">
        <v>-3551</v>
      </c>
      <c r="T11" s="33">
        <v>219.85</v>
      </c>
      <c r="U11" s="33" t="str">
        <v>GBP</v>
      </c>
      <c r="V11" s="33" t="str">
        <v>Vodafone Group Plc</v>
      </c>
      <c r="W11" s="34">
        <v>42930.414634421293</v>
      </c>
      <c r="X11" s="33">
        <f>IF(ISNA(VLOOKUP(U11,Forex!$B$3:$C$8,2,FALSE)),"",VLOOKUP(U11,Forex!$B$3:$C$8,2,FALSE))</f>
        <v>78</v>
      </c>
      <c r="Y11" s="32">
        <f t="shared" si="1"/>
        <v>-10.008812179487178</v>
      </c>
    </row>
    <row r="12" spans="1:27" s="33" customFormat="1" x14ac:dyDescent="0.25">
      <c r="A12" s="30" t="str">
        <f>IF(COUNTA(C12:D12)=0,"", MAX(A$2:A11)+1)</f>
        <v/>
      </c>
      <c r="B12" s="30"/>
      <c r="C12" s="31"/>
      <c r="D12" s="32"/>
      <c r="G12" s="33" t="str">
        <f>IF(ISNA(VLOOKUP(E12,Forex!$B$3:$C$8,2,FALSE)),"",VLOOKUP(E12,Forex!$B$3:$C$8,2,FALSE))</f>
        <v/>
      </c>
      <c r="H12" s="32" t="str">
        <f t="shared" si="0"/>
        <v/>
      </c>
      <c r="I12" s="32"/>
      <c r="J12" s="76"/>
      <c r="K12" s="78" t="str">
        <f>IF(ISNA(PctFromPrevRep),"", PctFromPrevRep)</f>
        <v/>
      </c>
      <c r="L12" s="32"/>
      <c r="M12" s="32"/>
      <c r="N12" s="32"/>
      <c r="P12" s="30">
        <f>IF(COUNTA(Q12:Q12)=0,"", MAX(P$2:P11)+1)</f>
        <v>10</v>
      </c>
      <c r="Q12" s="34" t="str">
        <f t="array" ref="Q12:W12">_xll.OpenApiSubscribeRtd("ExcelTrader_5","PositionId","185771567")</f>
        <v>68545641</v>
      </c>
      <c r="R12" s="34" t="str">
        <v>VOD:xlon</v>
      </c>
      <c r="S12" s="33">
        <v>-3478</v>
      </c>
      <c r="T12" s="33">
        <v>219.85</v>
      </c>
      <c r="U12" s="33" t="str">
        <v>GBP</v>
      </c>
      <c r="V12" s="33" t="str">
        <v>Vodafone Group Plc</v>
      </c>
      <c r="W12" s="34">
        <v>42930.414649305552</v>
      </c>
      <c r="X12" s="33">
        <f>IF(ISNA(VLOOKUP(U12,Forex!$B$3:$C$8,2,FALSE)),"",VLOOKUP(U12,Forex!$B$3:$C$8,2,FALSE))</f>
        <v>78</v>
      </c>
      <c r="Y12" s="32">
        <f t="shared" si="1"/>
        <v>-9.803055128205127</v>
      </c>
    </row>
    <row r="13" spans="1:27" s="33" customFormat="1" x14ac:dyDescent="0.25">
      <c r="A13" s="30" t="str">
        <f>IF(COUNTA(C13:D13)=0,"", MAX(A$2:A12)+1)</f>
        <v/>
      </c>
      <c r="B13" s="30"/>
      <c r="C13" s="31"/>
      <c r="D13" s="32"/>
      <c r="G13" s="33" t="str">
        <f>IF(ISNA(VLOOKUP(E13,Forex!$B$3:$C$8,2,FALSE)),"",VLOOKUP(E13,Forex!$B$3:$C$8,2,FALSE))</f>
        <v/>
      </c>
      <c r="H13" s="32" t="str">
        <f t="shared" si="0"/>
        <v/>
      </c>
      <c r="I13" s="32"/>
      <c r="J13" s="77"/>
      <c r="K13" s="78" t="str">
        <f>IF(ISNA(PctFromPrevRep),"", PctFromPrevRep)</f>
        <v/>
      </c>
      <c r="L13" s="32"/>
      <c r="M13" s="32"/>
      <c r="N13" s="32"/>
      <c r="P13" s="30">
        <f>IF(COUNTA(Q13:Q13)=0,"", MAX(P$2:P12)+1)</f>
        <v>11</v>
      </c>
      <c r="Q13" s="34" t="str">
        <f t="array" ref="Q13:W13">_xll.OpenApiSubscribeRtd("ExcelTrader_5","PositionId","185771587")</f>
        <v>68545645</v>
      </c>
      <c r="R13" s="34" t="str">
        <v>VOD:xlon</v>
      </c>
      <c r="S13" s="33">
        <v>3550</v>
      </c>
      <c r="T13" s="33">
        <v>219.65</v>
      </c>
      <c r="U13" s="33" t="str">
        <v>GBP</v>
      </c>
      <c r="V13" s="33" t="str">
        <v>Vodafone Group Plc</v>
      </c>
      <c r="W13" s="34">
        <v>42930.416584618055</v>
      </c>
      <c r="X13" s="33">
        <f>IF(ISNA(VLOOKUP(U13,Forex!$B$3:$C$8,2,FALSE)),"",VLOOKUP(U13,Forex!$B$3:$C$8,2,FALSE))</f>
        <v>78</v>
      </c>
      <c r="Y13" s="32">
        <f t="shared" si="1"/>
        <v>9.9968910256410268</v>
      </c>
    </row>
    <row r="14" spans="1:27" s="33" customFormat="1" x14ac:dyDescent="0.25">
      <c r="A14" s="30" t="str">
        <f>IF(COUNTA(C14:D14)=0,"", MAX(A$2:A13)+1)</f>
        <v/>
      </c>
      <c r="B14" s="30"/>
      <c r="C14" s="31"/>
      <c r="D14" s="32"/>
      <c r="G14" s="33" t="str">
        <f>IF(ISNA(VLOOKUP(E14,Forex!$B$3:$C$8,2,FALSE)),"",VLOOKUP(E14,Forex!$B$3:$C$8,2,FALSE))</f>
        <v/>
      </c>
      <c r="H14" s="32" t="str">
        <f t="shared" si="0"/>
        <v/>
      </c>
      <c r="I14" s="32"/>
      <c r="J14" s="77"/>
      <c r="K14" s="78" t="str">
        <f>IF(ISNA(PctFromPrevRep),"", PctFromPrevRep)</f>
        <v/>
      </c>
      <c r="L14" s="32"/>
      <c r="M14" s="32"/>
      <c r="N14" s="32"/>
      <c r="P14" s="30">
        <f>IF(COUNTA(Q14:Q14)=0,"", MAX(P$2:P13)+1)</f>
        <v>12</v>
      </c>
      <c r="Q14" s="34" t="str">
        <f t="array" ref="Q14:W14">_xll.OpenApiSubscribeRtd("ExcelTrader_5","PositionId","185771615")</f>
        <v>68545659</v>
      </c>
      <c r="R14" s="34" t="str">
        <v>VOD:xlon</v>
      </c>
      <c r="S14" s="33">
        <v>3549</v>
      </c>
      <c r="T14" s="33">
        <v>219.8</v>
      </c>
      <c r="U14" s="33" t="str">
        <v>GBP</v>
      </c>
      <c r="V14" s="33" t="str">
        <v>Vodafone Group Plc</v>
      </c>
      <c r="W14" s="34">
        <v>42930.418276493052</v>
      </c>
      <c r="X14" s="33">
        <f>IF(ISNA(VLOOKUP(U14,Forex!$B$3:$C$8,2,FALSE)),"",VLOOKUP(U14,Forex!$B$3:$C$8,2,FALSE))</f>
        <v>78</v>
      </c>
      <c r="Y14" s="32">
        <f t="shared" si="1"/>
        <v>10.000900000000001</v>
      </c>
    </row>
    <row r="15" spans="1:27" s="33" customFormat="1" x14ac:dyDescent="0.25">
      <c r="A15" s="30" t="str">
        <f>IF(COUNTA(C15:D15)=0,"", MAX(A$2:A14)+1)</f>
        <v/>
      </c>
      <c r="B15" s="30"/>
      <c r="C15" s="31"/>
      <c r="D15" s="32"/>
      <c r="G15" s="33" t="str">
        <f>IF(ISNA(VLOOKUP(E15,Forex!$B$3:$C$8,2,FALSE)),"",VLOOKUP(E15,Forex!$B$3:$C$8,2,FALSE))</f>
        <v/>
      </c>
      <c r="H15" s="32" t="str">
        <f t="shared" si="0"/>
        <v/>
      </c>
      <c r="I15" s="32"/>
      <c r="J15" s="77"/>
      <c r="K15" s="78" t="str">
        <f>IF(ISNA(PctFromPrevRep),"", PctFromPrevRep)</f>
        <v/>
      </c>
      <c r="L15" s="32"/>
      <c r="M15" s="32"/>
      <c r="N15" s="32"/>
      <c r="P15" s="30">
        <f>IF(COUNTA(Q15:Q15)=0,"", MAX(P$2:P14)+1)</f>
        <v>13</v>
      </c>
      <c r="Q15" s="34" t="str">
        <f t="array" ref="Q15:W15">_xll.OpenApiSubscribeRtd("ExcelTrader_5","PositionId","185771631")</f>
        <v>68546060</v>
      </c>
      <c r="R15" s="34" t="str">
        <v>VOD:xlon</v>
      </c>
      <c r="S15" s="33">
        <v>3549</v>
      </c>
      <c r="T15" s="33">
        <v>219.85</v>
      </c>
      <c r="U15" s="33" t="str">
        <v>GBP</v>
      </c>
      <c r="V15" s="33" t="str">
        <v>Vodafone Group Plc</v>
      </c>
      <c r="W15" s="34">
        <v>42930.419026747688</v>
      </c>
      <c r="X15" s="33">
        <f>IF(ISNA(VLOOKUP(U15,Forex!$B$3:$C$8,2,FALSE)),"",VLOOKUP(U15,Forex!$B$3:$C$8,2,FALSE))</f>
        <v>78</v>
      </c>
      <c r="Y15" s="32">
        <f t="shared" si="1"/>
        <v>10.003174999999999</v>
      </c>
    </row>
    <row r="16" spans="1:27" s="33" customFormat="1" x14ac:dyDescent="0.25">
      <c r="A16" s="30" t="str">
        <f>IF(COUNTA(C16:D16)=0,"", MAX(A$2:A15)+1)</f>
        <v/>
      </c>
      <c r="B16" s="30"/>
      <c r="C16" s="31"/>
      <c r="D16" s="32"/>
      <c r="G16" s="33" t="str">
        <f>IF(ISNA(VLOOKUP(E16,Forex!$B$3:$C$8,2,FALSE)),"",VLOOKUP(E16,Forex!$B$3:$C$8,2,FALSE))</f>
        <v/>
      </c>
      <c r="H16" s="32" t="str">
        <f t="shared" si="0"/>
        <v/>
      </c>
      <c r="I16" s="32"/>
      <c r="J16" s="77"/>
      <c r="K16" s="78" t="str">
        <f>IF(ISNA(PctFromPrevRep),"", PctFromPrevRep)</f>
        <v/>
      </c>
      <c r="L16" s="32"/>
      <c r="M16" s="32"/>
      <c r="N16" s="32"/>
      <c r="P16" s="30">
        <f>IF(COUNTA(Q16:Q16)=0,"", MAX(P$2:P15)+1)</f>
        <v>14</v>
      </c>
      <c r="Q16" s="34" t="str">
        <f t="array" ref="Q16:W16">_xll.OpenApiSubscribeRtd("ExcelTrader_5","PositionId","185771657")</f>
        <v>68546063</v>
      </c>
      <c r="R16" s="34" t="str">
        <v>VOD:xlon</v>
      </c>
      <c r="S16" s="33">
        <v>-3542</v>
      </c>
      <c r="T16" s="33">
        <v>219.9</v>
      </c>
      <c r="U16" s="33" t="str">
        <v>GBP</v>
      </c>
      <c r="V16" s="33" t="str">
        <v>Vodafone Group Plc</v>
      </c>
      <c r="W16" s="34">
        <v>42930.422130937499</v>
      </c>
      <c r="X16" s="33">
        <f>IF(ISNA(VLOOKUP(U16,Forex!$B$3:$C$8,2,FALSE)),"",VLOOKUP(U16,Forex!$B$3:$C$8,2,FALSE))</f>
        <v>78</v>
      </c>
      <c r="Y16" s="32">
        <f t="shared" si="1"/>
        <v>-9.9857153846153857</v>
      </c>
    </row>
    <row r="17" spans="1:25" s="33" customFormat="1" x14ac:dyDescent="0.25">
      <c r="A17" s="30" t="str">
        <f>IF(COUNTA(C17:D17)=0,"", MAX(A$2:A16)+1)</f>
        <v/>
      </c>
      <c r="B17" s="30"/>
      <c r="C17" s="31"/>
      <c r="D17" s="32"/>
      <c r="G17" s="33" t="str">
        <f>IF(ISNA(VLOOKUP(E17,Forex!$B$3:$C$8,2,FALSE)),"",VLOOKUP(E17,Forex!$B$3:$C$8,2,FALSE))</f>
        <v/>
      </c>
      <c r="H17" s="32" t="str">
        <f t="shared" si="0"/>
        <v/>
      </c>
      <c r="I17" s="32"/>
      <c r="J17" s="76"/>
      <c r="K17" s="78" t="str">
        <f>IF(ISNA(PctFromPrevRep),"", PctFromPrevRep)</f>
        <v/>
      </c>
      <c r="L17" s="32"/>
      <c r="M17" s="32"/>
      <c r="N17" s="32"/>
      <c r="P17" s="30">
        <f>IF(COUNTA(Q17:Q17)=0,"", MAX(P$2:P16)+1)</f>
        <v>15</v>
      </c>
      <c r="Q17" s="34" t="str">
        <f t="array" ref="Q17:W17">_xll.OpenApiSubscribeRtd("ExcelTrader_5","PositionId","185771663")</f>
        <v>68546064</v>
      </c>
      <c r="R17" s="34" t="str">
        <v>VOD:xlon</v>
      </c>
      <c r="S17" s="33">
        <v>-3545</v>
      </c>
      <c r="T17" s="33">
        <v>219.95</v>
      </c>
      <c r="U17" s="33" t="str">
        <v>GBP</v>
      </c>
      <c r="V17" s="33" t="str">
        <v>Vodafone Group Plc</v>
      </c>
      <c r="W17" s="34">
        <v>42930.42326466435</v>
      </c>
      <c r="X17" s="33">
        <f>IF(ISNA(VLOOKUP(U17,Forex!$B$3:$C$8,2,FALSE)),"",VLOOKUP(U17,Forex!$B$3:$C$8,2,FALSE))</f>
        <v>78</v>
      </c>
      <c r="Y17" s="32">
        <f t="shared" si="1"/>
        <v>-9.996445512820511</v>
      </c>
    </row>
    <row r="18" spans="1:25" s="33" customFormat="1" x14ac:dyDescent="0.25">
      <c r="A18" s="30" t="str">
        <f>IF(COUNTA(C18:D18)=0,"", MAX(A$2:A17)+1)</f>
        <v/>
      </c>
      <c r="B18" s="30"/>
      <c r="C18" s="31"/>
      <c r="D18" s="32"/>
      <c r="G18" s="33" t="str">
        <f>IF(ISNA(VLOOKUP(E18,Forex!$B$3:$C$8,2,FALSE)),"",VLOOKUP(E18,Forex!$B$3:$C$8,2,FALSE))</f>
        <v/>
      </c>
      <c r="H18" s="32" t="str">
        <f t="shared" si="0"/>
        <v/>
      </c>
      <c r="I18" s="32"/>
      <c r="J18" s="76"/>
      <c r="K18" s="78" t="str">
        <f>IF(ISNA(PctFromPrevRep),"", PctFromPrevRep)</f>
        <v/>
      </c>
      <c r="L18" s="32"/>
      <c r="M18" s="32"/>
      <c r="N18" s="32"/>
      <c r="P18" s="30">
        <f>IF(COUNTA(Q18:Q18)=0,"", MAX(P$2:P17)+1)</f>
        <v>16</v>
      </c>
      <c r="Q18" s="34" t="str">
        <f t="array" ref="Q18:W18">_xll.OpenApiSubscribeRtd("ExcelTrader_5","PositionId","185771665")</f>
        <v>68546065</v>
      </c>
      <c r="R18" s="34" t="str">
        <v>VOD:xlon</v>
      </c>
      <c r="S18" s="33">
        <v>-1455</v>
      </c>
      <c r="T18" s="33">
        <v>219.95</v>
      </c>
      <c r="U18" s="33" t="str">
        <v>GBP</v>
      </c>
      <c r="V18" s="33" t="str">
        <v>Vodafone Group Plc</v>
      </c>
      <c r="W18" s="34">
        <v>42930.423348217591</v>
      </c>
      <c r="X18" s="33">
        <f>IF(ISNA(VLOOKUP(U18,Forex!$B$3:$C$8,2,FALSE)),"",VLOOKUP(U18,Forex!$B$3:$C$8,2,FALSE))</f>
        <v>78</v>
      </c>
      <c r="Y18" s="32">
        <f t="shared" si="1"/>
        <v>-4.1029134615384608</v>
      </c>
    </row>
    <row r="19" spans="1:25" s="33" customFormat="1" x14ac:dyDescent="0.25">
      <c r="A19" s="30" t="str">
        <f>IF(COUNTA(C19:D19)=0,"", MAX(A$2:A18)+1)</f>
        <v/>
      </c>
      <c r="B19" s="30"/>
      <c r="C19" s="31"/>
      <c r="D19" s="32"/>
      <c r="G19" s="33" t="str">
        <f>IF(ISNA(VLOOKUP(E19,Forex!$B$3:$C$8,2,FALSE)),"",VLOOKUP(E19,Forex!$B$3:$C$8,2,FALSE))</f>
        <v/>
      </c>
      <c r="H19" s="32" t="str">
        <f t="shared" si="0"/>
        <v/>
      </c>
      <c r="I19" s="32"/>
      <c r="J19" s="76"/>
      <c r="K19" s="78" t="str">
        <f>IF(ISNA(PctFromPrevRep),"", PctFromPrevRep)</f>
        <v/>
      </c>
      <c r="L19" s="32"/>
      <c r="M19" s="32"/>
      <c r="N19" s="32"/>
      <c r="P19" s="30">
        <f>IF(COUNTA(Q19:Q19)=0,"", MAX(P$2:P18)+1)</f>
        <v>17</v>
      </c>
      <c r="Q19" s="34" t="str">
        <f t="array" ref="Q19:W19">_xll.OpenApiSubscribeRtd("ExcelTrader_5","PositionId","185773899")</f>
        <v>68546627</v>
      </c>
      <c r="R19" s="34" t="str">
        <v>VOD:xlon</v>
      </c>
      <c r="S19" s="33">
        <v>3553</v>
      </c>
      <c r="T19" s="33">
        <v>219.4</v>
      </c>
      <c r="U19" s="33" t="str">
        <v>GBP</v>
      </c>
      <c r="V19" s="33" t="str">
        <v>Vodafone Group Plc</v>
      </c>
      <c r="W19" s="34">
        <v>42930.496038935184</v>
      </c>
      <c r="X19" s="33">
        <f>IF(ISNA(VLOOKUP(U19,Forex!$B$3:$C$8,2,FALSE)),"",VLOOKUP(U19,Forex!$B$3:$C$8,2,FALSE))</f>
        <v>78</v>
      </c>
      <c r="Y19" s="32">
        <f t="shared" si="1"/>
        <v>9.9939512820512828</v>
      </c>
    </row>
    <row r="20" spans="1:25" s="33" customFormat="1" x14ac:dyDescent="0.25">
      <c r="A20" s="30" t="str">
        <f>IF(COUNTA(C20:D20)=0,"", MAX(A$2:A19)+1)</f>
        <v/>
      </c>
      <c r="B20" s="30"/>
      <c r="C20" s="31"/>
      <c r="D20" s="32"/>
      <c r="G20" s="33" t="str">
        <f>IF(ISNA(VLOOKUP(E20,Forex!$B$3:$C$8,2,FALSE)),"",VLOOKUP(E20,Forex!$B$3:$C$8,2,FALSE))</f>
        <v/>
      </c>
      <c r="H20" s="32" t="str">
        <f t="shared" si="0"/>
        <v/>
      </c>
      <c r="I20" s="32"/>
      <c r="J20" s="76"/>
      <c r="K20" s="78" t="str">
        <f>IF(ISNA(PctFromPrevRep),"", PctFromPrevRep)</f>
        <v/>
      </c>
      <c r="L20" s="32"/>
      <c r="M20" s="32"/>
      <c r="N20" s="32"/>
      <c r="P20" s="30">
        <f>IF(COUNTA(Q20:Q20)=0,"", MAX(P$2:P19)+1)</f>
        <v>18</v>
      </c>
      <c r="Q20" s="34" t="str">
        <f t="array" ref="Q20:W20">_xll.OpenApiSubscribeRtd("ExcelTrader_5","PositionId","185773903")</f>
        <v>68546628</v>
      </c>
      <c r="R20" s="34" t="str">
        <v>VOD:xlon</v>
      </c>
      <c r="S20" s="33">
        <v>1447</v>
      </c>
      <c r="T20" s="33">
        <v>219.45</v>
      </c>
      <c r="U20" s="33" t="str">
        <v>GBP</v>
      </c>
      <c r="V20" s="33" t="str">
        <v>Vodafone Group Plc</v>
      </c>
      <c r="W20" s="34">
        <v>42930.496124745368</v>
      </c>
      <c r="X20" s="33">
        <f>IF(ISNA(VLOOKUP(U20,Forex!$B$3:$C$8,2,FALSE)),"",VLOOKUP(U20,Forex!$B$3:$C$8,2,FALSE))</f>
        <v>78</v>
      </c>
      <c r="Y20" s="32">
        <f t="shared" si="1"/>
        <v>4.0710788461538456</v>
      </c>
    </row>
    <row r="21" spans="1:25" s="33" customFormat="1" x14ac:dyDescent="0.25">
      <c r="A21" s="30" t="str">
        <f>IF(COUNTA(C21:D21)=0,"", MAX(A$2:A20)+1)</f>
        <v/>
      </c>
      <c r="B21" s="30"/>
      <c r="C21" s="31"/>
      <c r="D21" s="32"/>
      <c r="G21" s="33" t="str">
        <f>IF(ISNA(VLOOKUP(E21,Forex!$B$3:$C$8,2,FALSE)),"",VLOOKUP(E21,Forex!$B$3:$C$8,2,FALSE))</f>
        <v/>
      </c>
      <c r="H21" s="32" t="str">
        <f t="shared" si="0"/>
        <v/>
      </c>
      <c r="I21" s="32"/>
      <c r="J21" s="76"/>
      <c r="K21" s="78" t="str">
        <f>IF(ISNA(PctFromPrevRep),"", PctFromPrevRep)</f>
        <v/>
      </c>
      <c r="L21" s="32"/>
      <c r="M21" s="32"/>
      <c r="N21" s="32"/>
      <c r="P21" s="30" t="str">
        <f>IF(COUNTA(Q21:Q21)=0,"", MAX(P$2:P20)+1)</f>
        <v/>
      </c>
      <c r="Q21" s="34"/>
      <c r="R21" s="34"/>
      <c r="W21" s="34"/>
      <c r="X21" s="33" t="str">
        <f>IF(ISNA(VLOOKUP(U21,Forex!$B$3:$C$8,2,FALSE)),"",VLOOKUP(U21,Forex!$B$3:$C$8,2,FALSE))</f>
        <v/>
      </c>
      <c r="Y21" s="32" t="str">
        <f t="shared" si="1"/>
        <v/>
      </c>
    </row>
    <row r="22" spans="1:25" s="33" customFormat="1" x14ac:dyDescent="0.25">
      <c r="A22" s="30" t="str">
        <f>IF(COUNTA(C22:D22)=0,"", MAX(A$2:A21)+1)</f>
        <v/>
      </c>
      <c r="B22" s="30"/>
      <c r="C22" s="31"/>
      <c r="D22" s="32"/>
      <c r="G22" s="33" t="str">
        <f>IF(ISNA(VLOOKUP(E22,Forex!$B$3:$C$8,2,FALSE)),"",VLOOKUP(E22,Forex!$B$3:$C$8,2,FALSE))</f>
        <v/>
      </c>
      <c r="H22" s="32" t="str">
        <f t="shared" si="0"/>
        <v/>
      </c>
      <c r="I22" s="32"/>
      <c r="J22" s="77"/>
      <c r="K22" s="78" t="str">
        <f>IF(ISNA(PctFromPrevRep),"", PctFromPrevRep)</f>
        <v/>
      </c>
      <c r="L22" s="32"/>
      <c r="M22" s="32"/>
      <c r="N22" s="32"/>
      <c r="P22" s="30" t="str">
        <f>IF(COUNTA(Q22:Q22)=0,"", MAX(P$2:P21)+1)</f>
        <v/>
      </c>
      <c r="Q22" s="34"/>
      <c r="R22" s="34"/>
      <c r="W22" s="34"/>
      <c r="X22" s="33" t="str">
        <f>IF(ISNA(VLOOKUP(U22,Forex!$B$3:$C$8,2,FALSE)),"",VLOOKUP(U22,Forex!$B$3:$C$8,2,FALSE))</f>
        <v/>
      </c>
      <c r="Y22" s="32" t="str">
        <f t="shared" si="1"/>
        <v/>
      </c>
    </row>
    <row r="23" spans="1:25" s="33" customFormat="1" x14ac:dyDescent="0.25">
      <c r="A23" s="30" t="str">
        <f>IF(COUNTA(C23:D23)=0,"", MAX(A$2:A22)+1)</f>
        <v/>
      </c>
      <c r="B23" s="30"/>
      <c r="C23" s="31"/>
      <c r="D23" s="32"/>
      <c r="G23" s="33" t="str">
        <f>IF(ISNA(VLOOKUP(E23,Forex!$B$3:$C$8,2,FALSE)),"",VLOOKUP(E23,Forex!$B$3:$C$8,2,FALSE))</f>
        <v/>
      </c>
      <c r="H23" s="32" t="str">
        <f t="shared" si="0"/>
        <v/>
      </c>
      <c r="I23" s="32"/>
      <c r="J23" s="77"/>
      <c r="K23" s="78" t="str">
        <f>IF(ISNA(PctFromPrevRep),"", PctFromPrevRep)</f>
        <v/>
      </c>
      <c r="L23" s="32"/>
      <c r="M23" s="32"/>
      <c r="N23" s="32"/>
      <c r="P23" s="30" t="str">
        <f>IF(COUNTA(Q23:Q23)=0,"", MAX(P$2:P22)+1)</f>
        <v/>
      </c>
      <c r="Q23" s="34"/>
      <c r="R23" s="34"/>
      <c r="W23" s="34"/>
      <c r="X23" s="33" t="str">
        <f>IF(ISNA(VLOOKUP(U23,Forex!$B$3:$C$8,2,FALSE)),"",VLOOKUP(U23,Forex!$B$3:$C$8,2,FALSE))</f>
        <v/>
      </c>
      <c r="Y23" s="32" t="str">
        <f t="shared" si="1"/>
        <v/>
      </c>
    </row>
    <row r="24" spans="1:25" s="33" customFormat="1" x14ac:dyDescent="0.25">
      <c r="A24" s="30" t="str">
        <f>IF(COUNTA(C24:D24)=0,"", MAX(A$2:A23)+1)</f>
        <v/>
      </c>
      <c r="B24" s="30"/>
      <c r="C24" s="31"/>
      <c r="D24" s="32"/>
      <c r="G24" s="33" t="str">
        <f>IF(ISNA(VLOOKUP(E24,Forex!$B$3:$C$8,2,FALSE)),"",VLOOKUP(E24,Forex!$B$3:$C$8,2,FALSE))</f>
        <v/>
      </c>
      <c r="H24" s="32" t="str">
        <f t="shared" si="0"/>
        <v/>
      </c>
      <c r="I24" s="32"/>
      <c r="J24" s="77"/>
      <c r="K24" s="78" t="str">
        <f>IF(ISNA(PctFromPrevRep),"", PctFromPrevRep)</f>
        <v/>
      </c>
      <c r="L24" s="32"/>
      <c r="M24" s="32"/>
      <c r="N24" s="32"/>
      <c r="P24" s="30" t="str">
        <f>IF(COUNTA(Q24:Q24)=0,"", MAX(P$2:P23)+1)</f>
        <v/>
      </c>
      <c r="Q24" s="34"/>
      <c r="R24" s="34"/>
      <c r="W24" s="34"/>
      <c r="X24" s="33" t="str">
        <f>IF(ISNA(VLOOKUP(U24,Forex!$B$3:$C$8,2,FALSE)),"",VLOOKUP(U24,Forex!$B$3:$C$8,2,FALSE))</f>
        <v/>
      </c>
      <c r="Y24" s="32" t="str">
        <f t="shared" si="1"/>
        <v/>
      </c>
    </row>
    <row r="25" spans="1:25" s="33" customFormat="1" x14ac:dyDescent="0.25">
      <c r="A25" s="30" t="str">
        <f>IF(COUNTA(C25:D25)=0,"", MAX(A$2:A24)+1)</f>
        <v/>
      </c>
      <c r="B25" s="30"/>
      <c r="C25" s="31"/>
      <c r="D25" s="32"/>
      <c r="G25" s="33" t="str">
        <f>IF(ISNA(VLOOKUP(E25,Forex!$B$3:$C$8,2,FALSE)),"",VLOOKUP(E25,Forex!$B$3:$C$8,2,FALSE))</f>
        <v/>
      </c>
      <c r="H25" s="32" t="str">
        <f t="shared" si="0"/>
        <v/>
      </c>
      <c r="I25" s="32"/>
      <c r="J25" s="77"/>
      <c r="K25" s="78" t="str">
        <f>IF(ISNA(PctFromPrevRep),"", PctFromPrevRep)</f>
        <v/>
      </c>
      <c r="L25" s="32"/>
      <c r="M25" s="32"/>
      <c r="N25" s="32"/>
      <c r="P25" s="30" t="str">
        <f>IF(COUNTA(Q25:Q25)=0,"", MAX(P$2:P24)+1)</f>
        <v/>
      </c>
      <c r="Q25" s="34"/>
      <c r="R25" s="34"/>
      <c r="W25" s="34"/>
      <c r="X25" s="33" t="str">
        <f>IF(ISNA(VLOOKUP(U25,Forex!$B$3:$C$8,2,FALSE)),"",VLOOKUP(U25,Forex!$B$3:$C$8,2,FALSE))</f>
        <v/>
      </c>
      <c r="Y25" s="32" t="str">
        <f t="shared" si="1"/>
        <v/>
      </c>
    </row>
    <row r="26" spans="1:25" s="33" customFormat="1" x14ac:dyDescent="0.25">
      <c r="A26" s="30" t="str">
        <f>IF(COUNTA(C26:D26)=0,"", MAX(A$2:A25)+1)</f>
        <v/>
      </c>
      <c r="B26" s="30"/>
      <c r="C26" s="31"/>
      <c r="D26" s="32"/>
      <c r="G26" s="33" t="str">
        <f>IF(ISNA(VLOOKUP(E26,Forex!$B$3:$C$8,2,FALSE)),"",VLOOKUP(E26,Forex!$B$3:$C$8,2,FALSE))</f>
        <v/>
      </c>
      <c r="H26" s="32" t="str">
        <f t="shared" si="0"/>
        <v/>
      </c>
      <c r="I26" s="32"/>
      <c r="J26" s="77"/>
      <c r="K26" s="78" t="str">
        <f>IF(ISNA(PctFromPrevRep),"", PctFromPrevRep)</f>
        <v/>
      </c>
      <c r="L26" s="32"/>
      <c r="M26" s="32"/>
      <c r="N26" s="32"/>
      <c r="P26" s="30" t="str">
        <f>IF(COUNTA(Q26:Q26)=0,"", MAX(P$2:P25)+1)</f>
        <v/>
      </c>
      <c r="Q26" s="34"/>
      <c r="R26" s="34"/>
      <c r="W26" s="34"/>
      <c r="X26" s="33" t="str">
        <f>IF(ISNA(VLOOKUP(U26,Forex!$B$3:$C$8,2,FALSE)),"",VLOOKUP(U26,Forex!$B$3:$C$8,2,FALSE))</f>
        <v/>
      </c>
      <c r="Y26" s="32" t="str">
        <f t="shared" si="1"/>
        <v/>
      </c>
    </row>
    <row r="27" spans="1:25" s="33" customFormat="1" x14ac:dyDescent="0.25">
      <c r="A27" s="30" t="str">
        <f>IF(COUNTA(C27:D27)=0,"", MAX(A$2:A26)+1)</f>
        <v/>
      </c>
      <c r="B27" s="30"/>
      <c r="C27" s="31"/>
      <c r="D27" s="32"/>
      <c r="G27" s="33" t="str">
        <f>IF(ISNA(VLOOKUP(E27,Forex!$B$3:$C$8,2,FALSE)),"",VLOOKUP(E27,Forex!$B$3:$C$8,2,FALSE))</f>
        <v/>
      </c>
      <c r="H27" s="32" t="str">
        <f t="shared" si="0"/>
        <v/>
      </c>
      <c r="I27" s="32"/>
      <c r="J27" s="77"/>
      <c r="K27" s="78" t="str">
        <f>IF(ISNA(PctFromPrevRep),"", PctFromPrevRep)</f>
        <v/>
      </c>
      <c r="L27" s="32"/>
      <c r="M27" s="32"/>
      <c r="N27" s="32"/>
      <c r="P27" s="30" t="str">
        <f>IF(COUNTA(Q27:Q27)=0,"", MAX(P$2:P26)+1)</f>
        <v/>
      </c>
      <c r="Q27" s="34"/>
      <c r="R27" s="34"/>
      <c r="W27" s="34"/>
      <c r="X27" s="33" t="str">
        <f>IF(ISNA(VLOOKUP(U27,Forex!$B$3:$C$8,2,FALSE)),"",VLOOKUP(U27,Forex!$B$3:$C$8,2,FALSE))</f>
        <v/>
      </c>
      <c r="Y27" s="32" t="str">
        <f t="shared" si="1"/>
        <v/>
      </c>
    </row>
    <row r="28" spans="1:25" s="33" customFormat="1" x14ac:dyDescent="0.25">
      <c r="A28" s="30" t="str">
        <f>IF(COUNTA(C28:D28)=0,"", MAX(A$2:A27)+1)</f>
        <v/>
      </c>
      <c r="B28" s="30"/>
      <c r="C28" s="31"/>
      <c r="D28" s="32"/>
      <c r="G28" s="33" t="str">
        <f>IF(ISNA(VLOOKUP(E28,Forex!$B$3:$C$8,2,FALSE)),"",VLOOKUP(E28,Forex!$B$3:$C$8,2,FALSE))</f>
        <v/>
      </c>
      <c r="H28" s="32" t="str">
        <f t="shared" si="0"/>
        <v/>
      </c>
      <c r="I28" s="32"/>
      <c r="J28" s="77"/>
      <c r="K28" s="78" t="str">
        <f>IF(ISNA(PctFromPrevRep),"", PctFromPrevRep)</f>
        <v/>
      </c>
      <c r="L28" s="32"/>
      <c r="M28" s="32"/>
      <c r="N28" s="32"/>
      <c r="P28" s="30" t="str">
        <f>IF(COUNTA(Q28:Q28)=0,"", MAX(P$2:P27)+1)</f>
        <v/>
      </c>
      <c r="Q28" s="34"/>
      <c r="R28" s="34"/>
      <c r="W28" s="34"/>
      <c r="X28" s="33" t="str">
        <f>IF(ISNA(VLOOKUP(U28,Forex!$B$3:$C$8,2,FALSE)),"",VLOOKUP(U28,Forex!$B$3:$C$8,2,FALSE))</f>
        <v/>
      </c>
      <c r="Y28" s="32" t="str">
        <f t="shared" si="1"/>
        <v/>
      </c>
    </row>
    <row r="29" spans="1:25" s="33" customFormat="1" x14ac:dyDescent="0.25">
      <c r="A29" s="30" t="str">
        <f>IF(COUNTA(C29:D29)=0,"", MAX(A$2:A28)+1)</f>
        <v/>
      </c>
      <c r="B29" s="30"/>
      <c r="C29" s="31"/>
      <c r="D29" s="32"/>
      <c r="G29" s="33" t="str">
        <f>IF(ISNA(VLOOKUP(E29,Forex!$B$3:$C$8,2,FALSE)),"",VLOOKUP(E29,Forex!$B$3:$C$8,2,FALSE))</f>
        <v/>
      </c>
      <c r="H29" s="32" t="str">
        <f t="shared" si="0"/>
        <v/>
      </c>
      <c r="I29" s="32"/>
      <c r="J29" s="77"/>
      <c r="K29" s="78" t="str">
        <f>IF(ISNA(PctFromPrevRep),"", PctFromPrevRep)</f>
        <v/>
      </c>
      <c r="L29" s="32"/>
      <c r="M29" s="32"/>
      <c r="N29" s="32"/>
      <c r="P29" s="30" t="str">
        <f>IF(COUNTA(Q29:Q29)=0,"", MAX(P$2:P28)+1)</f>
        <v/>
      </c>
      <c r="Q29" s="34"/>
      <c r="R29" s="34"/>
      <c r="W29" s="34"/>
      <c r="X29" s="33" t="str">
        <f>IF(ISNA(VLOOKUP(U29,Forex!$B$3:$C$8,2,FALSE)),"",VLOOKUP(U29,Forex!$B$3:$C$8,2,FALSE))</f>
        <v/>
      </c>
      <c r="Y29" s="32" t="str">
        <f t="shared" si="1"/>
        <v/>
      </c>
    </row>
    <row r="30" spans="1:25" s="33" customFormat="1" x14ac:dyDescent="0.25">
      <c r="A30" s="30" t="str">
        <f>IF(COUNTA(C30:D30)=0,"", MAX(A$2:A29)+1)</f>
        <v/>
      </c>
      <c r="B30" s="30"/>
      <c r="C30" s="31"/>
      <c r="D30" s="32"/>
      <c r="G30" s="33" t="str">
        <f>IF(ISNA(VLOOKUP(E30,Forex!$B$3:$C$8,2,FALSE)),"",VLOOKUP(E30,Forex!$B$3:$C$8,2,FALSE))</f>
        <v/>
      </c>
      <c r="H30" s="32" t="str">
        <f t="shared" si="0"/>
        <v/>
      </c>
      <c r="I30" s="32"/>
      <c r="J30" s="77"/>
      <c r="K30" s="78" t="str">
        <f>IF(ISNA(PctFromPrevRep),"", PctFromPrevRep)</f>
        <v/>
      </c>
      <c r="L30" s="32"/>
      <c r="M30" s="32"/>
      <c r="N30" s="32"/>
      <c r="P30" s="30" t="str">
        <f>IF(COUNTA(Q30:Q30)=0,"", MAX(P$2:P29)+1)</f>
        <v/>
      </c>
      <c r="Q30" s="34"/>
      <c r="R30" s="34"/>
      <c r="W30" s="34"/>
      <c r="X30" s="33" t="str">
        <f>IF(ISNA(VLOOKUP(U30,Forex!$B$3:$C$8,2,FALSE)),"",VLOOKUP(U30,Forex!$B$3:$C$8,2,FALSE))</f>
        <v/>
      </c>
      <c r="Y30" s="32" t="str">
        <f t="shared" si="1"/>
        <v/>
      </c>
    </row>
    <row r="31" spans="1:25" s="33" customFormat="1" x14ac:dyDescent="0.25">
      <c r="A31" s="30" t="str">
        <f>IF(COUNTA(C31:D31)=0,"", MAX(A$2:A30)+1)</f>
        <v/>
      </c>
      <c r="B31" s="30"/>
      <c r="C31" s="31"/>
      <c r="D31" s="32"/>
      <c r="G31" s="33" t="str">
        <f>IF(ISNA(VLOOKUP(E31,Forex!$B$3:$C$8,2,FALSE)),"",VLOOKUP(E31,Forex!$B$3:$C$8,2,FALSE))</f>
        <v/>
      </c>
      <c r="H31" s="32" t="str">
        <f t="shared" si="0"/>
        <v/>
      </c>
      <c r="I31" s="32"/>
      <c r="J31" s="77"/>
      <c r="K31" s="78" t="str">
        <f>IF(ISNA(PctFromPrevRep),"", PctFromPrevRep)</f>
        <v/>
      </c>
      <c r="L31" s="32"/>
      <c r="M31" s="32"/>
      <c r="N31" s="32"/>
      <c r="P31" s="30" t="str">
        <f>IF(COUNTA(Q31:Q31)=0,"", MAX(P$2:P30)+1)</f>
        <v/>
      </c>
      <c r="Q31" s="34"/>
      <c r="R31" s="34"/>
      <c r="W31" s="34"/>
      <c r="X31" s="33" t="str">
        <f>IF(ISNA(VLOOKUP(U31,Forex!$B$3:$C$8,2,FALSE)),"",VLOOKUP(U31,Forex!$B$3:$C$8,2,FALSE))</f>
        <v/>
      </c>
      <c r="Y31" s="32" t="str">
        <f t="shared" si="1"/>
        <v/>
      </c>
    </row>
    <row r="32" spans="1:25" s="33" customFormat="1" x14ac:dyDescent="0.25">
      <c r="A32" s="30" t="str">
        <f>IF(COUNTA(C32:D32)=0,"", MAX(A$2:A31)+1)</f>
        <v/>
      </c>
      <c r="B32" s="30"/>
      <c r="C32" s="31"/>
      <c r="D32" s="32"/>
      <c r="G32" s="33" t="str">
        <f>IF(ISNA(VLOOKUP(E32,Forex!$B$3:$C$8,2,FALSE)),"",VLOOKUP(E32,Forex!$B$3:$C$8,2,FALSE))</f>
        <v/>
      </c>
      <c r="H32" s="32" t="str">
        <f t="shared" si="0"/>
        <v/>
      </c>
      <c r="I32" s="32"/>
      <c r="J32" s="77"/>
      <c r="K32" s="78" t="str">
        <f>IF(ISNA(PctFromPrevRep),"", PctFromPrevRep)</f>
        <v/>
      </c>
      <c r="L32" s="32"/>
      <c r="M32" s="32"/>
      <c r="N32" s="32"/>
      <c r="P32" s="30" t="str">
        <f>IF(COUNTA(Q32:Q32)=0,"", MAX(P$2:P31)+1)</f>
        <v/>
      </c>
      <c r="Q32" s="34"/>
      <c r="R32" s="34"/>
      <c r="W32" s="34"/>
      <c r="X32" s="33" t="str">
        <f>IF(ISNA(VLOOKUP(U32,Forex!$B$3:$C$8,2,FALSE)),"",VLOOKUP(U32,Forex!$B$3:$C$8,2,FALSE))</f>
        <v/>
      </c>
      <c r="Y32" s="32" t="str">
        <f t="shared" si="1"/>
        <v/>
      </c>
    </row>
    <row r="33" spans="1:25" s="33" customFormat="1" x14ac:dyDescent="0.25">
      <c r="A33" s="30" t="str">
        <f>IF(COUNTA(C33:D33)=0,"", MAX(A$2:A32)+1)</f>
        <v/>
      </c>
      <c r="B33" s="30"/>
      <c r="C33" s="31"/>
      <c r="D33" s="32"/>
      <c r="G33" s="33" t="str">
        <f>IF(ISNA(VLOOKUP(E33,Forex!$B$3:$C$8,2,FALSE)),"",VLOOKUP(E33,Forex!$B$3:$C$8,2,FALSE))</f>
        <v/>
      </c>
      <c r="H33" s="32" t="str">
        <f t="shared" si="0"/>
        <v/>
      </c>
      <c r="I33" s="32"/>
      <c r="J33" s="77"/>
      <c r="K33" s="78" t="str">
        <f>IF(ISNA(PctFromPrevRep),"", PctFromPrevRep)</f>
        <v/>
      </c>
      <c r="L33" s="32"/>
      <c r="M33" s="32"/>
      <c r="N33" s="32"/>
      <c r="P33" s="30" t="str">
        <f>IF(COUNTA(Q33:Q33)=0,"", MAX(P$2:P32)+1)</f>
        <v/>
      </c>
      <c r="Q33" s="34"/>
      <c r="R33" s="34"/>
      <c r="W33" s="34"/>
      <c r="X33" s="33" t="str">
        <f>IF(ISNA(VLOOKUP(U33,Forex!$B$3:$C$8,2,FALSE)),"",VLOOKUP(U33,Forex!$B$3:$C$8,2,FALSE))</f>
        <v/>
      </c>
      <c r="Y33" s="32" t="str">
        <f t="shared" si="1"/>
        <v/>
      </c>
    </row>
    <row r="34" spans="1:25" s="33" customFormat="1" x14ac:dyDescent="0.25">
      <c r="A34" s="30" t="str">
        <f>IF(COUNTA(C34:D34)=0,"", MAX(A$2:A33)+1)</f>
        <v/>
      </c>
      <c r="B34" s="30"/>
      <c r="C34" s="31"/>
      <c r="D34" s="32"/>
      <c r="G34" s="33" t="str">
        <f>IF(ISNA(VLOOKUP(E34,Forex!$B$3:$C$8,2,FALSE)),"",VLOOKUP(E34,Forex!$B$3:$C$8,2,FALSE))</f>
        <v/>
      </c>
      <c r="H34" s="32" t="str">
        <f t="shared" si="0"/>
        <v/>
      </c>
      <c r="I34" s="32"/>
      <c r="J34" s="77"/>
      <c r="K34" s="78" t="str">
        <f>IF(ISNA(PctFromPrevRep),"", PctFromPrevRep)</f>
        <v/>
      </c>
      <c r="L34" s="32"/>
      <c r="M34" s="32"/>
      <c r="N34" s="32"/>
      <c r="P34" s="30" t="str">
        <f>IF(COUNTA(Q34:Q34)=0,"", MAX(P$2:P33)+1)</f>
        <v/>
      </c>
      <c r="Q34" s="34"/>
      <c r="R34" s="34"/>
      <c r="W34" s="34"/>
      <c r="X34" s="33" t="str">
        <f>IF(ISNA(VLOOKUP(U34,Forex!$B$3:$C$8,2,FALSE)),"",VLOOKUP(U34,Forex!$B$3:$C$8,2,FALSE))</f>
        <v/>
      </c>
      <c r="Y34" s="32" t="str">
        <f t="shared" si="1"/>
        <v/>
      </c>
    </row>
    <row r="35" spans="1:25" s="33" customFormat="1" x14ac:dyDescent="0.25">
      <c r="A35" s="30" t="str">
        <f>IF(COUNTA(C35:D35)=0,"", MAX(A$2:A34)+1)</f>
        <v/>
      </c>
      <c r="B35" s="30"/>
      <c r="C35" s="31"/>
      <c r="D35" s="32"/>
      <c r="G35" s="33" t="str">
        <f>IF(ISNA(VLOOKUP(E35,Forex!$B$3:$C$8,2,FALSE)),"",VLOOKUP(E35,Forex!$B$3:$C$8,2,FALSE))</f>
        <v/>
      </c>
      <c r="H35" s="32" t="str">
        <f t="shared" si="0"/>
        <v/>
      </c>
      <c r="I35" s="32"/>
      <c r="J35" s="77"/>
      <c r="K35" s="78" t="str">
        <f>IF(ISNA(PctFromPrevRep),"", PctFromPrevRep)</f>
        <v/>
      </c>
      <c r="L35" s="32"/>
      <c r="M35" s="32"/>
      <c r="N35" s="32"/>
      <c r="P35" s="30" t="str">
        <f>IF(COUNTA(Q35:Q35)=0,"", MAX(P$2:P34)+1)</f>
        <v/>
      </c>
      <c r="Q35" s="34"/>
      <c r="R35" s="34"/>
      <c r="W35" s="34"/>
      <c r="X35" s="33" t="str">
        <f>IF(ISNA(VLOOKUP(U35,Forex!$B$3:$C$8,2,FALSE)),"",VLOOKUP(U35,Forex!$B$3:$C$8,2,FALSE))</f>
        <v/>
      </c>
      <c r="Y35" s="32" t="str">
        <f t="shared" si="1"/>
        <v/>
      </c>
    </row>
    <row r="36" spans="1:25" s="33" customFormat="1" x14ac:dyDescent="0.25">
      <c r="A36" s="30" t="str">
        <f>IF(COUNTA(C36:D36)=0,"", MAX(A$2:A35)+1)</f>
        <v/>
      </c>
      <c r="B36" s="30"/>
      <c r="C36" s="31"/>
      <c r="D36" s="32"/>
      <c r="G36" s="33" t="str">
        <f>IF(ISNA(VLOOKUP(E36,Forex!$B$3:$C$8,2,FALSE)),"",VLOOKUP(E36,Forex!$B$3:$C$8,2,FALSE))</f>
        <v/>
      </c>
      <c r="H36" s="32" t="str">
        <f t="shared" si="0"/>
        <v/>
      </c>
      <c r="I36" s="32"/>
      <c r="J36" s="77"/>
      <c r="K36" s="78" t="str">
        <f>IF(ISNA(PctFromPrevRep),"", PctFromPrevRep)</f>
        <v/>
      </c>
      <c r="L36" s="32"/>
      <c r="M36" s="32"/>
      <c r="N36" s="32"/>
      <c r="P36" s="30" t="str">
        <f>IF(COUNTA(Q36:Q36)=0,"", MAX(P$2:P35)+1)</f>
        <v/>
      </c>
      <c r="Q36" s="34"/>
      <c r="R36" s="34"/>
      <c r="W36" s="34"/>
      <c r="X36" s="33" t="str">
        <f>IF(ISNA(VLOOKUP(U36,Forex!$B$3:$C$8,2,FALSE)),"",VLOOKUP(U36,Forex!$B$3:$C$8,2,FALSE))</f>
        <v/>
      </c>
      <c r="Y36" s="32" t="str">
        <f t="shared" si="1"/>
        <v/>
      </c>
    </row>
    <row r="37" spans="1:25" s="33" customFormat="1" x14ac:dyDescent="0.25">
      <c r="A37" s="30" t="str">
        <f>IF(COUNTA(C37:D37)=0,"", MAX(A$2:A36)+1)</f>
        <v/>
      </c>
      <c r="B37" s="30"/>
      <c r="C37" s="31"/>
      <c r="D37" s="32"/>
      <c r="G37" s="33" t="str">
        <f>IF(ISNA(VLOOKUP(E37,Forex!$B$3:$C$8,2,FALSE)),"",VLOOKUP(E37,Forex!$B$3:$C$8,2,FALSE))</f>
        <v/>
      </c>
      <c r="H37" s="32" t="str">
        <f t="shared" si="0"/>
        <v/>
      </c>
      <c r="I37" s="32"/>
      <c r="J37" s="77"/>
      <c r="K37" s="78" t="str">
        <f>IF(ISNA(PctFromPrevRep),"", PctFromPrevRep)</f>
        <v/>
      </c>
      <c r="L37" s="32"/>
      <c r="M37" s="32"/>
      <c r="N37" s="32"/>
      <c r="P37" s="30" t="str">
        <f>IF(COUNTA(Q37:Q37)=0,"", MAX(P$2:P36)+1)</f>
        <v/>
      </c>
      <c r="Q37" s="34"/>
      <c r="R37" s="34"/>
      <c r="W37" s="34"/>
      <c r="X37" s="33" t="str">
        <f>IF(ISNA(VLOOKUP(U37,Forex!$B$3:$C$8,2,FALSE)),"",VLOOKUP(U37,Forex!$B$3:$C$8,2,FALSE))</f>
        <v/>
      </c>
      <c r="Y37" s="32" t="str">
        <f t="shared" si="1"/>
        <v/>
      </c>
    </row>
    <row r="38" spans="1:25" s="33" customFormat="1" x14ac:dyDescent="0.25">
      <c r="A38" s="30" t="str">
        <f>IF(COUNTA(C38:D38)=0,"", MAX(A$2:A37)+1)</f>
        <v/>
      </c>
      <c r="B38" s="30"/>
      <c r="C38" s="31"/>
      <c r="D38" s="32"/>
      <c r="G38" s="33" t="str">
        <f>IF(ISNA(VLOOKUP(E38,Forex!$B$3:$C$8,2,FALSE)),"",VLOOKUP(E38,Forex!$B$3:$C$8,2,FALSE))</f>
        <v/>
      </c>
      <c r="H38" s="32" t="str">
        <f t="shared" si="0"/>
        <v/>
      </c>
      <c r="I38" s="32"/>
      <c r="J38" s="77"/>
      <c r="K38" s="78" t="str">
        <f>IF(ISNA(PctFromPrevRep),"", PctFromPrevRep)</f>
        <v/>
      </c>
      <c r="L38" s="32"/>
      <c r="M38" s="32"/>
      <c r="N38" s="32"/>
      <c r="P38" s="30" t="str">
        <f>IF(COUNTA(Q38:Q38)=0,"", MAX(P$2:P37)+1)</f>
        <v/>
      </c>
      <c r="Q38" s="34"/>
      <c r="R38" s="34"/>
      <c r="W38" s="34"/>
      <c r="X38" s="33" t="str">
        <f>IF(ISNA(VLOOKUP(U38,Forex!$B$3:$C$8,2,FALSE)),"",VLOOKUP(U38,Forex!$B$3:$C$8,2,FALSE))</f>
        <v/>
      </c>
      <c r="Y38" s="32" t="str">
        <f t="shared" si="1"/>
        <v/>
      </c>
    </row>
    <row r="39" spans="1:25" s="33" customFormat="1" x14ac:dyDescent="0.25">
      <c r="A39" s="30" t="str">
        <f>IF(COUNTA(C39:D39)=0,"", MAX(A$2:A38)+1)</f>
        <v/>
      </c>
      <c r="B39" s="30"/>
      <c r="C39" s="31"/>
      <c r="D39" s="32"/>
      <c r="G39" s="33" t="str">
        <f>IF(ISNA(VLOOKUP(E39,Forex!$B$3:$C$8,2,FALSE)),"",VLOOKUP(E39,Forex!$B$3:$C$8,2,FALSE))</f>
        <v/>
      </c>
      <c r="H39" s="32" t="str">
        <f t="shared" si="0"/>
        <v/>
      </c>
      <c r="I39" s="32"/>
      <c r="J39" s="77"/>
      <c r="K39" s="78" t="str">
        <f>IF(ISNA(PctFromPrevRep),"", PctFromPrevRep)</f>
        <v/>
      </c>
      <c r="L39" s="32"/>
      <c r="M39" s="32"/>
      <c r="N39" s="32"/>
      <c r="P39" s="30" t="str">
        <f>IF(COUNTA(Q39:Q39)=0,"", MAX(P$2:P38)+1)</f>
        <v/>
      </c>
      <c r="Q39" s="34"/>
      <c r="R39" s="34"/>
      <c r="W39" s="34"/>
      <c r="X39" s="33" t="str">
        <f>IF(ISNA(VLOOKUP(U39,Forex!$B$3:$C$8,2,FALSE)),"",VLOOKUP(U39,Forex!$B$3:$C$8,2,FALSE))</f>
        <v/>
      </c>
      <c r="Y39" s="32" t="str">
        <f t="shared" si="1"/>
        <v/>
      </c>
    </row>
    <row r="40" spans="1:25" s="33" customFormat="1" x14ac:dyDescent="0.25">
      <c r="A40" s="30" t="str">
        <f>IF(COUNTA(C40:D40)=0,"", MAX(A$2:A39)+1)</f>
        <v/>
      </c>
      <c r="B40" s="30"/>
      <c r="C40" s="31"/>
      <c r="D40" s="32"/>
      <c r="G40" s="33" t="str">
        <f>IF(ISNA(VLOOKUP(E40,Forex!$B$3:$C$8,2,FALSE)),"",VLOOKUP(E40,Forex!$B$3:$C$8,2,FALSE))</f>
        <v/>
      </c>
      <c r="H40" s="32" t="str">
        <f t="shared" si="0"/>
        <v/>
      </c>
      <c r="I40" s="32"/>
      <c r="J40" s="77"/>
      <c r="K40" s="78" t="str">
        <f>IF(ISNA(PctFromPrevRep),"", PctFromPrevRep)</f>
        <v/>
      </c>
      <c r="L40" s="32"/>
      <c r="M40" s="32"/>
      <c r="N40" s="32"/>
      <c r="P40" s="30" t="str">
        <f>IF(COUNTA(Q40:Q40)=0,"", MAX(P$2:P39)+1)</f>
        <v/>
      </c>
      <c r="Q40" s="34"/>
      <c r="R40" s="34"/>
      <c r="W40" s="34"/>
      <c r="X40" s="33" t="str">
        <f>IF(ISNA(VLOOKUP(U40,Forex!$B$3:$C$8,2,FALSE)),"",VLOOKUP(U40,Forex!$B$3:$C$8,2,FALSE))</f>
        <v/>
      </c>
      <c r="Y40" s="32" t="str">
        <f t="shared" si="1"/>
        <v/>
      </c>
    </row>
    <row r="41" spans="1:25" s="33" customFormat="1" x14ac:dyDescent="0.25">
      <c r="A41" s="30" t="str">
        <f>IF(COUNTA(C41:D41)=0,"", MAX(A$2:A40)+1)</f>
        <v/>
      </c>
      <c r="B41" s="30"/>
      <c r="C41" s="31"/>
      <c r="D41" s="32"/>
      <c r="G41" s="33" t="str">
        <f>IF(ISNA(VLOOKUP(E41,Forex!$B$3:$C$8,2,FALSE)),"",VLOOKUP(E41,Forex!$B$3:$C$8,2,FALSE))</f>
        <v/>
      </c>
      <c r="H41" s="32" t="str">
        <f t="shared" si="0"/>
        <v/>
      </c>
      <c r="I41" s="32"/>
      <c r="J41" s="77"/>
      <c r="K41" s="78" t="str">
        <f>IF(ISNA(PctFromPrevRep),"", PctFromPrevRep)</f>
        <v/>
      </c>
      <c r="L41" s="32"/>
      <c r="M41" s="32"/>
      <c r="N41" s="32"/>
      <c r="P41" s="30" t="str">
        <f>IF(COUNTA(Q41:Q41)=0,"", MAX(P$2:P40)+1)</f>
        <v/>
      </c>
      <c r="Q41" s="34"/>
      <c r="R41" s="34"/>
      <c r="W41" s="34"/>
      <c r="X41" s="33" t="str">
        <f>IF(ISNA(VLOOKUP(U41,Forex!$B$3:$C$8,2,FALSE)),"",VLOOKUP(U41,Forex!$B$3:$C$8,2,FALSE))</f>
        <v/>
      </c>
      <c r="Y41" s="32" t="str">
        <f t="shared" si="1"/>
        <v/>
      </c>
    </row>
    <row r="42" spans="1:25" s="33" customFormat="1" x14ac:dyDescent="0.25">
      <c r="A42" s="30" t="str">
        <f>IF(COUNTA(C42:D42)=0,"", MAX(A$2:A41)+1)</f>
        <v/>
      </c>
      <c r="B42" s="30"/>
      <c r="C42" s="31"/>
      <c r="D42" s="32"/>
      <c r="G42" s="33" t="str">
        <f>IF(ISNA(VLOOKUP(E42,Forex!$B$3:$C$8,2,FALSE)),"",VLOOKUP(E42,Forex!$B$3:$C$8,2,FALSE))</f>
        <v/>
      </c>
      <c r="H42" s="32" t="str">
        <f t="shared" si="0"/>
        <v/>
      </c>
      <c r="I42" s="32"/>
      <c r="J42" s="77"/>
      <c r="K42" s="78" t="str">
        <f>IF(ISNA(PctFromPrevRep),"", PctFromPrevRep)</f>
        <v/>
      </c>
      <c r="L42" s="32"/>
      <c r="M42" s="32"/>
      <c r="N42" s="32"/>
      <c r="P42" s="30" t="str">
        <f>IF(COUNTA(Q42:Q42)=0,"", MAX(P$2:P41)+1)</f>
        <v/>
      </c>
      <c r="Q42" s="34"/>
      <c r="R42" s="34"/>
      <c r="W42" s="34"/>
      <c r="X42" s="33" t="str">
        <f>IF(ISNA(VLOOKUP(U42,Forex!$B$3:$C$8,2,FALSE)),"",VLOOKUP(U42,Forex!$B$3:$C$8,2,FALSE))</f>
        <v/>
      </c>
      <c r="Y42" s="32" t="str">
        <f t="shared" si="1"/>
        <v/>
      </c>
    </row>
    <row r="43" spans="1:25" s="33" customFormat="1" x14ac:dyDescent="0.25">
      <c r="A43" s="30" t="str">
        <f>IF(COUNTA(C43:D43)=0,"", MAX(A$2:A42)+1)</f>
        <v/>
      </c>
      <c r="B43" s="30"/>
      <c r="C43" s="31"/>
      <c r="D43" s="32"/>
      <c r="G43" s="33" t="str">
        <f>IF(ISNA(VLOOKUP(E43,Forex!$B$3:$C$8,2,FALSE)),"",VLOOKUP(E43,Forex!$B$3:$C$8,2,FALSE))</f>
        <v/>
      </c>
      <c r="H43" s="32" t="str">
        <f t="shared" si="0"/>
        <v/>
      </c>
      <c r="I43" s="32"/>
      <c r="J43" s="77"/>
      <c r="K43" s="78" t="str">
        <f>IF(ISNA(PctFromPrevRep),"", PctFromPrevRep)</f>
        <v/>
      </c>
      <c r="L43" s="32"/>
      <c r="M43" s="32"/>
      <c r="N43" s="32"/>
      <c r="P43" s="30" t="str">
        <f>IF(COUNTA(Q43:Q43)=0,"", MAX(P$2:P42)+1)</f>
        <v/>
      </c>
      <c r="Q43" s="34"/>
      <c r="R43" s="34"/>
      <c r="W43" s="34"/>
      <c r="X43" s="33" t="str">
        <f>IF(ISNA(VLOOKUP(U43,Forex!$B$3:$C$8,2,FALSE)),"",VLOOKUP(U43,Forex!$B$3:$C$8,2,FALSE))</f>
        <v/>
      </c>
      <c r="Y43" s="32" t="str">
        <f t="shared" si="1"/>
        <v/>
      </c>
    </row>
    <row r="44" spans="1:25" s="33" customFormat="1" x14ac:dyDescent="0.25">
      <c r="A44" s="30" t="str">
        <f>IF(COUNTA(C44:D44)=0,"", MAX(A$2:A43)+1)</f>
        <v/>
      </c>
      <c r="B44" s="30"/>
      <c r="C44" s="31"/>
      <c r="D44" s="32"/>
      <c r="G44" s="33" t="str">
        <f>IF(ISNA(VLOOKUP(E44,Forex!$B$3:$C$8,2,FALSE)),"",VLOOKUP(E44,Forex!$B$3:$C$8,2,FALSE))</f>
        <v/>
      </c>
      <c r="H44" s="32" t="str">
        <f t="shared" si="0"/>
        <v/>
      </c>
      <c r="I44" s="32"/>
      <c r="J44" s="77"/>
      <c r="K44" s="78" t="str">
        <f>IF(ISNA(PctFromPrevRep),"", PctFromPrevRep)</f>
        <v/>
      </c>
      <c r="L44" s="32"/>
      <c r="M44" s="32"/>
      <c r="N44" s="32"/>
      <c r="P44" s="30" t="str">
        <f>IF(COUNTA(Q44:Q44)=0,"", MAX(P$2:P43)+1)</f>
        <v/>
      </c>
      <c r="Q44" s="34"/>
      <c r="R44" s="34"/>
      <c r="W44" s="34"/>
      <c r="X44" s="33" t="str">
        <f>IF(ISNA(VLOOKUP(U44,Forex!$B$3:$C$8,2,FALSE)),"",VLOOKUP(U44,Forex!$B$3:$C$8,2,FALSE))</f>
        <v/>
      </c>
      <c r="Y44" s="32" t="str">
        <f t="shared" si="1"/>
        <v/>
      </c>
    </row>
    <row r="45" spans="1:25" s="33" customFormat="1" x14ac:dyDescent="0.25">
      <c r="A45" s="30" t="str">
        <f>IF(COUNTA(C45:D45)=0,"", MAX(A$2:A44)+1)</f>
        <v/>
      </c>
      <c r="B45" s="30"/>
      <c r="C45" s="31"/>
      <c r="D45" s="32"/>
      <c r="G45" s="33" t="str">
        <f>IF(ISNA(VLOOKUP(E45,Forex!$B$3:$C$8,2,FALSE)),"",VLOOKUP(E45,Forex!$B$3:$C$8,2,FALSE))</f>
        <v/>
      </c>
      <c r="H45" s="32" t="str">
        <f t="shared" si="0"/>
        <v/>
      </c>
      <c r="I45" s="32"/>
      <c r="J45" s="77"/>
      <c r="K45" s="78" t="str">
        <f>IF(ISNA(PctFromPrevRep),"", PctFromPrevRep)</f>
        <v/>
      </c>
      <c r="L45" s="32"/>
      <c r="M45" s="32"/>
      <c r="N45" s="32"/>
      <c r="P45" s="30" t="str">
        <f>IF(COUNTA(Q45:Q45)=0,"", MAX(P$2:P44)+1)</f>
        <v/>
      </c>
      <c r="Q45" s="34"/>
      <c r="R45" s="34"/>
      <c r="W45" s="34"/>
      <c r="X45" s="33" t="str">
        <f>IF(ISNA(VLOOKUP(U45,Forex!$B$3:$C$8,2,FALSE)),"",VLOOKUP(U45,Forex!$B$3:$C$8,2,FALSE))</f>
        <v/>
      </c>
      <c r="Y45" s="32" t="str">
        <f t="shared" si="1"/>
        <v/>
      </c>
    </row>
    <row r="46" spans="1:25" s="33" customFormat="1" x14ac:dyDescent="0.25">
      <c r="A46" s="30" t="str">
        <f>IF(COUNTA(C46:D46)=0,"", MAX(A$2:A45)+1)</f>
        <v/>
      </c>
      <c r="B46" s="30"/>
      <c r="C46" s="31"/>
      <c r="D46" s="32"/>
      <c r="G46" s="33" t="str">
        <f>IF(ISNA(VLOOKUP(E46,Forex!$B$3:$C$8,2,FALSE)),"",VLOOKUP(E46,Forex!$B$3:$C$8,2,FALSE))</f>
        <v/>
      </c>
      <c r="H46" s="32" t="str">
        <f t="shared" si="0"/>
        <v/>
      </c>
      <c r="I46" s="32"/>
      <c r="J46" s="77"/>
      <c r="K46" s="78" t="str">
        <f>IF(ISNA(PctFromPrevRep),"", PctFromPrevRep)</f>
        <v/>
      </c>
      <c r="L46" s="32"/>
      <c r="M46" s="32"/>
      <c r="N46" s="32"/>
      <c r="P46" s="30" t="str">
        <f>IF(COUNTA(Q46:Q46)=0,"", MAX(P$2:P45)+1)</f>
        <v/>
      </c>
      <c r="Q46" s="34"/>
      <c r="R46" s="34"/>
      <c r="W46" s="34"/>
      <c r="X46" s="33" t="str">
        <f>IF(ISNA(VLOOKUP(U46,Forex!$B$3:$C$8,2,FALSE)),"",VLOOKUP(U46,Forex!$B$3:$C$8,2,FALSE))</f>
        <v/>
      </c>
      <c r="Y46" s="32" t="str">
        <f t="shared" si="1"/>
        <v/>
      </c>
    </row>
    <row r="47" spans="1:25" s="33" customFormat="1" x14ac:dyDescent="0.25">
      <c r="A47" s="30" t="str">
        <f>IF(COUNTA(C47:D47)=0,"", MAX(A$2:A46)+1)</f>
        <v/>
      </c>
      <c r="B47" s="30"/>
      <c r="C47" s="31"/>
      <c r="D47" s="32"/>
      <c r="G47" s="33" t="str">
        <f>IF(ISNA(VLOOKUP(E47,Forex!$B$3:$C$8,2,FALSE)),"",VLOOKUP(E47,Forex!$B$3:$C$8,2,FALSE))</f>
        <v/>
      </c>
      <c r="H47" s="32" t="str">
        <f t="shared" si="0"/>
        <v/>
      </c>
      <c r="I47" s="32"/>
      <c r="J47" s="77"/>
      <c r="K47" s="78" t="str">
        <f>IF(ISNA(PctFromPrevRep),"", PctFromPrevRep)</f>
        <v/>
      </c>
      <c r="L47" s="32"/>
      <c r="M47" s="32"/>
      <c r="N47" s="32"/>
      <c r="P47" s="30" t="str">
        <f>IF(COUNTA(Q47:Q47)=0,"", MAX(P$2:P46)+1)</f>
        <v/>
      </c>
      <c r="Q47" s="34"/>
      <c r="R47" s="34"/>
      <c r="W47" s="34"/>
      <c r="X47" s="33" t="str">
        <f>IF(ISNA(VLOOKUP(U47,Forex!$B$3:$C$8,2,FALSE)),"",VLOOKUP(U47,Forex!$B$3:$C$8,2,FALSE))</f>
        <v/>
      </c>
      <c r="Y47" s="32" t="str">
        <f t="shared" si="1"/>
        <v/>
      </c>
    </row>
    <row r="48" spans="1:25" s="33" customFormat="1" x14ac:dyDescent="0.25">
      <c r="A48" s="30" t="str">
        <f>IF(COUNTA(C48:D48)=0,"", MAX(A$2:A47)+1)</f>
        <v/>
      </c>
      <c r="B48" s="30"/>
      <c r="C48" s="31"/>
      <c r="D48" s="32"/>
      <c r="G48" s="33" t="str">
        <f>IF(ISNA(VLOOKUP(E48,Forex!$B$3:$C$8,2,FALSE)),"",VLOOKUP(E48,Forex!$B$3:$C$8,2,FALSE))</f>
        <v/>
      </c>
      <c r="H48" s="32" t="str">
        <f t="shared" si="0"/>
        <v/>
      </c>
      <c r="I48" s="32"/>
      <c r="J48" s="77"/>
      <c r="K48" s="78" t="str">
        <f>IF(ISNA(PctFromPrevRep),"", PctFromPrevRep)</f>
        <v/>
      </c>
      <c r="L48" s="32"/>
      <c r="M48" s="32"/>
      <c r="N48" s="32"/>
      <c r="P48" s="30" t="str">
        <f>IF(COUNTA(Q48:Q48)=0,"", MAX(P$2:P47)+1)</f>
        <v/>
      </c>
      <c r="Q48" s="34"/>
      <c r="R48" s="34"/>
      <c r="W48" s="34"/>
      <c r="X48" s="33" t="str">
        <f>IF(ISNA(VLOOKUP(U48,Forex!$B$3:$C$8,2,FALSE)),"",VLOOKUP(U48,Forex!$B$3:$C$8,2,FALSE))</f>
        <v/>
      </c>
      <c r="Y48" s="32" t="str">
        <f t="shared" si="1"/>
        <v/>
      </c>
    </row>
    <row r="49" spans="1:25" s="33" customFormat="1" x14ac:dyDescent="0.25">
      <c r="A49" s="30" t="str">
        <f>IF(COUNTA(C49:D49)=0,"", MAX(A$2:A48)+1)</f>
        <v/>
      </c>
      <c r="B49" s="30"/>
      <c r="C49" s="31"/>
      <c r="D49" s="32"/>
      <c r="G49" s="33" t="str">
        <f>IF(ISNA(VLOOKUP(E49,Forex!$B$3:$C$8,2,FALSE)),"",VLOOKUP(E49,Forex!$B$3:$C$8,2,FALSE))</f>
        <v/>
      </c>
      <c r="H49" s="32" t="str">
        <f t="shared" si="0"/>
        <v/>
      </c>
      <c r="I49" s="32"/>
      <c r="J49" s="77"/>
      <c r="K49" s="78" t="str">
        <f>IF(ISNA(PctFromPrevRep),"", PctFromPrevRep)</f>
        <v/>
      </c>
      <c r="L49" s="32"/>
      <c r="M49" s="32"/>
      <c r="N49" s="32"/>
      <c r="P49" s="30" t="str">
        <f>IF(COUNTA(Q49:Q49)=0,"", MAX(P$2:P48)+1)</f>
        <v/>
      </c>
      <c r="Q49" s="34"/>
      <c r="R49" s="34"/>
      <c r="W49" s="34"/>
      <c r="X49" s="33" t="str">
        <f>IF(ISNA(VLOOKUP(U49,Forex!$B$3:$C$8,2,FALSE)),"",VLOOKUP(U49,Forex!$B$3:$C$8,2,FALSE))</f>
        <v/>
      </c>
      <c r="Y49" s="32" t="str">
        <f t="shared" si="1"/>
        <v/>
      </c>
    </row>
    <row r="50" spans="1:25" s="33" customFormat="1" x14ac:dyDescent="0.25">
      <c r="A50" s="30" t="str">
        <f>IF(COUNTA(C50:D50)=0,"", MAX(A$2:A49)+1)</f>
        <v/>
      </c>
      <c r="B50" s="30"/>
      <c r="C50" s="31"/>
      <c r="D50" s="32"/>
      <c r="G50" s="33" t="str">
        <f>IF(ISNA(VLOOKUP(E50,Forex!$B$3:$C$8,2,FALSE)),"",VLOOKUP(E50,Forex!$B$3:$C$8,2,FALSE))</f>
        <v/>
      </c>
      <c r="H50" s="32" t="str">
        <f t="shared" si="0"/>
        <v/>
      </c>
      <c r="I50" s="32"/>
      <c r="J50" s="77"/>
      <c r="K50" s="78" t="str">
        <f>IF(ISNA(PctFromPrevRep),"", PctFromPrevRep)</f>
        <v/>
      </c>
      <c r="L50" s="32"/>
      <c r="M50" s="32"/>
      <c r="N50" s="32"/>
      <c r="P50" s="30" t="str">
        <f>IF(COUNTA(Q50:Q50)=0,"", MAX(P$2:P49)+1)</f>
        <v/>
      </c>
      <c r="Q50" s="34"/>
      <c r="R50" s="34"/>
      <c r="W50" s="34"/>
      <c r="X50" s="33" t="str">
        <f>IF(ISNA(VLOOKUP(U50,Forex!$B$3:$C$8,2,FALSE)),"",VLOOKUP(U50,Forex!$B$3:$C$8,2,FALSE))</f>
        <v/>
      </c>
      <c r="Y50" s="32" t="str">
        <f t="shared" si="1"/>
        <v/>
      </c>
    </row>
    <row r="51" spans="1:25" s="33" customFormat="1" x14ac:dyDescent="0.25">
      <c r="A51" s="30" t="str">
        <f>IF(COUNTA(C51:D51)=0,"", MAX(A$2:A50)+1)</f>
        <v/>
      </c>
      <c r="B51" s="30"/>
      <c r="C51" s="31"/>
      <c r="D51" s="32"/>
      <c r="G51" s="33" t="str">
        <f>IF(ISNA(VLOOKUP(E51,Forex!$B$3:$C$8,2,FALSE)),"",VLOOKUP(E51,Forex!$B$3:$C$8,2,FALSE))</f>
        <v/>
      </c>
      <c r="H51" s="32" t="str">
        <f t="shared" si="0"/>
        <v/>
      </c>
      <c r="I51" s="32"/>
      <c r="J51" s="77"/>
      <c r="K51" s="78" t="str">
        <f>IF(ISNA(PctFromPrevRep),"", PctFromPrevRep)</f>
        <v/>
      </c>
      <c r="L51" s="32"/>
      <c r="M51" s="32"/>
      <c r="N51" s="32"/>
      <c r="P51" s="30" t="str">
        <f>IF(COUNTA(Q51:Q51)=0,"", MAX(P$2:P50)+1)</f>
        <v/>
      </c>
      <c r="Q51" s="34"/>
      <c r="R51" s="34"/>
      <c r="W51" s="34"/>
      <c r="X51" s="33" t="str">
        <f>IF(ISNA(VLOOKUP(U51,Forex!$B$3:$C$8,2,FALSE)),"",VLOOKUP(U51,Forex!$B$3:$C$8,2,FALSE))</f>
        <v/>
      </c>
      <c r="Y51" s="32" t="str">
        <f t="shared" si="1"/>
        <v/>
      </c>
    </row>
    <row r="52" spans="1:25" s="33" customFormat="1" x14ac:dyDescent="0.25">
      <c r="A52" s="30" t="str">
        <f>IF(COUNTA(C52:D52)=0,"", MAX(A$2:A51)+1)</f>
        <v/>
      </c>
      <c r="B52" s="30"/>
      <c r="C52" s="31"/>
      <c r="D52" s="32"/>
      <c r="G52" s="33" t="str">
        <f>IF(ISNA(VLOOKUP(E52,Forex!$B$3:$C$8,2,FALSE)),"",VLOOKUP(E52,Forex!$B$3:$C$8,2,FALSE))</f>
        <v/>
      </c>
      <c r="H52" s="32" t="str">
        <f t="shared" si="0"/>
        <v/>
      </c>
      <c r="I52" s="32"/>
      <c r="J52" s="77"/>
      <c r="K52" s="78" t="str">
        <f>IF(ISNA(PctFromPrevRep),"", PctFromPrevRep)</f>
        <v/>
      </c>
      <c r="L52" s="32"/>
      <c r="M52" s="32"/>
      <c r="N52" s="32"/>
      <c r="P52" s="30" t="str">
        <f>IF(COUNTA(Q52:Q52)=0,"", MAX(P$2:P51)+1)</f>
        <v/>
      </c>
      <c r="Q52" s="34"/>
      <c r="R52" s="34"/>
      <c r="W52" s="34"/>
      <c r="X52" s="33" t="str">
        <f>IF(ISNA(VLOOKUP(U52,Forex!$B$3:$C$8,2,FALSE)),"",VLOOKUP(U52,Forex!$B$3:$C$8,2,FALSE))</f>
        <v/>
      </c>
      <c r="Y52" s="32" t="str">
        <f t="shared" si="1"/>
        <v/>
      </c>
    </row>
    <row r="53" spans="1:25" s="33" customFormat="1" x14ac:dyDescent="0.25">
      <c r="A53" s="30" t="str">
        <f>IF(COUNTA(C53:D53)=0,"", MAX(A$2:A52)+1)</f>
        <v/>
      </c>
      <c r="B53" s="30"/>
      <c r="C53" s="31"/>
      <c r="D53" s="32"/>
      <c r="G53" s="33" t="str">
        <f>IF(ISNA(VLOOKUP(E53,Forex!$B$3:$C$8,2,FALSE)),"",VLOOKUP(E53,Forex!$B$3:$C$8,2,FALSE))</f>
        <v/>
      </c>
      <c r="H53" s="32" t="str">
        <f t="shared" si="0"/>
        <v/>
      </c>
      <c r="I53" s="32"/>
      <c r="J53" s="77"/>
      <c r="K53" s="78" t="str">
        <f>IF(ISNA(PctFromPrevRep),"", PctFromPrevRep)</f>
        <v/>
      </c>
      <c r="L53" s="32"/>
      <c r="M53" s="32"/>
      <c r="N53" s="32"/>
      <c r="P53" s="30" t="str">
        <f>IF(COUNTA(Q53:Q53)=0,"", MAX(P$2:P52)+1)</f>
        <v/>
      </c>
      <c r="Q53" s="34"/>
      <c r="R53" s="34"/>
      <c r="W53" s="34"/>
      <c r="X53" s="33" t="str">
        <f>IF(ISNA(VLOOKUP(U53,Forex!$B$3:$C$8,2,FALSE)),"",VLOOKUP(U53,Forex!$B$3:$C$8,2,FALSE))</f>
        <v/>
      </c>
      <c r="Y53" s="32" t="str">
        <f t="shared" si="1"/>
        <v/>
      </c>
    </row>
    <row r="54" spans="1:25" s="33" customFormat="1" x14ac:dyDescent="0.25">
      <c r="A54" s="30" t="str">
        <f>IF(COUNTA(C54:D54)=0,"", MAX(A$2:A53)+1)</f>
        <v/>
      </c>
      <c r="B54" s="30"/>
      <c r="C54" s="31"/>
      <c r="D54" s="32"/>
      <c r="H54" s="32"/>
      <c r="I54" s="32"/>
      <c r="J54" s="77"/>
      <c r="K54" s="32"/>
      <c r="L54" s="32"/>
      <c r="M54" s="32"/>
      <c r="N54" s="32"/>
      <c r="P54" s="30" t="str">
        <f>IF(COUNTA(Q54:Q54)=0,"", MAX(P$2:P53)+1)</f>
        <v/>
      </c>
      <c r="Q54" s="34"/>
      <c r="R54" s="34"/>
      <c r="W54" s="34"/>
      <c r="X54" s="32"/>
    </row>
    <row r="55" spans="1:25" s="33" customFormat="1" x14ac:dyDescent="0.25">
      <c r="A55" s="30" t="str">
        <f>IF(COUNTA(C55:D55)=0,"", MAX(A$2:A54)+1)</f>
        <v/>
      </c>
      <c r="B55" s="30"/>
      <c r="C55" s="31"/>
      <c r="D55" s="32"/>
      <c r="H55" s="32"/>
      <c r="I55" s="32"/>
      <c r="J55" s="77"/>
      <c r="K55" s="32"/>
      <c r="L55" s="32"/>
      <c r="M55" s="32"/>
      <c r="N55" s="32"/>
      <c r="P55" s="30" t="str">
        <f>IF(COUNTA(Q55:Q55)=0,"", MAX(P$2:P54)+1)</f>
        <v/>
      </c>
      <c r="Q55" s="34"/>
      <c r="R55" s="34"/>
      <c r="W55" s="34"/>
      <c r="X55" s="32"/>
    </row>
    <row r="56" spans="1:25" s="33" customFormat="1" x14ac:dyDescent="0.25">
      <c r="A56" s="30" t="str">
        <f>IF(COUNTA(C56:D56)=0,"", MAX(A$2:A55)+1)</f>
        <v/>
      </c>
      <c r="B56" s="30"/>
      <c r="C56" s="31"/>
      <c r="D56" s="32"/>
      <c r="H56" s="32"/>
      <c r="I56" s="32"/>
      <c r="J56" s="77"/>
      <c r="K56" s="32"/>
      <c r="L56" s="32"/>
      <c r="M56" s="32"/>
      <c r="N56" s="32"/>
      <c r="P56" s="30" t="str">
        <f>IF(COUNTA(Q56:Q56)=0,"", MAX(P$2:P55)+1)</f>
        <v/>
      </c>
      <c r="Q56" s="34"/>
      <c r="R56" s="34"/>
      <c r="W56" s="34"/>
      <c r="X56" s="32"/>
    </row>
    <row r="57" spans="1:25" s="33" customFormat="1" x14ac:dyDescent="0.25">
      <c r="A57" s="30" t="str">
        <f>IF(COUNTA(C57:D57)=0,"", MAX(A$2:A56)+1)</f>
        <v/>
      </c>
      <c r="B57" s="30"/>
      <c r="C57" s="31"/>
      <c r="D57" s="32"/>
      <c r="H57" s="32"/>
      <c r="I57" s="32"/>
      <c r="J57" s="77"/>
      <c r="K57" s="32"/>
      <c r="L57" s="32"/>
      <c r="M57" s="32"/>
      <c r="N57" s="32"/>
      <c r="P57" s="30" t="str">
        <f>IF(COUNTA(Q57:Q57)=0,"", MAX(P$2:P56)+1)</f>
        <v/>
      </c>
      <c r="Q57" s="34"/>
      <c r="R57" s="34"/>
      <c r="W57" s="34"/>
      <c r="X57" s="32"/>
    </row>
    <row r="58" spans="1:25" s="33" customFormat="1" x14ac:dyDescent="0.25">
      <c r="A58" s="30" t="str">
        <f>IF(COUNTA(C58:D58)=0,"", MAX(A$2:A57)+1)</f>
        <v/>
      </c>
      <c r="B58" s="30"/>
      <c r="C58" s="31"/>
      <c r="D58" s="32"/>
      <c r="H58" s="32"/>
      <c r="I58" s="32"/>
      <c r="J58" s="77"/>
      <c r="K58" s="32"/>
      <c r="L58" s="32"/>
      <c r="M58" s="32"/>
      <c r="N58" s="32"/>
      <c r="P58" s="30" t="str">
        <f>IF(COUNTA(Q58:Q58)=0,"", MAX(P$2:P57)+1)</f>
        <v/>
      </c>
      <c r="Q58" s="34"/>
      <c r="R58" s="34"/>
      <c r="W58" s="34"/>
      <c r="X58" s="32"/>
    </row>
    <row r="59" spans="1:25" s="33" customFormat="1" x14ac:dyDescent="0.25">
      <c r="A59" s="30" t="str">
        <f>IF(COUNTA(C59:D59)=0,"", MAX(A$2:A58)+1)</f>
        <v/>
      </c>
      <c r="B59" s="30"/>
      <c r="C59" s="31"/>
      <c r="D59" s="32"/>
      <c r="H59" s="32"/>
      <c r="I59" s="32"/>
      <c r="J59" s="77"/>
      <c r="K59" s="32"/>
      <c r="L59" s="32"/>
      <c r="M59" s="32"/>
      <c r="N59" s="32"/>
      <c r="P59" s="30" t="str">
        <f>IF(COUNTA(Q59:Q59)=0,"", MAX(P$2:P58)+1)</f>
        <v/>
      </c>
      <c r="Q59" s="34"/>
      <c r="R59" s="34"/>
      <c r="W59" s="34"/>
      <c r="X59" s="32"/>
    </row>
    <row r="60" spans="1:25" s="33" customFormat="1" x14ac:dyDescent="0.25">
      <c r="A60" s="30" t="str">
        <f>IF(COUNTA(C60:D60)=0,"", MAX(A$2:A59)+1)</f>
        <v/>
      </c>
      <c r="B60" s="30"/>
      <c r="C60" s="31"/>
      <c r="D60" s="32"/>
      <c r="H60" s="32"/>
      <c r="I60" s="32"/>
      <c r="J60" s="77"/>
      <c r="K60" s="32"/>
      <c r="L60" s="32"/>
      <c r="M60" s="32"/>
      <c r="N60" s="32"/>
      <c r="P60" s="30" t="str">
        <f>IF(COUNTA(Q60:Q60)=0,"", MAX(P$2:P59)+1)</f>
        <v/>
      </c>
      <c r="Q60" s="34"/>
      <c r="R60" s="34"/>
      <c r="W60" s="34"/>
      <c r="X60" s="32"/>
    </row>
    <row r="61" spans="1:25" s="33" customFormat="1" x14ac:dyDescent="0.25">
      <c r="A61" s="30" t="str">
        <f>IF(COUNTA(C61:D61)=0,"", MAX(A$2:A60)+1)</f>
        <v/>
      </c>
      <c r="B61" s="30"/>
      <c r="C61" s="31"/>
      <c r="D61" s="32"/>
      <c r="H61" s="32"/>
      <c r="I61" s="32"/>
      <c r="J61" s="77"/>
      <c r="K61" s="32"/>
      <c r="L61" s="32"/>
      <c r="M61" s="32"/>
      <c r="N61" s="32"/>
      <c r="P61" s="30" t="str">
        <f>IF(COUNTA(Q61:Q61)=0,"", MAX(P$2:P60)+1)</f>
        <v/>
      </c>
      <c r="Q61" s="34"/>
      <c r="R61" s="34"/>
      <c r="W61" s="34"/>
      <c r="X61" s="32"/>
    </row>
    <row r="62" spans="1:25" s="33" customFormat="1" x14ac:dyDescent="0.25">
      <c r="A62" s="30" t="str">
        <f>IF(COUNTA(C62:D62)=0,"", MAX(A$2:A61)+1)</f>
        <v/>
      </c>
      <c r="B62" s="30"/>
      <c r="C62" s="31"/>
      <c r="D62" s="32"/>
      <c r="H62" s="32"/>
      <c r="I62" s="32"/>
      <c r="J62" s="77"/>
      <c r="K62" s="32"/>
      <c r="L62" s="32"/>
      <c r="M62" s="32"/>
      <c r="N62" s="32"/>
      <c r="P62" s="30" t="str">
        <f>IF(COUNTA(Q62:Q62)=0,"", MAX(P$2:P61)+1)</f>
        <v/>
      </c>
      <c r="Q62" s="34"/>
      <c r="R62" s="34"/>
      <c r="W62" s="34"/>
      <c r="X62" s="32"/>
    </row>
    <row r="63" spans="1:25" s="33" customFormat="1" x14ac:dyDescent="0.25">
      <c r="A63" s="30" t="str">
        <f>IF(COUNTA(C63:D63)=0,"", MAX(A$2:A62)+1)</f>
        <v/>
      </c>
      <c r="B63" s="30"/>
      <c r="C63" s="31"/>
      <c r="D63" s="32"/>
      <c r="H63" s="32"/>
      <c r="I63" s="32"/>
      <c r="J63" s="77"/>
      <c r="K63" s="32"/>
      <c r="L63" s="32"/>
      <c r="M63" s="32"/>
      <c r="N63" s="32"/>
      <c r="P63" s="30" t="str">
        <f>IF(COUNTA(Q63:Q63)=0,"", MAX(P$2:P62)+1)</f>
        <v/>
      </c>
      <c r="Q63" s="34"/>
      <c r="R63" s="34"/>
      <c r="W63" s="34"/>
      <c r="X63" s="32"/>
    </row>
    <row r="64" spans="1:25" s="33" customFormat="1" x14ac:dyDescent="0.25">
      <c r="A64" s="30" t="str">
        <f>IF(COUNTA(C64:D64)=0,"", MAX(A$2:A63)+1)</f>
        <v/>
      </c>
      <c r="B64" s="30"/>
      <c r="C64" s="31"/>
      <c r="D64" s="32"/>
      <c r="H64" s="32"/>
      <c r="I64" s="32"/>
      <c r="J64" s="77"/>
      <c r="K64" s="32"/>
      <c r="L64" s="32"/>
      <c r="M64" s="32"/>
      <c r="N64" s="32"/>
      <c r="P64" s="30" t="str">
        <f>IF(COUNTA(Q64:Q64)=0,"", MAX(P$2:P63)+1)</f>
        <v/>
      </c>
      <c r="Q64" s="34"/>
      <c r="R64" s="34"/>
      <c r="W64" s="34"/>
      <c r="X64" s="32"/>
    </row>
    <row r="65" spans="1:24" s="33" customFormat="1" x14ac:dyDescent="0.25">
      <c r="A65" s="30" t="str">
        <f>IF(COUNTA(C65:D65)=0,"", MAX(A$2:A64)+1)</f>
        <v/>
      </c>
      <c r="B65" s="30"/>
      <c r="C65" s="31"/>
      <c r="D65" s="32"/>
      <c r="H65" s="32"/>
      <c r="I65" s="32"/>
      <c r="J65" s="77"/>
      <c r="K65" s="32"/>
      <c r="L65" s="32"/>
      <c r="M65" s="32"/>
      <c r="N65" s="32"/>
      <c r="P65" s="30" t="str">
        <f>IF(COUNTA(Q65:Q65)=0,"", MAX(P$2:P64)+1)</f>
        <v/>
      </c>
      <c r="Q65" s="34"/>
      <c r="R65" s="34"/>
      <c r="W65" s="34"/>
      <c r="X65" s="32"/>
    </row>
    <row r="66" spans="1:24" s="33" customFormat="1" x14ac:dyDescent="0.25">
      <c r="A66" s="30" t="str">
        <f>IF(COUNTA(C66:D66)=0,"", MAX(A$2:A65)+1)</f>
        <v/>
      </c>
      <c r="B66" s="30"/>
      <c r="C66" s="31"/>
      <c r="D66" s="32"/>
      <c r="H66" s="32"/>
      <c r="I66" s="32"/>
      <c r="J66" s="77"/>
      <c r="K66" s="32"/>
      <c r="L66" s="32"/>
      <c r="M66" s="32"/>
      <c r="N66" s="32"/>
      <c r="P66" s="30" t="str">
        <f>IF(COUNTA(Q66:Q66)=0,"", MAX(P$2:P65)+1)</f>
        <v/>
      </c>
      <c r="Q66" s="34"/>
      <c r="R66" s="34"/>
      <c r="W66" s="34"/>
      <c r="X66" s="32"/>
    </row>
    <row r="67" spans="1:24" s="33" customFormat="1" x14ac:dyDescent="0.25">
      <c r="A67" s="30" t="str">
        <f>IF(COUNTA(C67:D67)=0,"", MAX(A$2:A66)+1)</f>
        <v/>
      </c>
      <c r="B67" s="30"/>
      <c r="C67" s="31"/>
      <c r="D67" s="32"/>
      <c r="H67" s="32"/>
      <c r="I67" s="32"/>
      <c r="J67" s="77"/>
      <c r="K67" s="32"/>
      <c r="L67" s="32"/>
      <c r="M67" s="32"/>
      <c r="N67" s="32"/>
      <c r="P67" s="30" t="str">
        <f>IF(COUNTA(Q67:Q67)=0,"", MAX(P$2:P66)+1)</f>
        <v/>
      </c>
      <c r="Q67" s="34"/>
      <c r="R67" s="34"/>
      <c r="W67" s="34"/>
      <c r="X67" s="32"/>
    </row>
    <row r="68" spans="1:24" s="33" customFormat="1" x14ac:dyDescent="0.25">
      <c r="A68" s="30" t="str">
        <f>IF(COUNTA(C68:D68)=0,"", MAX(A$2:A67)+1)</f>
        <v/>
      </c>
      <c r="B68" s="30"/>
      <c r="C68" s="31"/>
      <c r="D68" s="32"/>
      <c r="H68" s="32"/>
      <c r="I68" s="32"/>
      <c r="J68" s="77"/>
      <c r="K68" s="32"/>
      <c r="L68" s="32"/>
      <c r="M68" s="32"/>
      <c r="N68" s="32"/>
      <c r="P68" s="30" t="str">
        <f>IF(COUNTA(Q68:Q68)=0,"", MAX(P$2:P67)+1)</f>
        <v/>
      </c>
      <c r="Q68" s="34"/>
      <c r="R68" s="34"/>
      <c r="W68" s="34"/>
      <c r="X68" s="32"/>
    </row>
    <row r="69" spans="1:24" s="33" customFormat="1" x14ac:dyDescent="0.25">
      <c r="A69" s="30" t="str">
        <f>IF(COUNTA(C69:D69)=0,"", MAX(A$2:A68)+1)</f>
        <v/>
      </c>
      <c r="B69" s="30"/>
      <c r="C69" s="31"/>
      <c r="D69" s="32"/>
      <c r="H69" s="32"/>
      <c r="I69" s="32"/>
      <c r="J69" s="77"/>
      <c r="K69" s="32"/>
      <c r="L69" s="32"/>
      <c r="M69" s="32"/>
      <c r="N69" s="32"/>
      <c r="P69" s="30" t="str">
        <f>IF(COUNTA(Q69:Q69)=0,"", MAX(P$2:P68)+1)</f>
        <v/>
      </c>
      <c r="Q69" s="34"/>
      <c r="R69" s="34"/>
      <c r="W69" s="34"/>
      <c r="X69" s="32"/>
    </row>
    <row r="70" spans="1:24" s="33" customFormat="1" x14ac:dyDescent="0.25">
      <c r="A70" s="30" t="str">
        <f>IF(COUNTA(C70:D70)=0,"", MAX(A$2:A69)+1)</f>
        <v/>
      </c>
      <c r="B70" s="30"/>
      <c r="C70" s="31"/>
      <c r="D70" s="32"/>
      <c r="H70" s="32"/>
      <c r="I70" s="32"/>
      <c r="J70" s="77"/>
      <c r="K70" s="32"/>
      <c r="L70" s="32"/>
      <c r="M70" s="32"/>
      <c r="N70" s="32"/>
      <c r="P70" s="30" t="str">
        <f>IF(COUNTA(Q70:Q70)=0,"", MAX(P$2:P69)+1)</f>
        <v/>
      </c>
      <c r="Q70" s="34"/>
      <c r="R70" s="34"/>
      <c r="W70" s="34"/>
      <c r="X70" s="32"/>
    </row>
    <row r="71" spans="1:24" s="33" customFormat="1" x14ac:dyDescent="0.25">
      <c r="A71" s="30" t="str">
        <f>IF(COUNTA(C71:D71)=0,"", MAX(A$2:A70)+1)</f>
        <v/>
      </c>
      <c r="B71" s="30"/>
      <c r="C71" s="31"/>
      <c r="D71" s="32"/>
      <c r="H71" s="32"/>
      <c r="I71" s="32"/>
      <c r="J71" s="77"/>
      <c r="K71" s="32"/>
      <c r="L71" s="32"/>
      <c r="M71" s="32"/>
      <c r="N71" s="32"/>
      <c r="P71" s="30" t="str">
        <f>IF(COUNTA(Q71:Q71)=0,"", MAX(P$2:P70)+1)</f>
        <v/>
      </c>
      <c r="Q71" s="34"/>
      <c r="R71" s="34"/>
      <c r="W71" s="34"/>
      <c r="X71" s="32"/>
    </row>
    <row r="72" spans="1:24" s="33" customFormat="1" x14ac:dyDescent="0.25">
      <c r="A72" s="30" t="str">
        <f>IF(COUNTA(C72:D72)=0,"", MAX(A$2:A71)+1)</f>
        <v/>
      </c>
      <c r="B72" s="30"/>
      <c r="C72" s="31"/>
      <c r="D72" s="32"/>
      <c r="H72" s="32"/>
      <c r="I72" s="32"/>
      <c r="J72" s="77"/>
      <c r="K72" s="32"/>
      <c r="L72" s="32"/>
      <c r="M72" s="32"/>
      <c r="N72" s="32"/>
      <c r="P72" s="30" t="str">
        <f>IF(COUNTA(Q72:Q72)=0,"", MAX(P$2:P71)+1)</f>
        <v/>
      </c>
      <c r="Q72" s="34"/>
      <c r="R72" s="34"/>
      <c r="W72" s="34"/>
      <c r="X72" s="32"/>
    </row>
    <row r="73" spans="1:24" s="33" customFormat="1" x14ac:dyDescent="0.25">
      <c r="A73" s="30" t="str">
        <f>IF(COUNTA(C73:D73)=0,"", MAX(A$2:A72)+1)</f>
        <v/>
      </c>
      <c r="B73" s="30"/>
      <c r="C73" s="31"/>
      <c r="D73" s="32"/>
      <c r="H73" s="32"/>
      <c r="I73" s="32"/>
      <c r="J73" s="77"/>
      <c r="K73" s="32"/>
      <c r="L73" s="32"/>
      <c r="M73" s="32"/>
      <c r="N73" s="32"/>
      <c r="P73" s="30" t="str">
        <f>IF(COUNTA(Q73:Q73)=0,"", MAX(P$2:P72)+1)</f>
        <v/>
      </c>
      <c r="Q73" s="34"/>
      <c r="R73" s="34"/>
      <c r="W73" s="34"/>
      <c r="X73" s="32"/>
    </row>
    <row r="74" spans="1:24" s="33" customFormat="1" x14ac:dyDescent="0.25">
      <c r="A74" s="30" t="str">
        <f>IF(COUNTA(C74:D74)=0,"", MAX(A$2:A73)+1)</f>
        <v/>
      </c>
      <c r="B74" s="30"/>
      <c r="C74" s="31"/>
      <c r="D74" s="32"/>
      <c r="H74" s="32"/>
      <c r="I74" s="32"/>
      <c r="J74" s="77"/>
      <c r="K74" s="32"/>
      <c r="L74" s="32"/>
      <c r="M74" s="32"/>
      <c r="N74" s="32"/>
      <c r="P74" s="30" t="str">
        <f>IF(COUNTA(Q74:Q74)=0,"", MAX(P$2:P73)+1)</f>
        <v/>
      </c>
      <c r="Q74" s="34"/>
      <c r="R74" s="34"/>
      <c r="W74" s="34"/>
      <c r="X74" s="32"/>
    </row>
    <row r="75" spans="1:24" s="33" customFormat="1" x14ac:dyDescent="0.25">
      <c r="A75" s="30" t="str">
        <f>IF(COUNTA(C75:D75)=0,"", MAX(A$2:A74)+1)</f>
        <v/>
      </c>
      <c r="B75" s="30"/>
      <c r="C75" s="31"/>
      <c r="D75" s="32"/>
      <c r="H75" s="32"/>
      <c r="I75" s="32"/>
      <c r="J75" s="77"/>
      <c r="K75" s="32"/>
      <c r="L75" s="32"/>
      <c r="M75" s="32"/>
      <c r="N75" s="32"/>
      <c r="P75" s="30" t="str">
        <f>IF(COUNTA(Q75:Q75)=0,"", MAX(P$2:P74)+1)</f>
        <v/>
      </c>
      <c r="Q75" s="34"/>
      <c r="R75" s="34"/>
      <c r="W75" s="34"/>
      <c r="X75" s="32"/>
    </row>
    <row r="76" spans="1:24" s="33" customFormat="1" x14ac:dyDescent="0.25">
      <c r="A76" s="30" t="str">
        <f>IF(COUNTA(C76:D76)=0,"", MAX(A$2:A75)+1)</f>
        <v/>
      </c>
      <c r="B76" s="30"/>
      <c r="C76" s="31"/>
      <c r="D76" s="32"/>
      <c r="H76" s="32"/>
      <c r="I76" s="32"/>
      <c r="J76" s="77"/>
      <c r="K76" s="32"/>
      <c r="L76" s="32"/>
      <c r="M76" s="32"/>
      <c r="N76" s="32"/>
      <c r="P76" s="30" t="str">
        <f>IF(COUNTA(Q76:Q76)=0,"", MAX(P$2:P75)+1)</f>
        <v/>
      </c>
      <c r="Q76" s="34"/>
      <c r="R76" s="34"/>
      <c r="W76" s="34"/>
      <c r="X76" s="32"/>
    </row>
    <row r="77" spans="1:24" s="33" customFormat="1" x14ac:dyDescent="0.25">
      <c r="A77" s="30" t="str">
        <f>IF(COUNTA(C77:D77)=0,"", MAX(A$2:A76)+1)</f>
        <v/>
      </c>
      <c r="B77" s="30"/>
      <c r="C77" s="31"/>
      <c r="D77" s="32"/>
      <c r="H77" s="32"/>
      <c r="I77" s="32"/>
      <c r="J77" s="77"/>
      <c r="K77" s="32"/>
      <c r="L77" s="32"/>
      <c r="M77" s="32"/>
      <c r="N77" s="32"/>
      <c r="P77" s="30" t="str">
        <f>IF(COUNTA(Q77:Q77)=0,"", MAX(P$2:P76)+1)</f>
        <v/>
      </c>
      <c r="Q77" s="34"/>
      <c r="R77" s="34"/>
      <c r="W77" s="34"/>
      <c r="X77" s="32"/>
    </row>
    <row r="78" spans="1:24" s="33" customFormat="1" x14ac:dyDescent="0.25">
      <c r="A78" s="30" t="str">
        <f>IF(COUNTA(C78:D78)=0,"", MAX(A$2:A77)+1)</f>
        <v/>
      </c>
      <c r="B78" s="30"/>
      <c r="C78" s="31"/>
      <c r="D78" s="32"/>
      <c r="H78" s="32"/>
      <c r="I78" s="32"/>
      <c r="J78" s="77"/>
      <c r="K78" s="32"/>
      <c r="L78" s="32"/>
      <c r="M78" s="32"/>
      <c r="N78" s="32"/>
      <c r="P78" s="30" t="str">
        <f>IF(COUNTA(Q78:Q78)=0,"", MAX(P$2:P77)+1)</f>
        <v/>
      </c>
      <c r="Q78" s="34"/>
      <c r="R78" s="34"/>
      <c r="W78" s="34"/>
      <c r="X78" s="32"/>
    </row>
    <row r="79" spans="1:24" s="33" customFormat="1" x14ac:dyDescent="0.25">
      <c r="A79" s="30" t="str">
        <f>IF(COUNTA(C79:D79)=0,"", MAX(A$2:A78)+1)</f>
        <v/>
      </c>
      <c r="B79" s="30"/>
      <c r="C79" s="31"/>
      <c r="D79" s="32"/>
      <c r="H79" s="32"/>
      <c r="I79" s="32"/>
      <c r="J79" s="77"/>
      <c r="K79" s="32"/>
      <c r="L79" s="32"/>
      <c r="M79" s="32"/>
      <c r="N79" s="32"/>
      <c r="P79" s="30" t="str">
        <f>IF(COUNTA(Q79:Q79)=0,"", MAX(P$2:P78)+1)</f>
        <v/>
      </c>
      <c r="Q79" s="34"/>
      <c r="R79" s="34"/>
      <c r="W79" s="34"/>
      <c r="X79" s="32"/>
    </row>
    <row r="80" spans="1:24" s="33" customFormat="1" x14ac:dyDescent="0.25">
      <c r="A80" s="30" t="str">
        <f>IF(COUNTA(C80:D80)=0,"", MAX(A$2:A79)+1)</f>
        <v/>
      </c>
      <c r="B80" s="30"/>
      <c r="C80" s="31"/>
      <c r="D80" s="32"/>
      <c r="H80" s="32"/>
      <c r="I80" s="32"/>
      <c r="J80" s="77"/>
      <c r="K80" s="32"/>
      <c r="L80" s="32"/>
      <c r="M80" s="32"/>
      <c r="N80" s="32"/>
      <c r="P80" s="30" t="str">
        <f>IF(COUNTA(Q80:Q80)=0,"", MAX(P$2:P79)+1)</f>
        <v/>
      </c>
      <c r="Q80" s="34"/>
      <c r="R80" s="34"/>
      <c r="W80" s="34"/>
      <c r="X80" s="32"/>
    </row>
    <row r="81" spans="1:24" s="33" customFormat="1" x14ac:dyDescent="0.25">
      <c r="A81" s="30" t="str">
        <f>IF(COUNTA(C81:D81)=0,"", MAX(A$2:A80)+1)</f>
        <v/>
      </c>
      <c r="B81" s="30"/>
      <c r="C81" s="31"/>
      <c r="D81" s="32"/>
      <c r="H81" s="32"/>
      <c r="I81" s="32"/>
      <c r="J81" s="77"/>
      <c r="K81" s="32"/>
      <c r="L81" s="32"/>
      <c r="M81" s="32"/>
      <c r="N81" s="32"/>
      <c r="P81" s="30" t="str">
        <f>IF(COUNTA(Q81:Q81)=0,"", MAX(P$2:P80)+1)</f>
        <v/>
      </c>
      <c r="Q81" s="34"/>
      <c r="R81" s="34"/>
      <c r="W81" s="34"/>
      <c r="X81" s="32"/>
    </row>
    <row r="82" spans="1:24" s="33" customFormat="1" x14ac:dyDescent="0.25">
      <c r="A82" s="30" t="str">
        <f>IF(COUNTA(C82:D82)=0,"", MAX(A$2:A81)+1)</f>
        <v/>
      </c>
      <c r="B82" s="30"/>
      <c r="C82" s="31"/>
      <c r="D82" s="32"/>
      <c r="H82" s="32"/>
      <c r="I82" s="32"/>
      <c r="J82" s="77"/>
      <c r="K82" s="32"/>
      <c r="L82" s="32"/>
      <c r="M82" s="32"/>
      <c r="N82" s="32"/>
      <c r="P82" s="30" t="str">
        <f>IF(COUNTA(Q82:Q82)=0,"", MAX(P$2:P81)+1)</f>
        <v/>
      </c>
      <c r="Q82" s="34"/>
      <c r="R82" s="34"/>
      <c r="W82" s="34"/>
      <c r="X82" s="32"/>
    </row>
    <row r="83" spans="1:24" s="33" customFormat="1" x14ac:dyDescent="0.25">
      <c r="A83" s="30" t="str">
        <f>IF(COUNTA(C83:D83)=0,"", MAX(A$2:A82)+1)</f>
        <v/>
      </c>
      <c r="B83" s="30"/>
      <c r="C83" s="31"/>
      <c r="D83" s="32"/>
      <c r="H83" s="32"/>
      <c r="I83" s="32"/>
      <c r="J83" s="77"/>
      <c r="K83" s="32"/>
      <c r="L83" s="32"/>
      <c r="M83" s="32"/>
      <c r="N83" s="32"/>
      <c r="P83" s="30" t="str">
        <f>IF(COUNTA(Q83:Q83)=0,"", MAX(P$2:P82)+1)</f>
        <v/>
      </c>
      <c r="Q83" s="34"/>
      <c r="R83" s="34"/>
      <c r="W83" s="34"/>
      <c r="X83" s="32"/>
    </row>
    <row r="84" spans="1:24" s="33" customFormat="1" x14ac:dyDescent="0.25">
      <c r="A84" s="30" t="str">
        <f>IF(COUNTA(C84:D84)=0,"", MAX(A$2:A83)+1)</f>
        <v/>
      </c>
      <c r="B84" s="30"/>
      <c r="C84" s="31"/>
      <c r="D84" s="32"/>
      <c r="H84" s="32"/>
      <c r="I84" s="32"/>
      <c r="J84" s="77"/>
      <c r="K84" s="32"/>
      <c r="L84" s="32"/>
      <c r="M84" s="32"/>
      <c r="N84" s="32"/>
      <c r="P84" s="30" t="str">
        <f>IF(COUNTA(Q84:Q84)=0,"", MAX(P$2:P83)+1)</f>
        <v/>
      </c>
      <c r="Q84" s="34"/>
      <c r="R84" s="34"/>
      <c r="W84" s="34"/>
      <c r="X84" s="32"/>
    </row>
    <row r="85" spans="1:24" s="33" customFormat="1" x14ac:dyDescent="0.25">
      <c r="A85" s="30" t="str">
        <f>IF(COUNTA(C85:D85)=0,"", MAX(A$2:A84)+1)</f>
        <v/>
      </c>
      <c r="B85" s="30"/>
      <c r="C85" s="31"/>
      <c r="D85" s="32"/>
      <c r="H85" s="32"/>
      <c r="I85" s="32"/>
      <c r="J85" s="77"/>
      <c r="K85" s="32"/>
      <c r="L85" s="32"/>
      <c r="M85" s="32"/>
      <c r="N85" s="32"/>
      <c r="P85" s="30" t="str">
        <f>IF(COUNTA(Q85:Q85)=0,"", MAX(P$2:P84)+1)</f>
        <v/>
      </c>
      <c r="Q85" s="34"/>
      <c r="R85" s="34"/>
      <c r="W85" s="34"/>
      <c r="X85" s="32"/>
    </row>
    <row r="86" spans="1:24" s="33" customFormat="1" x14ac:dyDescent="0.25">
      <c r="A86" s="30" t="str">
        <f>IF(COUNTA(C86:D86)=0,"", MAX(A$2:A85)+1)</f>
        <v/>
      </c>
      <c r="B86" s="30"/>
      <c r="C86" s="31"/>
      <c r="D86" s="32"/>
      <c r="H86" s="32"/>
      <c r="I86" s="32"/>
      <c r="J86" s="77"/>
      <c r="K86" s="32"/>
      <c r="L86" s="32"/>
      <c r="M86" s="32"/>
      <c r="N86" s="32"/>
      <c r="P86" s="30" t="str">
        <f>IF(COUNTA(Q86:Q86)=0,"", MAX(P$2:P85)+1)</f>
        <v/>
      </c>
      <c r="Q86" s="34"/>
      <c r="R86" s="34"/>
      <c r="W86" s="34"/>
      <c r="X86" s="32"/>
    </row>
    <row r="87" spans="1:24" s="33" customFormat="1" x14ac:dyDescent="0.25">
      <c r="A87" s="30" t="str">
        <f>IF(COUNTA(C87:D87)=0,"", MAX(A$2:A86)+1)</f>
        <v/>
      </c>
      <c r="B87" s="30"/>
      <c r="C87" s="31"/>
      <c r="D87" s="32"/>
      <c r="H87" s="32"/>
      <c r="I87" s="32"/>
      <c r="J87" s="77"/>
      <c r="K87" s="32"/>
      <c r="L87" s="32"/>
      <c r="M87" s="32"/>
      <c r="N87" s="32"/>
      <c r="P87" s="30" t="str">
        <f>IF(COUNTA(Q87:Q87)=0,"", MAX(P$2:P86)+1)</f>
        <v/>
      </c>
      <c r="Q87" s="34"/>
      <c r="R87" s="34"/>
      <c r="W87" s="34"/>
      <c r="X87" s="32"/>
    </row>
    <row r="88" spans="1:24" s="33" customFormat="1" x14ac:dyDescent="0.25">
      <c r="A88" s="30" t="str">
        <f>IF(COUNTA(C88:D88)=0,"", MAX(A$2:A87)+1)</f>
        <v/>
      </c>
      <c r="B88" s="30"/>
      <c r="C88" s="31"/>
      <c r="D88" s="32"/>
      <c r="H88" s="32"/>
      <c r="I88" s="32"/>
      <c r="J88" s="77"/>
      <c r="K88" s="32"/>
      <c r="L88" s="32"/>
      <c r="M88" s="32"/>
      <c r="N88" s="32"/>
      <c r="P88" s="30" t="str">
        <f>IF(COUNTA(Q88:Q88)=0,"", MAX(P$2:P87)+1)</f>
        <v/>
      </c>
      <c r="Q88" s="34"/>
      <c r="R88" s="34"/>
      <c r="W88" s="34"/>
      <c r="X88" s="32"/>
    </row>
    <row r="89" spans="1:24" s="33" customFormat="1" x14ac:dyDescent="0.25">
      <c r="A89" s="30" t="str">
        <f>IF(COUNTA(C89:D89)=0,"", MAX(A$2:A88)+1)</f>
        <v/>
      </c>
      <c r="B89" s="30"/>
      <c r="C89" s="31"/>
      <c r="D89" s="32"/>
      <c r="H89" s="32"/>
      <c r="I89" s="32"/>
      <c r="J89" s="77"/>
      <c r="K89" s="32"/>
      <c r="L89" s="32"/>
      <c r="M89" s="32"/>
      <c r="N89" s="32"/>
      <c r="P89" s="30" t="str">
        <f>IF(COUNTA(Q89:Q89)=0,"", MAX(P$2:P88)+1)</f>
        <v/>
      </c>
      <c r="Q89" s="34"/>
      <c r="R89" s="34"/>
      <c r="W89" s="34"/>
      <c r="X89" s="32"/>
    </row>
    <row r="90" spans="1:24" s="33" customFormat="1" x14ac:dyDescent="0.25">
      <c r="A90" s="30" t="str">
        <f>IF(COUNTA(C90:D90)=0,"", MAX(A$2:A89)+1)</f>
        <v/>
      </c>
      <c r="B90" s="30"/>
      <c r="C90" s="31"/>
      <c r="D90" s="32"/>
      <c r="H90" s="32"/>
      <c r="I90" s="32"/>
      <c r="J90" s="77"/>
      <c r="K90" s="32"/>
      <c r="L90" s="32"/>
      <c r="M90" s="32"/>
      <c r="N90" s="32"/>
      <c r="P90" s="30" t="str">
        <f>IF(COUNTA(Q90:Q90)=0,"", MAX(P$2:P89)+1)</f>
        <v/>
      </c>
      <c r="Q90" s="34"/>
      <c r="R90" s="34"/>
      <c r="W90" s="34"/>
      <c r="X90" s="32"/>
    </row>
    <row r="91" spans="1:24" s="33" customFormat="1" x14ac:dyDescent="0.25">
      <c r="A91" s="30" t="str">
        <f>IF(COUNTA(C91:D91)=0,"", MAX(A$2:A90)+1)</f>
        <v/>
      </c>
      <c r="B91" s="30"/>
      <c r="C91" s="31"/>
      <c r="D91" s="32"/>
      <c r="H91" s="32"/>
      <c r="I91" s="32"/>
      <c r="J91" s="77"/>
      <c r="K91" s="32"/>
      <c r="L91" s="32"/>
      <c r="M91" s="32"/>
      <c r="N91" s="32"/>
      <c r="P91" s="30" t="str">
        <f>IF(COUNTA(Q91:Q91)=0,"", MAX(P$2:P90)+1)</f>
        <v/>
      </c>
      <c r="Q91" s="34"/>
      <c r="R91" s="34"/>
      <c r="W91" s="34"/>
      <c r="X91" s="32"/>
    </row>
    <row r="92" spans="1:24" s="33" customFormat="1" x14ac:dyDescent="0.25">
      <c r="A92" s="30" t="str">
        <f>IF(COUNTA(C92:D92)=0,"", MAX(A$2:A91)+1)</f>
        <v/>
      </c>
      <c r="B92" s="30"/>
      <c r="C92" s="31"/>
      <c r="D92" s="32"/>
      <c r="H92" s="32"/>
      <c r="I92" s="32"/>
      <c r="J92" s="77"/>
      <c r="K92" s="32"/>
      <c r="L92" s="32"/>
      <c r="M92" s="32"/>
      <c r="N92" s="32"/>
      <c r="P92" s="30" t="str">
        <f>IF(COUNTA(Q92:Q92)=0,"", MAX(P$2:P91)+1)</f>
        <v/>
      </c>
      <c r="Q92" s="34"/>
      <c r="R92" s="34"/>
      <c r="W92" s="34"/>
      <c r="X92" s="32"/>
    </row>
    <row r="93" spans="1:24" x14ac:dyDescent="0.25">
      <c r="A93" s="30" t="str">
        <f>IF(COUNTA(C93:D93)=0,"", MAX(A$2:A92)+1)</f>
        <v/>
      </c>
      <c r="B93" s="30"/>
      <c r="P93" s="30" t="str">
        <f>IF(COUNTA(Q93:Q93)=0,"", MAX(P$2:P92)+1)</f>
        <v/>
      </c>
    </row>
    <row r="94" spans="1:24" x14ac:dyDescent="0.25">
      <c r="A94" s="30" t="str">
        <f>IF(COUNTA(C94:D94)=0,"", MAX(A$2:A93)+1)</f>
        <v/>
      </c>
      <c r="B94" s="30"/>
      <c r="P94" s="30" t="str">
        <f>IF(COUNTA(Q94:Q94)=0,"", MAX(P$2:P93)+1)</f>
        <v/>
      </c>
    </row>
    <row r="95" spans="1:24" x14ac:dyDescent="0.25">
      <c r="A95" s="30" t="str">
        <f>IF(COUNTA(C95:D95)=0,"", MAX(A$2:A94)+1)</f>
        <v/>
      </c>
      <c r="B95" s="30"/>
      <c r="P95" s="30" t="str">
        <f>IF(COUNTA(Q95:Q95)=0,"", MAX(P$2:P94)+1)</f>
        <v/>
      </c>
    </row>
    <row r="96" spans="1:24" x14ac:dyDescent="0.25">
      <c r="A96" s="30" t="str">
        <f>IF(COUNTA(C96:D96)=0,"", MAX(A$2:A95)+1)</f>
        <v/>
      </c>
      <c r="B96" s="30"/>
      <c r="P96" s="30" t="str">
        <f>IF(COUNTA(Q96:Q96)=0,"", MAX(P$2:P95)+1)</f>
        <v/>
      </c>
    </row>
    <row r="97" spans="1:16" x14ac:dyDescent="0.25">
      <c r="A97" s="30" t="str">
        <f>IF(COUNTA(C97:D97)=0,"", MAX(A$2:A96)+1)</f>
        <v/>
      </c>
      <c r="B97" s="30"/>
      <c r="P97" s="30" t="str">
        <f>IF(COUNTA(Q97:Q97)=0,"", MAX(P$2:P96)+1)</f>
        <v/>
      </c>
    </row>
    <row r="98" spans="1:16" x14ac:dyDescent="0.25">
      <c r="A98" s="30" t="str">
        <f>IF(COUNTA(C98:D98)=0,"", MAX(A$2:A97)+1)</f>
        <v/>
      </c>
      <c r="B98" s="30"/>
      <c r="P98" s="30" t="str">
        <f>IF(COUNTA(Q98:Q98)=0,"", MAX(P$2:P97)+1)</f>
        <v/>
      </c>
    </row>
    <row r="99" spans="1:16" x14ac:dyDescent="0.25">
      <c r="A99" s="30" t="str">
        <f>IF(COUNTA(C99:D99)=0,"", MAX(A$2:A98)+1)</f>
        <v/>
      </c>
      <c r="B99" s="30"/>
      <c r="P99" s="30" t="str">
        <f>IF(COUNTA(Q99:Q99)=0,"", MAX(P$2:P98)+1)</f>
        <v/>
      </c>
    </row>
    <row r="100" spans="1:16" x14ac:dyDescent="0.25">
      <c r="A100" s="30" t="str">
        <f>IF(COUNTA(C100:D100)=0,"", MAX(A$2:A99)+1)</f>
        <v/>
      </c>
      <c r="B100" s="30"/>
      <c r="P100" s="30" t="str">
        <f>IF(COUNTA(Q100:Q100)=0,"", MAX(P$2:P99)+1)</f>
        <v/>
      </c>
    </row>
    <row r="101" spans="1:16" x14ac:dyDescent="0.25">
      <c r="A101" s="30" t="str">
        <f>IF(COUNTA(C101:D101)=0,"", MAX(A$2:A100)+1)</f>
        <v/>
      </c>
      <c r="B101" s="30"/>
      <c r="P101" s="30" t="str">
        <f>IF(COUNTA(Q101:Q101)=0,"", MAX(P$2:P100)+1)</f>
        <v/>
      </c>
    </row>
    <row r="102" spans="1:16" x14ac:dyDescent="0.25">
      <c r="A102" s="30" t="str">
        <f>IF(COUNTA(C102:D102)=0,"", MAX(A$2:A101)+1)</f>
        <v/>
      </c>
      <c r="B102" s="30"/>
      <c r="P102" s="30" t="str">
        <f>IF(COUNTA(Q102:Q102)=0,"", MAX(P$2:P101)+1)</f>
        <v/>
      </c>
    </row>
    <row r="103" spans="1:16" x14ac:dyDescent="0.25">
      <c r="A103" s="30" t="str">
        <f>IF(COUNTA(C103:D103)=0,"", MAX(A$2:A102)+1)</f>
        <v/>
      </c>
      <c r="B103" s="30"/>
    </row>
  </sheetData>
  <mergeCells count="2">
    <mergeCell ref="A1:D1"/>
    <mergeCell ref="P1:R1"/>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36" sqref="D36"/>
    </sheetView>
  </sheetViews>
  <sheetFormatPr defaultRowHeight="15.75" x14ac:dyDescent="0.25"/>
  <cols>
    <col min="1" max="1" width="6.625" style="11" customWidth="1"/>
    <col min="2" max="14" width="17.5" style="17" customWidth="1"/>
    <col min="15" max="16384" width="9" style="17"/>
  </cols>
  <sheetData>
    <row r="1" spans="1:14" s="2" customFormat="1" ht="41.25" customHeight="1" x14ac:dyDescent="0.25">
      <c r="A1" s="101" t="s">
        <v>3</v>
      </c>
      <c r="B1" s="101"/>
      <c r="C1" s="101"/>
    </row>
    <row r="2" spans="1:14" s="2" customFormat="1" ht="38.25" customHeight="1" x14ac:dyDescent="0.25">
      <c r="B2" s="2" t="s">
        <v>28</v>
      </c>
      <c r="C2" s="1" t="s">
        <v>42</v>
      </c>
      <c r="D2" s="6"/>
      <c r="M2" s="6"/>
      <c r="N2" s="6"/>
    </row>
    <row r="3" spans="1:14" x14ac:dyDescent="0.25">
      <c r="A3" s="11" t="str">
        <f>IF(ISBLANK(B3),"", MAX(A$2:A2)+1)</f>
        <v/>
      </c>
      <c r="C3" s="12"/>
      <c r="D3" s="12"/>
      <c r="E3" s="12"/>
      <c r="F3" s="12"/>
      <c r="G3" s="12"/>
      <c r="H3" s="12"/>
      <c r="I3" s="12"/>
      <c r="J3" s="12"/>
      <c r="K3" s="12"/>
      <c r="L3" s="12"/>
      <c r="M3" s="12"/>
      <c r="N3" s="12"/>
    </row>
    <row r="4" spans="1:14" x14ac:dyDescent="0.25">
      <c r="A4" s="11" t="str">
        <f>IF(ISBLANK(B4),"", MAX(A$2:A3)+1)</f>
        <v/>
      </c>
      <c r="C4" s="12"/>
      <c r="D4" s="12"/>
      <c r="E4" s="12"/>
      <c r="F4" s="12"/>
      <c r="G4" s="12"/>
      <c r="H4" s="12"/>
      <c r="I4" s="12"/>
      <c r="J4" s="12"/>
      <c r="K4" s="12"/>
      <c r="L4" s="12"/>
      <c r="M4" s="12"/>
      <c r="N4" s="12"/>
    </row>
    <row r="5" spans="1:14" x14ac:dyDescent="0.25">
      <c r="A5" s="11" t="str">
        <f>IF(ISBLANK(B5),"", MAX(A$2:A4)+1)</f>
        <v/>
      </c>
      <c r="C5" s="12"/>
      <c r="D5" s="12"/>
      <c r="E5" s="12"/>
      <c r="F5" s="12"/>
      <c r="G5" s="12"/>
      <c r="H5" s="12"/>
      <c r="I5" s="12"/>
      <c r="J5" s="12"/>
      <c r="K5" s="12"/>
      <c r="L5" s="12"/>
      <c r="M5" s="12"/>
      <c r="N5" s="12"/>
    </row>
    <row r="6" spans="1:14" x14ac:dyDescent="0.25">
      <c r="A6" s="11" t="str">
        <f>IF(ISBLANK(B6),"", MAX(A$2:A5)+1)</f>
        <v/>
      </c>
      <c r="C6" s="40"/>
      <c r="D6" s="12"/>
      <c r="E6" s="12"/>
      <c r="F6" s="12"/>
      <c r="G6" s="12"/>
      <c r="H6" s="12"/>
      <c r="I6" s="12"/>
      <c r="J6" s="12"/>
      <c r="K6" s="12"/>
      <c r="L6" s="12"/>
      <c r="M6" s="12"/>
      <c r="N6" s="12"/>
    </row>
    <row r="7" spans="1:14" x14ac:dyDescent="0.25">
      <c r="A7" s="11" t="str">
        <f>IF(ISBLANK(B7),"", MAX(A$2:A6)+1)</f>
        <v/>
      </c>
      <c r="C7" s="12"/>
      <c r="D7" s="12"/>
      <c r="E7" s="12"/>
      <c r="F7" s="12"/>
      <c r="G7" s="12"/>
      <c r="H7" s="12"/>
      <c r="I7" s="12"/>
      <c r="J7" s="12"/>
      <c r="K7" s="12"/>
      <c r="L7" s="12"/>
      <c r="M7" s="12"/>
      <c r="N7" s="12"/>
    </row>
    <row r="8" spans="1:14" x14ac:dyDescent="0.25">
      <c r="A8" s="11" t="str">
        <f>IF(ISBLANK(B8),"", MAX(A$2:A7)+1)</f>
        <v/>
      </c>
      <c r="C8" s="12"/>
      <c r="D8" s="12"/>
      <c r="E8" s="12"/>
      <c r="F8" s="12"/>
      <c r="G8" s="12"/>
      <c r="H8" s="12"/>
      <c r="I8" s="12"/>
      <c r="J8" s="12"/>
      <c r="K8" s="12"/>
      <c r="L8" s="12"/>
      <c r="M8" s="12"/>
      <c r="N8" s="12"/>
    </row>
    <row r="9" spans="1:14" x14ac:dyDescent="0.25">
      <c r="A9" s="11" t="str">
        <f>IF(ISBLANK(B9),"", MAX(A$2:A8)+1)</f>
        <v/>
      </c>
      <c r="C9" s="12"/>
      <c r="D9" s="12"/>
      <c r="E9" s="12"/>
      <c r="F9" s="12"/>
      <c r="G9" s="12"/>
      <c r="H9" s="12"/>
      <c r="I9" s="12"/>
      <c r="J9" s="12"/>
      <c r="K9" s="12"/>
      <c r="L9" s="12"/>
      <c r="M9" s="12"/>
      <c r="N9" s="12"/>
    </row>
    <row r="10" spans="1:14" x14ac:dyDescent="0.25">
      <c r="A10" s="11" t="str">
        <f>IF(ISBLANK(B10),"", MAX(A$2:A9)+1)</f>
        <v/>
      </c>
      <c r="C10" s="12"/>
      <c r="D10" s="12"/>
      <c r="E10" s="12"/>
      <c r="F10" s="12"/>
      <c r="G10" s="12"/>
      <c r="H10" s="12"/>
      <c r="I10" s="12"/>
      <c r="J10" s="12"/>
      <c r="K10" s="12"/>
      <c r="L10" s="12"/>
      <c r="M10" s="12"/>
      <c r="N10" s="12"/>
    </row>
    <row r="11" spans="1:14" x14ac:dyDescent="0.25">
      <c r="A11" s="11" t="str">
        <f>IF(ISBLANK(B11),"", MAX(A$2:A10)+1)</f>
        <v/>
      </c>
      <c r="C11" s="12"/>
      <c r="D11" s="12"/>
      <c r="E11" s="12"/>
      <c r="F11" s="12"/>
      <c r="G11" s="12"/>
      <c r="H11" s="12"/>
      <c r="I11" s="12"/>
      <c r="J11" s="12"/>
      <c r="K11" s="12"/>
      <c r="L11" s="12"/>
      <c r="M11" s="12"/>
      <c r="N11" s="12"/>
    </row>
    <row r="12" spans="1:14" x14ac:dyDescent="0.25">
      <c r="A12" s="11" t="str">
        <f>IF(ISBLANK(B12),"", MAX(A$2:A11)+1)</f>
        <v/>
      </c>
      <c r="C12" s="12"/>
      <c r="D12" s="12"/>
      <c r="E12" s="12"/>
      <c r="F12" s="12"/>
      <c r="G12" s="12"/>
      <c r="H12" s="12"/>
      <c r="I12" s="12"/>
      <c r="J12" s="12"/>
      <c r="K12" s="12"/>
      <c r="L12" s="12"/>
      <c r="M12" s="12"/>
      <c r="N12" s="12"/>
    </row>
    <row r="13" spans="1:14" x14ac:dyDescent="0.25">
      <c r="A13" s="11" t="str">
        <f>IF(ISBLANK(B13),"", MAX(A$2:A12)+1)</f>
        <v/>
      </c>
      <c r="C13" s="12"/>
      <c r="D13" s="12"/>
      <c r="E13" s="12"/>
      <c r="F13" s="12"/>
      <c r="G13" s="12"/>
      <c r="H13" s="12"/>
      <c r="I13" s="12"/>
      <c r="J13" s="12"/>
      <c r="K13" s="12"/>
      <c r="L13" s="12"/>
      <c r="M13" s="12"/>
      <c r="N13" s="12"/>
    </row>
    <row r="14" spans="1:14" x14ac:dyDescent="0.25">
      <c r="A14" s="11" t="str">
        <f>IF(ISBLANK(B14),"", MAX(A$2:A13)+1)</f>
        <v/>
      </c>
      <c r="C14" s="12"/>
      <c r="D14" s="12"/>
      <c r="E14" s="12"/>
      <c r="F14" s="12"/>
      <c r="G14" s="12"/>
      <c r="H14" s="12"/>
      <c r="I14" s="12"/>
      <c r="J14" s="12"/>
      <c r="K14" s="12"/>
      <c r="L14" s="12"/>
      <c r="M14" s="12"/>
      <c r="N14" s="12"/>
    </row>
    <row r="15" spans="1:14" x14ac:dyDescent="0.25">
      <c r="A15" s="11" t="str">
        <f>IF(ISBLANK(B15),"", MAX(A$2:A14)+1)</f>
        <v/>
      </c>
      <c r="C15" s="12"/>
      <c r="D15" s="12"/>
      <c r="E15" s="12"/>
      <c r="F15" s="12"/>
      <c r="G15" s="12"/>
      <c r="H15" s="12"/>
      <c r="I15" s="12"/>
      <c r="J15" s="12"/>
      <c r="K15" s="12"/>
      <c r="L15" s="12"/>
      <c r="M15" s="12"/>
      <c r="N15" s="12"/>
    </row>
    <row r="16" spans="1:14" x14ac:dyDescent="0.25">
      <c r="A16" s="11" t="str">
        <f>IF(ISBLANK(B16),"", MAX(A$2:A15)+1)</f>
        <v/>
      </c>
      <c r="B16" s="12"/>
      <c r="C16" s="12"/>
      <c r="D16" s="12"/>
      <c r="E16" s="12"/>
      <c r="F16" s="12"/>
      <c r="G16" s="12"/>
      <c r="H16" s="12"/>
      <c r="I16" s="12"/>
      <c r="J16" s="12"/>
      <c r="K16" s="12"/>
      <c r="L16" s="12"/>
      <c r="M16" s="12"/>
      <c r="N16" s="12"/>
    </row>
    <row r="17" spans="1:14" x14ac:dyDescent="0.25">
      <c r="A17" s="11" t="str">
        <f>IF(ISBLANK(B17),"", MAX(A$2:A16)+1)</f>
        <v/>
      </c>
      <c r="B17" s="12"/>
      <c r="C17" s="12"/>
      <c r="D17" s="12"/>
      <c r="E17" s="12"/>
      <c r="F17" s="12"/>
      <c r="G17" s="12"/>
      <c r="H17" s="12"/>
      <c r="I17" s="12"/>
      <c r="J17" s="12"/>
      <c r="K17" s="12"/>
      <c r="L17" s="12"/>
      <c r="M17" s="12"/>
      <c r="N17" s="12"/>
    </row>
    <row r="18" spans="1:14" x14ac:dyDescent="0.25">
      <c r="A18" s="11" t="str">
        <f>IF(ISBLANK(B18),"", MAX(A$2:A17)+1)</f>
        <v/>
      </c>
      <c r="B18" s="12"/>
      <c r="C18" s="12"/>
      <c r="D18" s="12"/>
      <c r="E18" s="12"/>
      <c r="F18" s="12"/>
      <c r="G18" s="12"/>
      <c r="H18" s="12"/>
      <c r="I18" s="12"/>
      <c r="J18" s="12"/>
      <c r="K18" s="12"/>
      <c r="L18" s="12"/>
      <c r="M18" s="12"/>
      <c r="N18" s="12"/>
    </row>
    <row r="19" spans="1:14" x14ac:dyDescent="0.25">
      <c r="A19" s="11" t="str">
        <f>IF(ISBLANK(B19),"", MAX(A$2:A18)+1)</f>
        <v/>
      </c>
      <c r="B19" s="12"/>
      <c r="C19" s="12"/>
      <c r="D19" s="12"/>
      <c r="E19" s="12"/>
      <c r="F19" s="12"/>
      <c r="G19" s="12"/>
      <c r="H19" s="12"/>
      <c r="I19" s="12"/>
      <c r="J19" s="12"/>
      <c r="K19" s="12"/>
      <c r="L19" s="12"/>
      <c r="M19" s="12"/>
      <c r="N19" s="12"/>
    </row>
    <row r="20" spans="1:14" x14ac:dyDescent="0.25">
      <c r="A20" s="11" t="str">
        <f>IF(ISBLANK(B20),"", MAX(A$2:A19)+1)</f>
        <v/>
      </c>
      <c r="B20" s="12"/>
      <c r="C20" s="12"/>
      <c r="D20" s="12"/>
      <c r="E20" s="12"/>
      <c r="F20" s="12"/>
      <c r="G20" s="12"/>
      <c r="H20" s="12"/>
      <c r="I20" s="12"/>
      <c r="J20" s="12"/>
      <c r="K20" s="12"/>
      <c r="L20" s="12"/>
      <c r="M20" s="12"/>
      <c r="N20" s="12"/>
    </row>
    <row r="21" spans="1:14" x14ac:dyDescent="0.25">
      <c r="A21" s="11" t="str">
        <f>IF(ISBLANK(B21),"", MAX(A$2:A20)+1)</f>
        <v/>
      </c>
      <c r="B21" s="12"/>
      <c r="C21" s="12"/>
      <c r="D21" s="12"/>
      <c r="E21" s="12"/>
      <c r="F21" s="12"/>
      <c r="G21" s="12"/>
      <c r="H21" s="12"/>
      <c r="I21" s="12"/>
      <c r="J21" s="12"/>
      <c r="K21" s="12"/>
      <c r="L21" s="12"/>
      <c r="M21" s="12"/>
      <c r="N21" s="12"/>
    </row>
    <row r="22" spans="1:14" x14ac:dyDescent="0.25">
      <c r="A22" s="11" t="str">
        <f>IF(ISBLANK(B22),"", MAX(A$2:A21)+1)</f>
        <v/>
      </c>
      <c r="B22" s="12"/>
      <c r="C22" s="12"/>
      <c r="D22" s="12"/>
      <c r="E22" s="12"/>
      <c r="F22" s="12"/>
      <c r="G22" s="12"/>
      <c r="H22" s="12"/>
      <c r="I22" s="12"/>
      <c r="J22" s="12"/>
      <c r="K22" s="12"/>
      <c r="L22" s="12"/>
      <c r="M22" s="12"/>
      <c r="N22" s="12"/>
    </row>
    <row r="23" spans="1:14" x14ac:dyDescent="0.25">
      <c r="A23" s="11" t="str">
        <f>IF(ISBLANK(B23),"", MAX(A$2:A22)+1)</f>
        <v/>
      </c>
      <c r="B23" s="12"/>
      <c r="C23" s="12"/>
      <c r="D23" s="12"/>
      <c r="E23" s="12"/>
      <c r="F23" s="12"/>
      <c r="G23" s="12"/>
      <c r="H23" s="12"/>
      <c r="I23" s="12"/>
      <c r="J23" s="12"/>
      <c r="K23" s="12"/>
      <c r="L23" s="12"/>
      <c r="M23" s="12"/>
      <c r="N23" s="12"/>
    </row>
    <row r="24" spans="1:14" x14ac:dyDescent="0.25">
      <c r="A24" s="11" t="str">
        <f>IF(ISBLANK(B24),"", MAX(A$2:A23)+1)</f>
        <v/>
      </c>
      <c r="B24" s="12"/>
      <c r="C24" s="12"/>
      <c r="D24" s="12"/>
      <c r="E24" s="12"/>
      <c r="F24" s="12"/>
      <c r="G24" s="12"/>
      <c r="H24" s="12"/>
      <c r="I24" s="12"/>
      <c r="J24" s="12"/>
      <c r="K24" s="12"/>
      <c r="L24" s="12"/>
      <c r="M24" s="12"/>
      <c r="N24" s="12"/>
    </row>
    <row r="25" spans="1:14" x14ac:dyDescent="0.25">
      <c r="A25" s="11" t="str">
        <f>IF(ISBLANK(B25),"", MAX(A$2:A24)+1)</f>
        <v/>
      </c>
      <c r="B25" s="12"/>
      <c r="C25" s="12"/>
      <c r="D25" s="12"/>
      <c r="E25" s="12"/>
      <c r="F25" s="12"/>
      <c r="G25" s="12"/>
      <c r="H25" s="12"/>
      <c r="I25" s="12"/>
      <c r="J25" s="12"/>
      <c r="K25" s="12"/>
      <c r="L25" s="12"/>
      <c r="M25" s="12"/>
      <c r="N25" s="12"/>
    </row>
    <row r="26" spans="1:14" x14ac:dyDescent="0.25">
      <c r="A26" s="11" t="str">
        <f>IF(ISBLANK(B26),"", MAX(A$2:A25)+1)</f>
        <v/>
      </c>
      <c r="B26" s="12"/>
      <c r="C26" s="12"/>
      <c r="D26" s="12"/>
      <c r="E26" s="12"/>
      <c r="F26" s="12"/>
      <c r="G26" s="12"/>
      <c r="H26" s="12"/>
      <c r="I26" s="12"/>
      <c r="J26" s="12"/>
      <c r="K26" s="12"/>
      <c r="L26" s="12"/>
      <c r="M26" s="12"/>
      <c r="N26" s="12"/>
    </row>
    <row r="27" spans="1:14" x14ac:dyDescent="0.25">
      <c r="A27" s="11" t="str">
        <f>IF(ISBLANK(B27),"", MAX(A$2:A26)+1)</f>
        <v/>
      </c>
      <c r="B27" s="12"/>
      <c r="C27" s="12"/>
      <c r="D27" s="12"/>
      <c r="E27" s="12"/>
      <c r="F27" s="12"/>
      <c r="G27" s="12"/>
      <c r="H27" s="12"/>
      <c r="I27" s="12"/>
      <c r="J27" s="12"/>
      <c r="K27" s="12"/>
      <c r="L27" s="12"/>
      <c r="M27" s="12"/>
      <c r="N27" s="12"/>
    </row>
    <row r="28" spans="1:14" x14ac:dyDescent="0.25">
      <c r="A28" s="11" t="str">
        <f>IF(ISBLANK(B28),"", MAX(A$2:A27)+1)</f>
        <v/>
      </c>
      <c r="B28" s="12"/>
      <c r="C28" s="12"/>
      <c r="D28" s="12"/>
      <c r="E28" s="12"/>
      <c r="F28" s="12"/>
      <c r="G28" s="12"/>
      <c r="H28" s="12"/>
      <c r="I28" s="12"/>
      <c r="J28" s="12"/>
      <c r="K28" s="12"/>
      <c r="L28" s="12"/>
      <c r="M28" s="12"/>
      <c r="N28" s="12"/>
    </row>
    <row r="29" spans="1:14" x14ac:dyDescent="0.25">
      <c r="A29" s="11" t="str">
        <f>IF(ISBLANK(B29),"", MAX(A$2:A28)+1)</f>
        <v/>
      </c>
      <c r="B29" s="12"/>
      <c r="C29" s="12"/>
      <c r="D29" s="12"/>
      <c r="E29" s="12"/>
      <c r="F29" s="12"/>
      <c r="G29" s="12"/>
      <c r="H29" s="12"/>
      <c r="I29" s="12"/>
      <c r="J29" s="12"/>
      <c r="K29" s="12"/>
      <c r="L29" s="12"/>
      <c r="M29" s="12"/>
      <c r="N29" s="12"/>
    </row>
    <row r="30" spans="1:14" x14ac:dyDescent="0.25">
      <c r="A30" s="11" t="str">
        <f>IF(ISBLANK(B30),"", MAX(A$2:A29)+1)</f>
        <v/>
      </c>
      <c r="B30" s="12"/>
      <c r="C30" s="12"/>
      <c r="D30" s="12"/>
      <c r="E30" s="12"/>
      <c r="F30" s="12"/>
      <c r="G30" s="12"/>
      <c r="H30" s="12"/>
      <c r="I30" s="12"/>
      <c r="J30" s="12"/>
      <c r="K30" s="12"/>
      <c r="L30" s="12"/>
      <c r="M30" s="12"/>
      <c r="N30" s="12"/>
    </row>
    <row r="31" spans="1:14" x14ac:dyDescent="0.25">
      <c r="A31" s="11" t="str">
        <f>IF(ISBLANK(B31),"", MAX(A$2:A30)+1)</f>
        <v/>
      </c>
      <c r="B31" s="12"/>
      <c r="C31" s="12"/>
      <c r="D31" s="12"/>
      <c r="E31" s="12"/>
      <c r="F31" s="12"/>
      <c r="G31" s="12"/>
      <c r="H31" s="12"/>
      <c r="I31" s="12"/>
      <c r="J31" s="12"/>
      <c r="K31" s="12"/>
      <c r="L31" s="12"/>
      <c r="M31" s="12"/>
      <c r="N31" s="12"/>
    </row>
    <row r="32" spans="1:14" x14ac:dyDescent="0.25">
      <c r="A32" s="11" t="str">
        <f>IF(ISBLANK(B32),"", MAX(A$2:A31)+1)</f>
        <v/>
      </c>
      <c r="B32" s="12"/>
      <c r="C32" s="12"/>
      <c r="D32" s="12"/>
      <c r="E32" s="12"/>
      <c r="F32" s="12"/>
      <c r="G32" s="12"/>
      <c r="H32" s="12"/>
      <c r="I32" s="12"/>
      <c r="J32" s="12"/>
      <c r="K32" s="12"/>
      <c r="L32" s="12"/>
      <c r="M32" s="12"/>
      <c r="N32" s="12"/>
    </row>
    <row r="33" spans="1:14" x14ac:dyDescent="0.25">
      <c r="A33" s="11" t="str">
        <f>IF(ISBLANK(B33),"", MAX(A$2:A32)+1)</f>
        <v/>
      </c>
      <c r="B33" s="12"/>
      <c r="C33" s="12"/>
      <c r="D33" s="12"/>
      <c r="E33" s="12"/>
      <c r="F33" s="12"/>
      <c r="G33" s="12"/>
      <c r="H33" s="12"/>
      <c r="I33" s="12"/>
      <c r="J33" s="12"/>
      <c r="K33" s="12"/>
      <c r="L33" s="12"/>
      <c r="M33" s="12"/>
      <c r="N33" s="12"/>
    </row>
    <row r="34" spans="1:14" x14ac:dyDescent="0.25">
      <c r="A34" s="11" t="str">
        <f>IF(ISBLANK(B34),"", MAX(A$2:A33)+1)</f>
        <v/>
      </c>
      <c r="B34" s="12"/>
      <c r="C34" s="12"/>
      <c r="D34" s="12"/>
      <c r="E34" s="12"/>
      <c r="F34" s="12"/>
      <c r="G34" s="12"/>
      <c r="H34" s="12"/>
      <c r="I34" s="12"/>
      <c r="J34" s="12"/>
      <c r="K34" s="12"/>
      <c r="L34" s="12"/>
      <c r="M34" s="12"/>
      <c r="N34" s="12"/>
    </row>
    <row r="35" spans="1:14" x14ac:dyDescent="0.25">
      <c r="A35" s="11" t="str">
        <f>IF(ISBLANK(B35),"", MAX(A$2:A34)+1)</f>
        <v/>
      </c>
      <c r="B35" s="12"/>
      <c r="C35" s="12"/>
      <c r="D35" s="12"/>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row r="102" spans="1:14" x14ac:dyDescent="0.25">
      <c r="A102" s="11"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Z105"/>
  <sheetViews>
    <sheetView zoomScale="85" zoomScaleNormal="85" workbookViewId="0">
      <selection activeCell="D11" sqref="D11"/>
    </sheetView>
  </sheetViews>
  <sheetFormatPr defaultRowHeight="15.75" x14ac:dyDescent="0.25"/>
  <cols>
    <col min="1" max="1" width="6.625" style="39" customWidth="1"/>
    <col min="2" max="2" width="17.625" style="37" customWidth="1"/>
    <col min="3" max="3" width="15" style="38" customWidth="1"/>
    <col min="4" max="4" width="14.625" style="64" customWidth="1"/>
    <col min="5" max="5" width="12.75" style="37" customWidth="1"/>
    <col min="6" max="6" width="18.75" style="37" customWidth="1"/>
    <col min="7" max="7" width="11.375" style="37" customWidth="1"/>
    <col min="8" max="8" width="12.25" style="37" customWidth="1"/>
    <col min="9" max="9" width="15.375" style="65" customWidth="1"/>
    <col min="10" max="10" width="12.25" style="37" customWidth="1"/>
    <col min="11" max="11" width="15.625" style="37" customWidth="1"/>
    <col min="12" max="12" width="14.25" style="37" customWidth="1"/>
    <col min="13" max="13" width="14.625" style="38" customWidth="1"/>
    <col min="14" max="14" width="13.5" style="37" customWidth="1"/>
    <col min="15" max="15" width="15.5" style="37" customWidth="1"/>
    <col min="16" max="16" width="16.875" style="37" customWidth="1"/>
    <col min="17" max="17" width="14.5" style="38" customWidth="1"/>
    <col min="18" max="18" width="15.75" style="37" bestFit="1" customWidth="1"/>
    <col min="19" max="19" width="17.5" style="37" customWidth="1"/>
    <col min="20" max="20" width="18.5" style="37" customWidth="1"/>
    <col min="21" max="21" width="61.25" style="62" customWidth="1"/>
    <col min="22" max="22" width="107.5" style="62" customWidth="1"/>
    <col min="23" max="23" width="16.75" style="98" customWidth="1"/>
    <col min="24" max="24" width="5" style="37" customWidth="1"/>
    <col min="25" max="25" width="4.75" style="37" customWidth="1"/>
    <col min="26" max="26" width="11.5" style="37" customWidth="1"/>
    <col min="27" max="27" width="9" style="37"/>
    <col min="28" max="29" width="15.375" style="37" customWidth="1"/>
    <col min="30" max="30" width="12.125" style="37" customWidth="1"/>
    <col min="31" max="31" width="12.375" style="37" customWidth="1"/>
    <col min="32" max="32" width="15.375" style="37" customWidth="1"/>
    <col min="33" max="33" width="16.875" style="37" customWidth="1"/>
    <col min="34" max="34" width="15.375" style="37" customWidth="1"/>
    <col min="35" max="35" width="11" style="37" customWidth="1"/>
    <col min="36" max="36" width="15.375" style="37" customWidth="1"/>
    <col min="37" max="37" width="11.125" style="37" customWidth="1"/>
    <col min="38" max="38" width="14" style="37" customWidth="1"/>
    <col min="39" max="39" width="10.5" style="37" customWidth="1"/>
    <col min="40" max="41" width="15.375" style="37" customWidth="1"/>
    <col min="42" max="42" width="13.25" style="37" customWidth="1"/>
    <col min="43" max="45" width="15.375" style="37" customWidth="1"/>
    <col min="46" max="16384" width="9" style="37"/>
  </cols>
  <sheetData>
    <row r="1" spans="1:702" s="24" customFormat="1" ht="41.25" customHeight="1" x14ac:dyDescent="0.25">
      <c r="A1" s="102" t="s">
        <v>146</v>
      </c>
      <c r="B1" s="102"/>
      <c r="C1" s="102"/>
      <c r="D1" s="88"/>
      <c r="F1" s="23"/>
      <c r="G1" s="23"/>
      <c r="I1" s="59"/>
      <c r="K1" s="23"/>
      <c r="M1" s="28"/>
      <c r="Q1" s="28"/>
      <c r="T1" s="102" t="s">
        <v>99</v>
      </c>
      <c r="U1" s="102"/>
      <c r="V1" s="60"/>
      <c r="W1" s="96"/>
      <c r="AA1" s="60" t="s">
        <v>149</v>
      </c>
      <c r="AB1" s="60"/>
    </row>
    <row r="2" spans="1:702" s="24" customFormat="1" ht="38.25" customHeight="1" x14ac:dyDescent="0.25">
      <c r="B2" s="24" t="str">
        <f>_xll.OpenApiSubscribe("/openapi/port/v1/orders/subscriptions/active","ClientKey:"&amp;_xll.OpenApiGetClientKey(),"DisplayAndFormat,ExchangeInfo",CONCATENATE("OrderId,DisplayAndFormat.Symbol,OrderTime,BuySell,OpenOrderType,Price,Amount,FilledAmount,DisplayAndFormat.Currency,Exchange.ExchangeId,AssetType,ExpiryDate,Status,Duration.DurationType,Duration",".ExpirationDate,StopLimitPrice"))</f>
        <v>OrderId</v>
      </c>
      <c r="C2" s="28" t="s">
        <v>28</v>
      </c>
      <c r="D2" s="61" t="s">
        <v>115</v>
      </c>
      <c r="E2" s="24" t="s">
        <v>116</v>
      </c>
      <c r="F2" s="24" t="s">
        <v>117</v>
      </c>
      <c r="G2" s="24" t="s">
        <v>118</v>
      </c>
      <c r="H2" s="24" t="s">
        <v>113</v>
      </c>
      <c r="I2" s="59" t="s">
        <v>119</v>
      </c>
      <c r="J2" s="29" t="s">
        <v>63</v>
      </c>
      <c r="K2" s="24" t="s">
        <v>120</v>
      </c>
      <c r="L2" s="24" t="s">
        <v>121</v>
      </c>
      <c r="M2" s="28" t="s">
        <v>122</v>
      </c>
      <c r="N2" s="24" t="s">
        <v>123</v>
      </c>
      <c r="O2" s="24" t="s">
        <v>124</v>
      </c>
      <c r="P2" s="24" t="s">
        <v>125</v>
      </c>
      <c r="Q2" s="28" t="s">
        <v>126</v>
      </c>
      <c r="R2" s="29"/>
      <c r="S2" s="29"/>
      <c r="T2" s="24" t="s">
        <v>100</v>
      </c>
      <c r="U2" s="24" t="s">
        <v>97</v>
      </c>
      <c r="V2" s="24" t="s">
        <v>98</v>
      </c>
      <c r="W2" s="96" t="s">
        <v>101</v>
      </c>
      <c r="AA2" s="17"/>
      <c r="AB2" s="24" t="s">
        <v>100</v>
      </c>
      <c r="AC2" s="24" t="s">
        <v>150</v>
      </c>
      <c r="AD2" s="24" t="s">
        <v>151</v>
      </c>
      <c r="AE2" s="24" t="s">
        <v>118</v>
      </c>
      <c r="AF2" s="24" t="s">
        <v>152</v>
      </c>
      <c r="AG2" s="24" t="s">
        <v>153</v>
      </c>
      <c r="AH2" s="24" t="s">
        <v>154</v>
      </c>
      <c r="AI2" s="24" t="s">
        <v>155</v>
      </c>
      <c r="AJ2" s="24" t="s">
        <v>156</v>
      </c>
      <c r="AK2" s="24" t="s">
        <v>157</v>
      </c>
      <c r="AL2" s="24" t="s">
        <v>158</v>
      </c>
      <c r="AM2" s="24" t="s">
        <v>159</v>
      </c>
      <c r="AN2" s="24" t="s">
        <v>160</v>
      </c>
      <c r="AO2" s="24" t="s">
        <v>161</v>
      </c>
      <c r="AP2" s="24" t="s">
        <v>162</v>
      </c>
      <c r="AQ2" s="24" t="s">
        <v>163</v>
      </c>
      <c r="AR2" s="24" t="s">
        <v>164</v>
      </c>
      <c r="AS2" s="24" t="s">
        <v>165</v>
      </c>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7"/>
      <c r="EA2" s="17"/>
      <c r="EB2" s="17"/>
      <c r="EC2" s="17"/>
      <c r="ED2" s="17"/>
      <c r="EE2" s="17"/>
      <c r="EF2" s="17"/>
      <c r="EG2" s="17"/>
      <c r="EH2" s="17"/>
      <c r="EI2" s="17"/>
      <c r="EJ2" s="17"/>
      <c r="EK2" s="17"/>
      <c r="EL2" s="17"/>
      <c r="EM2" s="17"/>
      <c r="EN2" s="17"/>
      <c r="EO2" s="17"/>
      <c r="EP2" s="17"/>
      <c r="EQ2" s="17"/>
      <c r="ER2" s="17"/>
      <c r="ES2" s="17"/>
      <c r="ET2" s="17"/>
      <c r="EU2" s="17"/>
      <c r="EV2" s="17"/>
      <c r="EW2" s="17"/>
      <c r="EX2" s="17"/>
      <c r="EY2" s="17"/>
      <c r="EZ2" s="17"/>
      <c r="FA2" s="17"/>
      <c r="FB2" s="17"/>
      <c r="FC2" s="17"/>
      <c r="FD2" s="17"/>
      <c r="FE2" s="17"/>
      <c r="FF2" s="17"/>
      <c r="FG2" s="17"/>
      <c r="FH2" s="17"/>
      <c r="FI2" s="17"/>
      <c r="FJ2" s="17"/>
      <c r="FK2" s="17"/>
      <c r="FL2" s="17"/>
      <c r="FM2" s="17"/>
      <c r="FN2" s="17"/>
      <c r="FO2" s="17"/>
      <c r="FP2" s="17"/>
      <c r="FQ2" s="17"/>
      <c r="FR2" s="17"/>
      <c r="FS2" s="17"/>
      <c r="FT2" s="17"/>
      <c r="FU2" s="17"/>
      <c r="FV2" s="17"/>
      <c r="FW2" s="17"/>
      <c r="FX2" s="17"/>
      <c r="FY2" s="17"/>
      <c r="FZ2" s="17"/>
      <c r="GA2" s="17"/>
      <c r="GB2" s="17"/>
      <c r="GC2" s="17"/>
      <c r="GD2" s="17"/>
      <c r="GE2" s="17"/>
      <c r="GF2" s="17"/>
      <c r="GG2" s="17"/>
      <c r="GH2" s="17"/>
      <c r="GI2" s="17"/>
      <c r="GJ2" s="17"/>
      <c r="GK2" s="17"/>
      <c r="GL2" s="17"/>
      <c r="GM2" s="17"/>
      <c r="GN2" s="17"/>
      <c r="GO2" s="17"/>
      <c r="GP2" s="17"/>
      <c r="GQ2" s="17"/>
      <c r="GR2" s="17"/>
      <c r="GS2" s="17"/>
      <c r="GT2" s="17"/>
      <c r="GU2" s="17"/>
      <c r="GV2" s="17"/>
      <c r="GW2" s="17"/>
      <c r="GX2" s="17"/>
      <c r="GY2" s="17"/>
      <c r="GZ2" s="17"/>
      <c r="HA2" s="17"/>
      <c r="HB2" s="17"/>
      <c r="HC2" s="17"/>
      <c r="HD2" s="17"/>
      <c r="HE2" s="17"/>
      <c r="HF2" s="17"/>
      <c r="HG2" s="17"/>
      <c r="HH2" s="17"/>
      <c r="HI2" s="17"/>
      <c r="HJ2" s="17"/>
      <c r="HK2" s="17"/>
      <c r="HL2" s="17"/>
      <c r="HM2" s="17"/>
      <c r="HN2" s="17"/>
      <c r="HO2" s="17"/>
      <c r="HP2" s="17"/>
      <c r="HQ2" s="17"/>
      <c r="HR2" s="17"/>
      <c r="HS2" s="17"/>
      <c r="HT2" s="17"/>
      <c r="HU2" s="17"/>
      <c r="HV2" s="17"/>
      <c r="HW2" s="17"/>
      <c r="HX2" s="17"/>
      <c r="HY2" s="17"/>
      <c r="HZ2" s="17"/>
      <c r="IA2" s="17"/>
      <c r="IB2" s="17"/>
      <c r="IC2" s="17"/>
      <c r="ID2" s="17"/>
      <c r="IE2" s="17"/>
      <c r="IF2" s="17"/>
      <c r="IG2" s="17"/>
      <c r="IH2" s="17"/>
      <c r="II2" s="17"/>
      <c r="IJ2" s="17"/>
      <c r="IK2" s="17"/>
      <c r="IL2" s="17"/>
      <c r="IM2" s="17"/>
      <c r="IN2" s="17"/>
      <c r="IO2" s="17"/>
      <c r="IP2" s="17"/>
      <c r="IQ2" s="17"/>
      <c r="IR2" s="17"/>
      <c r="IS2" s="17"/>
      <c r="IT2" s="17"/>
      <c r="IU2" s="17"/>
      <c r="IV2" s="17"/>
      <c r="IW2" s="17"/>
      <c r="IX2" s="17"/>
      <c r="IY2" s="17"/>
      <c r="IZ2" s="17"/>
      <c r="JA2" s="17"/>
      <c r="JB2" s="17"/>
      <c r="JC2" s="17"/>
      <c r="JD2" s="17"/>
      <c r="JE2" s="17"/>
      <c r="JF2" s="17"/>
      <c r="JG2" s="17"/>
      <c r="JH2" s="17"/>
      <c r="JI2" s="17"/>
      <c r="JJ2" s="17"/>
      <c r="JK2" s="17"/>
      <c r="JL2" s="17"/>
      <c r="JM2" s="17"/>
      <c r="JN2" s="17"/>
      <c r="JO2" s="17"/>
      <c r="JP2" s="17"/>
      <c r="JQ2" s="17"/>
      <c r="JR2" s="17"/>
      <c r="JS2" s="17"/>
      <c r="JT2" s="17"/>
      <c r="JU2" s="17"/>
      <c r="JV2" s="17"/>
      <c r="JW2" s="17"/>
      <c r="JX2" s="17"/>
      <c r="JY2" s="17"/>
      <c r="JZ2" s="17"/>
      <c r="KA2" s="17"/>
      <c r="KB2" s="17"/>
      <c r="KC2" s="17"/>
      <c r="KD2" s="17"/>
      <c r="KE2" s="17"/>
      <c r="KF2" s="17"/>
      <c r="KG2" s="17"/>
      <c r="KH2" s="17"/>
      <c r="KI2" s="17"/>
      <c r="KJ2" s="17"/>
      <c r="KK2" s="17"/>
      <c r="KL2" s="17"/>
      <c r="KM2" s="17"/>
      <c r="KN2" s="17"/>
      <c r="KO2" s="17"/>
      <c r="KP2" s="17"/>
      <c r="KQ2" s="17"/>
      <c r="KR2" s="17"/>
      <c r="KS2" s="17"/>
      <c r="KT2" s="17"/>
      <c r="KU2" s="17"/>
      <c r="KV2" s="17"/>
      <c r="KW2" s="17"/>
      <c r="KX2" s="17"/>
      <c r="KY2" s="17"/>
      <c r="KZ2" s="17"/>
      <c r="LA2" s="17"/>
      <c r="LB2" s="17"/>
      <c r="LC2" s="17"/>
      <c r="LD2" s="17"/>
      <c r="LE2" s="17"/>
      <c r="LF2" s="17"/>
      <c r="LG2" s="17"/>
      <c r="LH2" s="17"/>
      <c r="LI2" s="17"/>
      <c r="LJ2" s="17"/>
      <c r="LK2" s="17"/>
      <c r="LL2" s="17"/>
      <c r="LM2" s="17"/>
      <c r="LN2" s="17"/>
      <c r="LO2" s="17"/>
      <c r="LP2" s="17"/>
      <c r="LQ2" s="17"/>
      <c r="LR2" s="17"/>
      <c r="LS2" s="17"/>
      <c r="LT2" s="17"/>
      <c r="LU2" s="17"/>
      <c r="LV2" s="17"/>
      <c r="LW2" s="17"/>
      <c r="LX2" s="17"/>
      <c r="LY2" s="17"/>
      <c r="LZ2" s="17"/>
      <c r="MA2" s="17"/>
      <c r="MB2" s="17"/>
      <c r="MC2" s="17"/>
      <c r="MD2" s="17"/>
      <c r="ME2" s="17"/>
      <c r="MF2" s="17"/>
      <c r="MG2" s="17"/>
      <c r="MH2" s="17"/>
      <c r="MI2" s="17"/>
      <c r="MJ2" s="17"/>
      <c r="MK2" s="17"/>
      <c r="ML2" s="17"/>
      <c r="MM2" s="17"/>
      <c r="MN2" s="17"/>
      <c r="MO2" s="17"/>
      <c r="MP2" s="17"/>
      <c r="MQ2" s="17"/>
      <c r="MR2" s="17"/>
      <c r="MS2" s="17"/>
      <c r="MT2" s="17"/>
      <c r="MU2" s="17"/>
      <c r="MV2" s="17"/>
      <c r="MW2" s="17"/>
      <c r="MX2" s="17"/>
      <c r="MY2" s="17"/>
      <c r="MZ2" s="17"/>
      <c r="NA2" s="17"/>
      <c r="NB2" s="17"/>
      <c r="NC2" s="17"/>
      <c r="ND2" s="17"/>
      <c r="NE2" s="17"/>
      <c r="NF2" s="17"/>
      <c r="NG2" s="17"/>
      <c r="NH2" s="17"/>
      <c r="NI2" s="17"/>
      <c r="NJ2" s="17"/>
      <c r="NK2" s="17"/>
      <c r="NL2" s="17"/>
      <c r="NM2" s="17"/>
      <c r="NN2" s="17"/>
      <c r="NO2" s="17"/>
      <c r="NP2" s="17"/>
      <c r="NQ2" s="17"/>
      <c r="NR2" s="17"/>
      <c r="NS2" s="17"/>
      <c r="NT2" s="17"/>
      <c r="NU2" s="17"/>
      <c r="NV2" s="17"/>
      <c r="NW2" s="17"/>
      <c r="NX2" s="17"/>
      <c r="NY2" s="17"/>
      <c r="NZ2" s="17"/>
      <c r="OA2" s="17"/>
      <c r="OB2" s="17"/>
      <c r="OC2" s="17"/>
      <c r="OD2" s="17"/>
      <c r="OE2" s="17"/>
      <c r="OF2" s="17"/>
      <c r="OG2" s="17"/>
      <c r="OH2" s="17"/>
      <c r="OI2" s="17"/>
      <c r="OJ2" s="17"/>
      <c r="OK2" s="17"/>
      <c r="OL2" s="17"/>
      <c r="OM2" s="17"/>
      <c r="ON2" s="17"/>
      <c r="OO2" s="17"/>
      <c r="OP2" s="17"/>
      <c r="OQ2" s="17"/>
      <c r="OR2" s="17"/>
      <c r="OS2" s="17"/>
      <c r="OT2" s="17"/>
      <c r="OU2" s="17"/>
      <c r="OV2" s="17"/>
      <c r="OW2" s="17"/>
      <c r="OX2" s="17"/>
      <c r="OY2" s="17"/>
      <c r="OZ2" s="17"/>
      <c r="PA2" s="17"/>
      <c r="PB2" s="17"/>
      <c r="PC2" s="17"/>
      <c r="PD2" s="17"/>
      <c r="PE2" s="17"/>
      <c r="PF2" s="17"/>
      <c r="PG2" s="17"/>
      <c r="PH2" s="17"/>
      <c r="PI2" s="17"/>
      <c r="PJ2" s="17"/>
      <c r="PK2" s="17"/>
      <c r="PL2" s="17"/>
      <c r="PM2" s="17"/>
      <c r="PN2" s="17"/>
      <c r="PO2" s="17"/>
      <c r="PP2" s="17"/>
      <c r="PQ2" s="17"/>
      <c r="PR2" s="17"/>
      <c r="PS2" s="17"/>
      <c r="PT2" s="17"/>
      <c r="PU2" s="17"/>
      <c r="PV2" s="17"/>
      <c r="PW2" s="17"/>
      <c r="PX2" s="17"/>
      <c r="PY2" s="17"/>
      <c r="PZ2" s="17"/>
      <c r="QA2" s="17"/>
      <c r="QB2" s="17"/>
      <c r="QC2" s="17"/>
      <c r="QD2" s="17"/>
      <c r="QE2" s="17"/>
      <c r="QF2" s="17"/>
      <c r="QG2" s="17"/>
      <c r="QH2" s="17"/>
      <c r="QI2" s="17"/>
      <c r="QJ2" s="17"/>
      <c r="QK2" s="17"/>
      <c r="QL2" s="17"/>
      <c r="QM2" s="17"/>
      <c r="QN2" s="17"/>
      <c r="QO2" s="17"/>
      <c r="QP2" s="17"/>
      <c r="QQ2" s="17"/>
      <c r="QR2" s="17"/>
      <c r="QS2" s="17"/>
      <c r="QT2" s="17"/>
      <c r="QU2" s="17"/>
      <c r="QV2" s="17"/>
      <c r="QW2" s="17"/>
      <c r="QX2" s="17"/>
      <c r="QY2" s="17"/>
      <c r="QZ2" s="17"/>
      <c r="RA2" s="17"/>
      <c r="RB2" s="17"/>
      <c r="RC2" s="17"/>
      <c r="RD2" s="17"/>
      <c r="RE2" s="17"/>
      <c r="RF2" s="17"/>
      <c r="RG2" s="17"/>
      <c r="RH2" s="17"/>
      <c r="RI2" s="17"/>
      <c r="RJ2" s="17"/>
      <c r="RK2" s="17"/>
      <c r="RL2" s="17"/>
      <c r="RM2" s="17"/>
      <c r="RN2" s="17"/>
      <c r="RO2" s="17"/>
      <c r="RP2" s="17"/>
      <c r="RQ2" s="17"/>
      <c r="RR2" s="17"/>
      <c r="RS2" s="17"/>
      <c r="RT2" s="17"/>
      <c r="RU2" s="17"/>
      <c r="RV2" s="17"/>
      <c r="RW2" s="17"/>
      <c r="RX2" s="17"/>
      <c r="RY2" s="17"/>
      <c r="RZ2" s="17"/>
      <c r="SA2" s="17"/>
      <c r="SB2" s="17"/>
      <c r="SC2" s="17"/>
      <c r="SD2" s="17"/>
      <c r="SE2" s="17"/>
      <c r="SF2" s="17"/>
      <c r="SG2" s="17"/>
      <c r="SH2" s="17"/>
      <c r="SI2" s="17"/>
      <c r="SJ2" s="17"/>
      <c r="SK2" s="17"/>
      <c r="SL2" s="17"/>
      <c r="SM2" s="17"/>
      <c r="SN2" s="17"/>
      <c r="SO2" s="17"/>
      <c r="SP2" s="17"/>
      <c r="SQ2" s="17"/>
      <c r="SR2" s="17"/>
      <c r="SS2" s="17"/>
      <c r="ST2" s="17"/>
      <c r="SU2" s="17"/>
      <c r="SV2" s="17"/>
      <c r="SW2" s="17"/>
      <c r="SX2" s="17"/>
      <c r="SY2" s="17"/>
      <c r="SZ2" s="17"/>
      <c r="TA2" s="17"/>
      <c r="TB2" s="17"/>
      <c r="TC2" s="17"/>
      <c r="TD2" s="17"/>
      <c r="TE2" s="17"/>
      <c r="TF2" s="17"/>
      <c r="TG2" s="17"/>
      <c r="TH2" s="17"/>
      <c r="TI2" s="17"/>
      <c r="TJ2" s="17"/>
      <c r="TK2" s="17"/>
      <c r="TL2" s="17"/>
      <c r="TM2" s="17"/>
      <c r="TN2" s="17"/>
      <c r="TO2" s="17"/>
      <c r="TP2" s="17"/>
      <c r="TQ2" s="17"/>
      <c r="TR2" s="17"/>
      <c r="TS2" s="17"/>
      <c r="TT2" s="17"/>
      <c r="TU2" s="17"/>
      <c r="TV2" s="17"/>
      <c r="TW2" s="17"/>
      <c r="TX2" s="17"/>
      <c r="TY2" s="17"/>
      <c r="TZ2" s="17"/>
      <c r="UA2" s="17"/>
      <c r="UB2" s="17"/>
      <c r="UC2" s="17"/>
      <c r="UD2" s="17"/>
      <c r="UE2" s="17"/>
      <c r="UF2" s="17"/>
      <c r="UG2" s="17"/>
      <c r="UH2" s="17"/>
      <c r="UI2" s="17"/>
      <c r="UJ2" s="17"/>
      <c r="UK2" s="17"/>
      <c r="UL2" s="17"/>
      <c r="UM2" s="17"/>
      <c r="UN2" s="17"/>
      <c r="UO2" s="17"/>
      <c r="UP2" s="17"/>
      <c r="UQ2" s="17"/>
      <c r="UR2" s="17"/>
      <c r="US2" s="17"/>
      <c r="UT2" s="17"/>
      <c r="UU2" s="17"/>
      <c r="UV2" s="17"/>
      <c r="UW2" s="17"/>
      <c r="UX2" s="17"/>
      <c r="UY2" s="17"/>
      <c r="UZ2" s="17"/>
      <c r="VA2" s="17"/>
      <c r="VB2" s="17"/>
      <c r="VC2" s="17"/>
      <c r="VD2" s="17"/>
      <c r="VE2" s="17"/>
      <c r="VF2" s="17"/>
      <c r="VG2" s="17"/>
      <c r="VH2" s="17"/>
      <c r="VI2" s="17"/>
      <c r="VJ2" s="17"/>
      <c r="VK2" s="17"/>
      <c r="VL2" s="17"/>
      <c r="VM2" s="17"/>
      <c r="VN2" s="17"/>
      <c r="VO2" s="17"/>
      <c r="VP2" s="17"/>
      <c r="VQ2" s="17"/>
      <c r="VR2" s="17"/>
      <c r="VS2" s="17"/>
      <c r="VT2" s="17"/>
      <c r="VU2" s="17"/>
      <c r="VV2" s="17"/>
      <c r="VW2" s="17"/>
      <c r="VX2" s="17"/>
      <c r="VY2" s="17"/>
      <c r="VZ2" s="17"/>
      <c r="WA2" s="17"/>
      <c r="WB2" s="17"/>
      <c r="WC2" s="17"/>
      <c r="WD2" s="17"/>
      <c r="WE2" s="17"/>
      <c r="WF2" s="17"/>
      <c r="WG2" s="17"/>
      <c r="WH2" s="17"/>
      <c r="WI2" s="17"/>
      <c r="WJ2" s="17"/>
      <c r="WK2" s="17"/>
      <c r="WL2" s="17"/>
      <c r="WM2" s="17"/>
      <c r="WN2" s="17"/>
      <c r="WO2" s="17"/>
      <c r="WP2" s="17"/>
      <c r="WQ2" s="17"/>
      <c r="WR2" s="17"/>
      <c r="WS2" s="17"/>
      <c r="WT2" s="17"/>
      <c r="WU2" s="17"/>
      <c r="WV2" s="17"/>
      <c r="WW2" s="17"/>
      <c r="WX2" s="17"/>
      <c r="WY2" s="17"/>
      <c r="WZ2" s="17"/>
      <c r="XA2" s="17"/>
      <c r="XB2" s="17"/>
      <c r="XC2" s="17"/>
      <c r="XD2" s="17"/>
      <c r="XE2" s="17"/>
      <c r="XF2" s="17"/>
      <c r="XG2" s="17"/>
      <c r="XH2" s="17"/>
      <c r="XI2" s="17"/>
      <c r="XJ2" s="17"/>
      <c r="XK2" s="17"/>
      <c r="XL2" s="17"/>
      <c r="XM2" s="17"/>
      <c r="XN2" s="17"/>
      <c r="XO2" s="17"/>
      <c r="XP2" s="17"/>
      <c r="XQ2" s="17"/>
      <c r="XR2" s="17"/>
      <c r="XS2" s="17"/>
      <c r="XT2" s="17"/>
      <c r="XU2" s="17"/>
      <c r="XV2" s="17"/>
      <c r="XW2" s="17"/>
      <c r="XX2" s="17"/>
      <c r="XY2" s="17"/>
      <c r="XZ2" s="17"/>
      <c r="YA2" s="17"/>
      <c r="YB2" s="17"/>
      <c r="YC2" s="17"/>
      <c r="YD2" s="17"/>
      <c r="YE2" s="17"/>
      <c r="YF2" s="17"/>
      <c r="YG2" s="17"/>
      <c r="YH2" s="17"/>
      <c r="YI2" s="17"/>
      <c r="YJ2" s="17"/>
      <c r="YK2" s="17"/>
      <c r="YL2" s="17"/>
      <c r="YM2" s="17"/>
      <c r="YN2" s="17"/>
      <c r="YO2" s="17"/>
      <c r="YP2" s="17"/>
      <c r="YQ2" s="17"/>
      <c r="YR2" s="17"/>
      <c r="YS2" s="17"/>
      <c r="YT2" s="17"/>
      <c r="YU2" s="17"/>
      <c r="YV2" s="17"/>
      <c r="YW2" s="17"/>
      <c r="YX2" s="17"/>
      <c r="YY2" s="17"/>
      <c r="YZ2" s="17"/>
      <c r="ZA2" s="17"/>
      <c r="ZB2" s="17"/>
      <c r="ZC2" s="17"/>
      <c r="ZD2" s="17"/>
      <c r="ZE2" s="17"/>
      <c r="ZF2" s="17"/>
      <c r="ZG2" s="17"/>
      <c r="ZH2" s="17"/>
      <c r="ZI2" s="17"/>
      <c r="ZJ2" s="17"/>
      <c r="ZK2" s="17"/>
      <c r="ZL2" s="17"/>
      <c r="ZM2" s="17"/>
      <c r="ZN2" s="17"/>
      <c r="ZO2" s="17"/>
      <c r="ZP2" s="17"/>
      <c r="ZQ2" s="17"/>
      <c r="ZR2" s="17"/>
      <c r="ZS2" s="17"/>
      <c r="ZT2" s="17"/>
      <c r="ZU2" s="17"/>
      <c r="ZV2" s="17"/>
      <c r="ZW2" s="17"/>
      <c r="ZX2" s="17"/>
      <c r="ZY2" s="17"/>
      <c r="ZZ2" s="17"/>
    </row>
    <row r="3" spans="1:702" s="33" customFormat="1" x14ac:dyDescent="0.25">
      <c r="A3" s="30">
        <f>IF(COUNTA(B3:B3)=0,"", MAX(A$2:A2)+1)</f>
        <v>1</v>
      </c>
      <c r="B3" s="33" t="str">
        <f t="array" ref="B3:Q3">_xll.OpenApiSubscribeRtd("ExcelTrader_7","OrderId","68536039")</f>
        <v>68536039</v>
      </c>
      <c r="C3" s="34" t="str">
        <v>RTN:xlon</v>
      </c>
      <c r="D3" s="63">
        <v>42929.473129826387</v>
      </c>
      <c r="E3" s="33" t="str">
        <v>Buy</v>
      </c>
      <c r="F3" s="33" t="str">
        <v>Limit</v>
      </c>
      <c r="G3" s="33">
        <v>300</v>
      </c>
      <c r="H3" s="33">
        <v>5198</v>
      </c>
      <c r="I3" s="33" t="str">
        <v xml:space="preserve"> </v>
      </c>
      <c r="J3" s="33" t="str">
        <v>GBP</v>
      </c>
      <c r="K3" s="33" t="str">
        <v>LSE_SETS</v>
      </c>
      <c r="L3" s="33" t="str">
        <v>CfdOnStock</v>
      </c>
      <c r="M3" s="34" t="str">
        <v xml:space="preserve"> </v>
      </c>
      <c r="N3" s="33" t="str">
        <v>Working</v>
      </c>
      <c r="O3" s="33" t="str">
        <v>GoodTillCancel</v>
      </c>
      <c r="P3" s="33" t="str">
        <v xml:space="preserve"> </v>
      </c>
      <c r="Q3" s="34" t="str">
        <v xml:space="preserve"> </v>
      </c>
      <c r="U3" s="17"/>
      <c r="V3" s="62"/>
      <c r="W3" s="97"/>
      <c r="Z3" s="30" t="str">
        <f>IF(ISBLANK(AN3),"",IF(AN3=TRUE,IF(AP3=AC3,"FILLED","CANCELLED"),"ACTIVE"))</f>
        <v>CANCELLED</v>
      </c>
      <c r="AA3" s="17">
        <v>0</v>
      </c>
      <c r="AB3" s="17" t="s">
        <v>131</v>
      </c>
      <c r="AC3" s="17">
        <v>5000</v>
      </c>
      <c r="AD3" s="17">
        <v>1</v>
      </c>
      <c r="AE3" s="17">
        <v>219.5</v>
      </c>
      <c r="AF3" s="17" t="s">
        <v>133</v>
      </c>
      <c r="AG3" s="18">
        <v>42930.602812500001</v>
      </c>
      <c r="AH3" s="17" t="s">
        <v>166</v>
      </c>
      <c r="AI3" s="17">
        <v>0</v>
      </c>
      <c r="AJ3" s="17" t="s">
        <v>167</v>
      </c>
      <c r="AK3" s="17" t="b">
        <v>0</v>
      </c>
      <c r="AL3" s="17" t="b">
        <v>0</v>
      </c>
      <c r="AM3" s="17" t="b">
        <v>0</v>
      </c>
      <c r="AN3" s="17" t="b">
        <v>1</v>
      </c>
      <c r="AO3" s="17" t="s">
        <v>168</v>
      </c>
      <c r="AP3" s="17">
        <v>0</v>
      </c>
      <c r="AQ3" s="17" t="s">
        <v>168</v>
      </c>
      <c r="AR3" s="17" t="s">
        <v>168</v>
      </c>
      <c r="AS3" s="17">
        <v>5</v>
      </c>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EH3" s="17"/>
      <c r="EI3" s="17"/>
      <c r="EJ3" s="17"/>
      <c r="EK3" s="17"/>
      <c r="EL3" s="17"/>
      <c r="EM3" s="17"/>
      <c r="EN3" s="17"/>
      <c r="EO3" s="17"/>
      <c r="EP3" s="17"/>
      <c r="EQ3" s="17"/>
      <c r="ER3" s="17"/>
      <c r="ES3" s="17"/>
      <c r="ET3" s="17"/>
      <c r="EU3" s="17"/>
      <c r="EV3" s="17"/>
      <c r="EW3" s="17"/>
      <c r="EX3" s="17"/>
      <c r="EY3" s="17"/>
      <c r="EZ3" s="17"/>
      <c r="FA3" s="17"/>
      <c r="FB3" s="17"/>
      <c r="FC3" s="17"/>
      <c r="FD3" s="17"/>
      <c r="FE3" s="17"/>
      <c r="FF3" s="17"/>
      <c r="FG3" s="17"/>
      <c r="FH3" s="17"/>
      <c r="FI3" s="17"/>
      <c r="FJ3" s="17"/>
      <c r="FK3" s="17"/>
      <c r="FL3" s="17"/>
      <c r="FM3" s="17"/>
      <c r="FN3" s="17"/>
      <c r="FO3" s="17"/>
      <c r="FP3" s="17"/>
      <c r="FQ3" s="17"/>
      <c r="FR3" s="17"/>
      <c r="FS3" s="17"/>
      <c r="FT3" s="17"/>
      <c r="FU3" s="17"/>
      <c r="FV3" s="17"/>
      <c r="FW3" s="17"/>
      <c r="FX3" s="17"/>
      <c r="FY3" s="17"/>
      <c r="FZ3" s="17"/>
      <c r="GA3" s="17"/>
      <c r="GB3" s="17"/>
      <c r="GC3" s="17"/>
      <c r="GD3" s="17"/>
      <c r="GE3" s="17"/>
      <c r="GF3" s="17"/>
      <c r="GG3" s="17"/>
      <c r="GH3" s="17"/>
      <c r="GI3" s="17"/>
      <c r="GJ3" s="17"/>
      <c r="GK3" s="17"/>
      <c r="GL3" s="17"/>
      <c r="GM3" s="17"/>
      <c r="GN3" s="17"/>
      <c r="GO3" s="17"/>
      <c r="GP3" s="17"/>
      <c r="GQ3" s="17"/>
      <c r="GR3" s="17"/>
      <c r="GS3" s="17"/>
      <c r="GT3" s="17"/>
      <c r="GU3" s="17"/>
      <c r="GV3" s="17"/>
      <c r="GW3" s="17"/>
      <c r="GX3" s="17"/>
      <c r="GY3" s="17"/>
      <c r="GZ3" s="17"/>
      <c r="HA3" s="17"/>
      <c r="HB3" s="17"/>
      <c r="HC3" s="17"/>
      <c r="HD3" s="17"/>
      <c r="HE3" s="17"/>
      <c r="HF3" s="17"/>
      <c r="HG3" s="17"/>
      <c r="HH3" s="17"/>
      <c r="HI3" s="17"/>
      <c r="HJ3" s="17"/>
      <c r="HK3" s="17"/>
      <c r="HL3" s="17"/>
      <c r="HM3" s="17"/>
      <c r="HN3" s="17"/>
      <c r="HO3" s="17"/>
      <c r="HP3" s="17"/>
      <c r="HQ3" s="17"/>
      <c r="HR3" s="17"/>
      <c r="HS3" s="17"/>
      <c r="HT3" s="17"/>
      <c r="HU3" s="17"/>
      <c r="HV3" s="17"/>
      <c r="HW3" s="17"/>
      <c r="HX3" s="17"/>
      <c r="HY3" s="17"/>
      <c r="HZ3" s="17"/>
      <c r="IA3" s="17"/>
      <c r="IB3" s="17"/>
      <c r="IC3" s="17"/>
      <c r="ID3" s="17"/>
      <c r="IE3" s="17"/>
      <c r="IF3" s="17"/>
      <c r="IG3" s="17"/>
      <c r="IH3" s="17"/>
      <c r="II3" s="17"/>
      <c r="IJ3" s="17"/>
      <c r="IK3" s="17"/>
      <c r="IL3" s="17"/>
      <c r="IM3" s="17"/>
      <c r="IN3" s="17"/>
      <c r="IO3" s="17"/>
      <c r="IP3" s="17"/>
      <c r="IQ3" s="17"/>
      <c r="IR3" s="17"/>
      <c r="IS3" s="17"/>
      <c r="IT3" s="17"/>
      <c r="IU3" s="17"/>
      <c r="IV3" s="17"/>
      <c r="IW3" s="17"/>
      <c r="IX3" s="17"/>
      <c r="IY3" s="17"/>
      <c r="IZ3" s="17"/>
      <c r="JA3" s="17"/>
      <c r="JB3" s="17"/>
      <c r="JC3" s="17"/>
      <c r="JD3" s="17"/>
      <c r="JE3" s="17"/>
      <c r="JF3" s="17"/>
      <c r="JG3" s="17"/>
      <c r="JH3" s="17"/>
      <c r="JI3" s="17"/>
      <c r="JJ3" s="17"/>
      <c r="JK3" s="17"/>
      <c r="JL3" s="17"/>
      <c r="JM3" s="17"/>
      <c r="JN3" s="17"/>
      <c r="JO3" s="17"/>
      <c r="JP3" s="17"/>
      <c r="JQ3" s="17"/>
      <c r="JR3" s="17"/>
      <c r="JS3" s="17"/>
      <c r="JT3" s="17"/>
      <c r="JU3" s="17"/>
      <c r="JV3" s="17"/>
      <c r="JW3" s="17"/>
      <c r="JX3" s="17"/>
      <c r="JY3" s="17"/>
      <c r="JZ3" s="17"/>
      <c r="KA3" s="17"/>
      <c r="KB3" s="17"/>
      <c r="KC3" s="17"/>
      <c r="KD3" s="17"/>
      <c r="KE3" s="17"/>
      <c r="KF3" s="17"/>
      <c r="KG3" s="17"/>
      <c r="KH3" s="17"/>
      <c r="KI3" s="17"/>
      <c r="KJ3" s="17"/>
      <c r="KK3" s="17"/>
      <c r="KL3" s="17"/>
      <c r="KM3" s="17"/>
      <c r="KN3" s="17"/>
      <c r="KO3" s="17"/>
      <c r="KP3" s="17"/>
      <c r="KQ3" s="17"/>
      <c r="KR3" s="17"/>
      <c r="KS3" s="17"/>
      <c r="KT3" s="17"/>
      <c r="KU3" s="17"/>
      <c r="KV3" s="17"/>
      <c r="KW3" s="17"/>
      <c r="KX3" s="17"/>
      <c r="KY3" s="17"/>
      <c r="KZ3" s="17"/>
      <c r="LA3" s="17"/>
      <c r="LB3" s="17"/>
      <c r="LC3" s="17"/>
      <c r="LD3" s="17"/>
      <c r="LE3" s="17"/>
      <c r="LF3" s="17"/>
      <c r="LG3" s="17"/>
      <c r="LH3" s="17"/>
      <c r="LI3" s="17"/>
      <c r="LJ3" s="17"/>
      <c r="LK3" s="17"/>
      <c r="LL3" s="17"/>
      <c r="LM3" s="17"/>
      <c r="LN3" s="17"/>
      <c r="LO3" s="17"/>
      <c r="LP3" s="17"/>
      <c r="LQ3" s="17"/>
      <c r="LR3" s="17"/>
      <c r="LS3" s="17"/>
      <c r="LT3" s="17"/>
      <c r="LU3" s="17"/>
      <c r="LV3" s="17"/>
      <c r="LW3" s="17"/>
      <c r="LX3" s="17"/>
      <c r="LY3" s="17"/>
      <c r="LZ3" s="17"/>
      <c r="MA3" s="17"/>
      <c r="MB3" s="17"/>
      <c r="MC3" s="17"/>
      <c r="MD3" s="17"/>
      <c r="ME3" s="17"/>
      <c r="MF3" s="17"/>
      <c r="MG3" s="17"/>
      <c r="MH3" s="17"/>
      <c r="MI3" s="17"/>
      <c r="MJ3" s="17"/>
      <c r="MK3" s="17"/>
      <c r="ML3" s="17"/>
      <c r="MM3" s="17"/>
      <c r="MN3" s="17"/>
      <c r="MO3" s="17"/>
      <c r="MP3" s="17"/>
      <c r="MQ3" s="17"/>
      <c r="MR3" s="17"/>
      <c r="MS3" s="17"/>
      <c r="MT3" s="17"/>
      <c r="MU3" s="17"/>
      <c r="MV3" s="17"/>
      <c r="MW3" s="17"/>
      <c r="MX3" s="17"/>
      <c r="MY3" s="17"/>
      <c r="MZ3" s="17"/>
      <c r="NA3" s="17"/>
      <c r="NB3" s="17"/>
      <c r="NC3" s="17"/>
      <c r="ND3" s="17"/>
      <c r="NE3" s="17"/>
      <c r="NF3" s="17"/>
      <c r="NG3" s="17"/>
      <c r="NH3" s="17"/>
      <c r="NI3" s="17"/>
      <c r="NJ3" s="17"/>
      <c r="NK3" s="17"/>
      <c r="NL3" s="17"/>
      <c r="NM3" s="17"/>
      <c r="NN3" s="17"/>
      <c r="NO3" s="17"/>
      <c r="NP3" s="17"/>
      <c r="NQ3" s="17"/>
      <c r="NR3" s="17"/>
      <c r="NS3" s="17"/>
      <c r="NT3" s="17"/>
      <c r="NU3" s="17"/>
      <c r="NV3" s="17"/>
      <c r="NW3" s="17"/>
      <c r="NX3" s="17"/>
      <c r="NY3" s="17"/>
      <c r="NZ3" s="17"/>
      <c r="OA3" s="17"/>
      <c r="OB3" s="17"/>
      <c r="OC3" s="17"/>
      <c r="OD3" s="17"/>
      <c r="OE3" s="17"/>
      <c r="OF3" s="17"/>
      <c r="OG3" s="17"/>
      <c r="OH3" s="17"/>
      <c r="OI3" s="17"/>
      <c r="OJ3" s="17"/>
      <c r="OK3" s="17"/>
      <c r="OL3" s="17"/>
      <c r="OM3" s="17"/>
      <c r="ON3" s="17"/>
      <c r="OO3" s="17"/>
      <c r="OP3" s="17"/>
      <c r="OQ3" s="17"/>
      <c r="OR3" s="17"/>
      <c r="OS3" s="17"/>
      <c r="OT3" s="17"/>
      <c r="OU3" s="17"/>
      <c r="OV3" s="17"/>
      <c r="OW3" s="17"/>
      <c r="OX3" s="17"/>
      <c r="OY3" s="17"/>
      <c r="OZ3" s="17"/>
      <c r="PA3" s="17"/>
      <c r="PB3" s="17"/>
      <c r="PC3" s="17"/>
      <c r="PD3" s="17"/>
      <c r="PE3" s="17"/>
      <c r="PF3" s="17"/>
      <c r="PG3" s="17"/>
      <c r="PH3" s="17"/>
      <c r="PI3" s="17"/>
      <c r="PJ3" s="17"/>
      <c r="PK3" s="17"/>
      <c r="PL3" s="17"/>
      <c r="PM3" s="17"/>
      <c r="PN3" s="17"/>
      <c r="PO3" s="17"/>
      <c r="PP3" s="17"/>
      <c r="PQ3" s="17"/>
      <c r="PR3" s="17"/>
      <c r="PS3" s="17"/>
      <c r="PT3" s="17"/>
      <c r="PU3" s="17"/>
      <c r="PV3" s="17"/>
      <c r="PW3" s="17"/>
      <c r="PX3" s="17"/>
      <c r="PY3" s="17"/>
      <c r="PZ3" s="17"/>
      <c r="QA3" s="17"/>
      <c r="QB3" s="17"/>
      <c r="QC3" s="17"/>
      <c r="QD3" s="17"/>
      <c r="QE3" s="17"/>
      <c r="QF3" s="17"/>
      <c r="QG3" s="17"/>
      <c r="QH3" s="17"/>
      <c r="QI3" s="17"/>
      <c r="QJ3" s="17"/>
      <c r="QK3" s="17"/>
      <c r="QL3" s="17"/>
      <c r="QM3" s="17"/>
      <c r="QN3" s="17"/>
      <c r="QO3" s="17"/>
      <c r="QP3" s="17"/>
      <c r="QQ3" s="17"/>
      <c r="QR3" s="17"/>
      <c r="QS3" s="17"/>
      <c r="QT3" s="17"/>
      <c r="QU3" s="17"/>
      <c r="QV3" s="17"/>
      <c r="QW3" s="17"/>
      <c r="QX3" s="17"/>
      <c r="QY3" s="17"/>
      <c r="QZ3" s="17"/>
      <c r="RA3" s="17"/>
      <c r="RB3" s="17"/>
      <c r="RC3" s="17"/>
      <c r="RD3" s="17"/>
      <c r="RE3" s="17"/>
      <c r="RF3" s="17"/>
      <c r="RG3" s="17"/>
      <c r="RH3" s="17"/>
      <c r="RI3" s="17"/>
      <c r="RJ3" s="17"/>
      <c r="RK3" s="17"/>
      <c r="RL3" s="17"/>
      <c r="RM3" s="17"/>
      <c r="RN3" s="17"/>
      <c r="RO3" s="17"/>
      <c r="RP3" s="17"/>
      <c r="RQ3" s="17"/>
      <c r="RR3" s="17"/>
      <c r="RS3" s="17"/>
      <c r="RT3" s="17"/>
      <c r="RU3" s="17"/>
      <c r="RV3" s="17"/>
      <c r="RW3" s="17"/>
      <c r="RX3" s="17"/>
      <c r="RY3" s="17"/>
      <c r="RZ3" s="17"/>
      <c r="SA3" s="17"/>
      <c r="SB3" s="17"/>
      <c r="SC3" s="17"/>
      <c r="SD3" s="17"/>
      <c r="SE3" s="17"/>
      <c r="SF3" s="17"/>
      <c r="SG3" s="17"/>
      <c r="SH3" s="17"/>
      <c r="SI3" s="17"/>
      <c r="SJ3" s="17"/>
      <c r="SK3" s="17"/>
      <c r="SL3" s="17"/>
      <c r="SM3" s="17"/>
      <c r="SN3" s="17"/>
      <c r="SO3" s="17"/>
      <c r="SP3" s="17"/>
      <c r="SQ3" s="17"/>
      <c r="SR3" s="17"/>
      <c r="SS3" s="17"/>
      <c r="ST3" s="17"/>
      <c r="SU3" s="17"/>
      <c r="SV3" s="17"/>
      <c r="SW3" s="17"/>
      <c r="SX3" s="17"/>
      <c r="SY3" s="17"/>
      <c r="SZ3" s="17"/>
      <c r="TA3" s="17"/>
      <c r="TB3" s="17"/>
      <c r="TC3" s="17"/>
      <c r="TD3" s="17"/>
      <c r="TE3" s="17"/>
      <c r="TF3" s="17"/>
      <c r="TG3" s="17"/>
      <c r="TH3" s="17"/>
      <c r="TI3" s="17"/>
      <c r="TJ3" s="17"/>
      <c r="TK3" s="17"/>
      <c r="TL3" s="17"/>
      <c r="TM3" s="17"/>
      <c r="TN3" s="17"/>
      <c r="TO3" s="17"/>
      <c r="TP3" s="17"/>
      <c r="TQ3" s="17"/>
      <c r="TR3" s="17"/>
      <c r="TS3" s="17"/>
      <c r="TT3" s="17"/>
      <c r="TU3" s="17"/>
      <c r="TV3" s="17"/>
      <c r="TW3" s="17"/>
      <c r="TX3" s="17"/>
      <c r="TY3" s="17"/>
      <c r="TZ3" s="17"/>
      <c r="UA3" s="17"/>
      <c r="UB3" s="17"/>
      <c r="UC3" s="17"/>
      <c r="UD3" s="17"/>
      <c r="UE3" s="17"/>
      <c r="UF3" s="17"/>
      <c r="UG3" s="17"/>
      <c r="UH3" s="17"/>
      <c r="UI3" s="17"/>
      <c r="UJ3" s="17"/>
      <c r="UK3" s="17"/>
      <c r="UL3" s="17"/>
      <c r="UM3" s="17"/>
      <c r="UN3" s="17"/>
      <c r="UO3" s="17"/>
      <c r="UP3" s="17"/>
      <c r="UQ3" s="17"/>
      <c r="UR3" s="17"/>
      <c r="US3" s="17"/>
      <c r="UT3" s="17"/>
      <c r="UU3" s="17"/>
      <c r="UV3" s="17"/>
      <c r="UW3" s="17"/>
      <c r="UX3" s="17"/>
      <c r="UY3" s="17"/>
      <c r="UZ3" s="17"/>
      <c r="VA3" s="17"/>
      <c r="VB3" s="17"/>
      <c r="VC3" s="17"/>
      <c r="VD3" s="17"/>
      <c r="VE3" s="17"/>
      <c r="VF3" s="17"/>
      <c r="VG3" s="17"/>
      <c r="VH3" s="17"/>
      <c r="VI3" s="17"/>
      <c r="VJ3" s="17"/>
      <c r="VK3" s="17"/>
      <c r="VL3" s="17"/>
      <c r="VM3" s="17"/>
      <c r="VN3" s="17"/>
      <c r="VO3" s="17"/>
      <c r="VP3" s="17"/>
      <c r="VQ3" s="17"/>
      <c r="VR3" s="17"/>
      <c r="VS3" s="17"/>
      <c r="VT3" s="17"/>
      <c r="VU3" s="17"/>
      <c r="VV3" s="17"/>
      <c r="VW3" s="17"/>
      <c r="VX3" s="17"/>
      <c r="VY3" s="17"/>
      <c r="VZ3" s="17"/>
      <c r="WA3" s="17"/>
      <c r="WB3" s="17"/>
      <c r="WC3" s="17"/>
      <c r="WD3" s="17"/>
      <c r="WE3" s="17"/>
      <c r="WF3" s="17"/>
      <c r="WG3" s="17"/>
      <c r="WH3" s="17"/>
      <c r="WI3" s="17"/>
      <c r="WJ3" s="17"/>
      <c r="WK3" s="17"/>
      <c r="WL3" s="17"/>
      <c r="WM3" s="17"/>
      <c r="WN3" s="17"/>
      <c r="WO3" s="17"/>
      <c r="WP3" s="17"/>
      <c r="WQ3" s="17"/>
      <c r="WR3" s="17"/>
      <c r="WS3" s="17"/>
      <c r="WT3" s="17"/>
      <c r="WU3" s="17"/>
      <c r="WV3" s="17"/>
      <c r="WW3" s="17"/>
      <c r="WX3" s="17"/>
      <c r="WY3" s="17"/>
      <c r="WZ3" s="17"/>
      <c r="XA3" s="17"/>
      <c r="XB3" s="17"/>
      <c r="XC3" s="17"/>
      <c r="XD3" s="17"/>
      <c r="XE3" s="17"/>
      <c r="XF3" s="17"/>
      <c r="XG3" s="17"/>
      <c r="XH3" s="17"/>
      <c r="XI3" s="17"/>
      <c r="XJ3" s="17"/>
      <c r="XK3" s="17"/>
      <c r="XL3" s="17"/>
      <c r="XM3" s="17"/>
      <c r="XN3" s="17"/>
      <c r="XO3" s="17"/>
      <c r="XP3" s="17"/>
      <c r="XQ3" s="17"/>
      <c r="XR3" s="17"/>
      <c r="XS3" s="17"/>
      <c r="XT3" s="17"/>
      <c r="XU3" s="17"/>
      <c r="XV3" s="17"/>
      <c r="XW3" s="17"/>
      <c r="XX3" s="17"/>
      <c r="XY3" s="17"/>
      <c r="XZ3" s="17"/>
      <c r="YA3" s="17"/>
      <c r="YB3" s="17"/>
      <c r="YC3" s="17"/>
      <c r="YD3" s="17"/>
      <c r="YE3" s="17"/>
      <c r="YF3" s="17"/>
      <c r="YG3" s="17"/>
      <c r="YH3" s="17"/>
      <c r="YI3" s="17"/>
      <c r="YJ3" s="17"/>
      <c r="YK3" s="17"/>
      <c r="YL3" s="17"/>
      <c r="YM3" s="17"/>
      <c r="YN3" s="17"/>
      <c r="YO3" s="17"/>
      <c r="YP3" s="17"/>
      <c r="YQ3" s="17"/>
      <c r="YR3" s="17"/>
      <c r="YS3" s="17"/>
      <c r="YT3" s="17"/>
      <c r="YU3" s="17"/>
      <c r="YV3" s="17"/>
      <c r="YW3" s="17"/>
      <c r="YX3" s="17"/>
      <c r="YY3" s="17"/>
      <c r="YZ3" s="17"/>
      <c r="ZA3" s="17"/>
      <c r="ZB3" s="17"/>
      <c r="ZC3" s="17"/>
      <c r="ZD3" s="17"/>
      <c r="ZE3" s="17"/>
      <c r="ZF3" s="17"/>
      <c r="ZG3" s="17"/>
      <c r="ZH3" s="17"/>
      <c r="ZI3" s="17"/>
      <c r="ZJ3" s="17"/>
      <c r="ZK3" s="17"/>
      <c r="ZL3" s="17"/>
      <c r="ZM3" s="17"/>
      <c r="ZN3" s="17"/>
      <c r="ZO3" s="17"/>
      <c r="ZP3" s="17"/>
      <c r="ZQ3" s="17"/>
      <c r="ZR3" s="17"/>
      <c r="ZS3" s="17"/>
      <c r="ZT3" s="17"/>
      <c r="ZU3" s="17"/>
      <c r="ZV3" s="17"/>
      <c r="ZW3" s="17"/>
      <c r="ZX3" s="17"/>
      <c r="ZY3" s="17"/>
      <c r="ZZ3" s="17"/>
    </row>
    <row r="4" spans="1:702" s="33" customFormat="1" x14ac:dyDescent="0.25">
      <c r="A4" s="30" t="str">
        <f>IF(COUNTA(B4:B4)=0,"", MAX(A$2:A3)+1)</f>
        <v/>
      </c>
      <c r="C4" s="34"/>
      <c r="D4" s="63"/>
      <c r="M4" s="34"/>
      <c r="Q4" s="34"/>
      <c r="U4" s="17"/>
      <c r="V4" s="62"/>
      <c r="W4" s="97"/>
      <c r="Z4" s="30" t="str">
        <f t="shared" ref="Z4:Z67" si="0">IF(ISBLANK(AN4),"",IF(AN4=TRUE,IF(AP4=AC4,"FILLED","CANCELLED"),"ACTIVE"))</f>
        <v>CANCELLED</v>
      </c>
      <c r="AA4" s="17">
        <v>1</v>
      </c>
      <c r="AB4" s="17" t="s">
        <v>131</v>
      </c>
      <c r="AC4" s="17">
        <v>5000</v>
      </c>
      <c r="AD4" s="17">
        <v>1</v>
      </c>
      <c r="AE4" s="17">
        <v>220.5</v>
      </c>
      <c r="AF4" s="17" t="s">
        <v>133</v>
      </c>
      <c r="AG4" s="18">
        <v>42930.602812500001</v>
      </c>
      <c r="AH4" s="17" t="s">
        <v>166</v>
      </c>
      <c r="AI4" s="17">
        <v>0</v>
      </c>
      <c r="AJ4" s="17" t="s">
        <v>167</v>
      </c>
      <c r="AK4" s="17" t="b">
        <v>1</v>
      </c>
      <c r="AL4" s="17" t="b">
        <v>0</v>
      </c>
      <c r="AM4" s="17" t="b">
        <v>0</v>
      </c>
      <c r="AN4" s="17" t="b">
        <v>1</v>
      </c>
      <c r="AO4" s="17" t="s">
        <v>168</v>
      </c>
      <c r="AP4" s="17">
        <v>0</v>
      </c>
      <c r="AQ4" s="17" t="s">
        <v>168</v>
      </c>
      <c r="AR4" s="17" t="s">
        <v>168</v>
      </c>
      <c r="AS4" s="17">
        <v>5</v>
      </c>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c r="EC4" s="17"/>
      <c r="ED4" s="17"/>
      <c r="EE4" s="17"/>
      <c r="EF4" s="17"/>
      <c r="EG4" s="17"/>
      <c r="EH4" s="17"/>
      <c r="EI4" s="17"/>
      <c r="EJ4" s="17"/>
      <c r="EK4" s="17"/>
      <c r="EL4" s="17"/>
      <c r="EM4" s="17"/>
      <c r="EN4" s="17"/>
      <c r="EO4" s="17"/>
      <c r="EP4" s="17"/>
      <c r="EQ4" s="17"/>
      <c r="ER4" s="17"/>
      <c r="ES4" s="17"/>
      <c r="ET4" s="17"/>
      <c r="EU4" s="17"/>
      <c r="EV4" s="17"/>
      <c r="EW4" s="17"/>
      <c r="EX4" s="17"/>
      <c r="EY4" s="17"/>
      <c r="EZ4" s="17"/>
      <c r="FA4" s="17"/>
      <c r="FB4" s="17"/>
      <c r="FC4" s="17"/>
      <c r="FD4" s="17"/>
      <c r="FE4" s="17"/>
      <c r="FF4" s="17"/>
      <c r="FG4" s="17"/>
      <c r="FH4" s="17"/>
      <c r="FI4" s="17"/>
      <c r="FJ4" s="17"/>
      <c r="FK4" s="17"/>
      <c r="FL4" s="17"/>
      <c r="FM4" s="17"/>
      <c r="FN4" s="17"/>
      <c r="FO4" s="17"/>
      <c r="FP4" s="17"/>
      <c r="FQ4" s="17"/>
      <c r="FR4" s="17"/>
      <c r="FS4" s="17"/>
      <c r="FT4" s="17"/>
      <c r="FU4" s="17"/>
      <c r="FV4" s="17"/>
      <c r="FW4" s="17"/>
      <c r="FX4" s="17"/>
      <c r="FY4" s="17"/>
      <c r="FZ4" s="17"/>
      <c r="GA4" s="17"/>
      <c r="GB4" s="17"/>
      <c r="GC4" s="17"/>
      <c r="GD4" s="17"/>
      <c r="GE4" s="17"/>
      <c r="GF4" s="17"/>
      <c r="GG4" s="17"/>
      <c r="GH4" s="17"/>
      <c r="GI4" s="17"/>
      <c r="GJ4" s="17"/>
      <c r="GK4" s="17"/>
      <c r="GL4" s="17"/>
      <c r="GM4" s="17"/>
      <c r="GN4" s="17"/>
      <c r="GO4" s="17"/>
      <c r="GP4" s="17"/>
      <c r="GQ4" s="17"/>
      <c r="GR4" s="17"/>
      <c r="GS4" s="17"/>
      <c r="GT4" s="17"/>
      <c r="GU4" s="17"/>
      <c r="GV4" s="17"/>
      <c r="GW4" s="17"/>
      <c r="GX4" s="17"/>
      <c r="GY4" s="17"/>
      <c r="GZ4" s="17"/>
      <c r="HA4" s="17"/>
      <c r="HB4" s="17"/>
      <c r="HC4" s="17"/>
      <c r="HD4" s="17"/>
      <c r="HE4" s="17"/>
      <c r="HF4" s="17"/>
      <c r="HG4" s="17"/>
      <c r="HH4" s="17"/>
      <c r="HI4" s="17"/>
      <c r="HJ4" s="17"/>
      <c r="HK4" s="17"/>
      <c r="HL4" s="17"/>
      <c r="HM4" s="17"/>
      <c r="HN4" s="17"/>
      <c r="HO4" s="17"/>
      <c r="HP4" s="17"/>
      <c r="HQ4" s="17"/>
      <c r="HR4" s="17"/>
      <c r="HS4" s="17"/>
      <c r="HT4" s="17"/>
      <c r="HU4" s="17"/>
      <c r="HV4" s="17"/>
      <c r="HW4" s="17"/>
      <c r="HX4" s="17"/>
      <c r="HY4" s="17"/>
      <c r="HZ4" s="17"/>
      <c r="IA4" s="17"/>
      <c r="IB4" s="17"/>
      <c r="IC4" s="17"/>
      <c r="ID4" s="17"/>
      <c r="IE4" s="17"/>
      <c r="IF4" s="17"/>
      <c r="IG4" s="17"/>
      <c r="IH4" s="17"/>
      <c r="II4" s="17"/>
      <c r="IJ4" s="17"/>
      <c r="IK4" s="17"/>
      <c r="IL4" s="17"/>
      <c r="IM4" s="17"/>
      <c r="IN4" s="17"/>
      <c r="IO4" s="17"/>
      <c r="IP4" s="17"/>
      <c r="IQ4" s="17"/>
      <c r="IR4" s="17"/>
      <c r="IS4" s="17"/>
      <c r="IT4" s="17"/>
      <c r="IU4" s="17"/>
      <c r="IV4" s="17"/>
      <c r="IW4" s="17"/>
      <c r="IX4" s="17"/>
      <c r="IY4" s="17"/>
      <c r="IZ4" s="17"/>
      <c r="JA4" s="17"/>
      <c r="JB4" s="17"/>
      <c r="JC4" s="17"/>
      <c r="JD4" s="17"/>
      <c r="JE4" s="17"/>
      <c r="JF4" s="17"/>
      <c r="JG4" s="17"/>
      <c r="JH4" s="17"/>
      <c r="JI4" s="17"/>
      <c r="JJ4" s="17"/>
      <c r="JK4" s="17"/>
      <c r="JL4" s="17"/>
      <c r="JM4" s="17"/>
      <c r="JN4" s="17"/>
      <c r="JO4" s="17"/>
      <c r="JP4" s="17"/>
      <c r="JQ4" s="17"/>
      <c r="JR4" s="17"/>
      <c r="JS4" s="17"/>
      <c r="JT4" s="17"/>
      <c r="JU4" s="17"/>
      <c r="JV4" s="17"/>
      <c r="JW4" s="17"/>
      <c r="JX4" s="17"/>
      <c r="JY4" s="17"/>
      <c r="JZ4" s="17"/>
      <c r="KA4" s="17"/>
      <c r="KB4" s="17"/>
      <c r="KC4" s="17"/>
      <c r="KD4" s="17"/>
      <c r="KE4" s="17"/>
      <c r="KF4" s="17"/>
      <c r="KG4" s="17"/>
      <c r="KH4" s="17"/>
      <c r="KI4" s="17"/>
      <c r="KJ4" s="17"/>
      <c r="KK4" s="17"/>
      <c r="KL4" s="17"/>
      <c r="KM4" s="17"/>
      <c r="KN4" s="17"/>
      <c r="KO4" s="17"/>
      <c r="KP4" s="17"/>
      <c r="KQ4" s="17"/>
      <c r="KR4" s="17"/>
      <c r="KS4" s="17"/>
      <c r="KT4" s="17"/>
      <c r="KU4" s="17"/>
      <c r="KV4" s="17"/>
      <c r="KW4" s="17"/>
      <c r="KX4" s="17"/>
      <c r="KY4" s="17"/>
      <c r="KZ4" s="17"/>
      <c r="LA4" s="17"/>
      <c r="LB4" s="17"/>
      <c r="LC4" s="17"/>
      <c r="LD4" s="17"/>
      <c r="LE4" s="17"/>
      <c r="LF4" s="17"/>
      <c r="LG4" s="17"/>
      <c r="LH4" s="17"/>
      <c r="LI4" s="17"/>
      <c r="LJ4" s="17"/>
      <c r="LK4" s="17"/>
      <c r="LL4" s="17"/>
      <c r="LM4" s="17"/>
      <c r="LN4" s="17"/>
      <c r="LO4" s="17"/>
      <c r="LP4" s="17"/>
      <c r="LQ4" s="17"/>
      <c r="LR4" s="17"/>
      <c r="LS4" s="17"/>
      <c r="LT4" s="17"/>
      <c r="LU4" s="17"/>
      <c r="LV4" s="17"/>
      <c r="LW4" s="17"/>
      <c r="LX4" s="17"/>
      <c r="LY4" s="17"/>
      <c r="LZ4" s="17"/>
      <c r="MA4" s="17"/>
      <c r="MB4" s="17"/>
      <c r="MC4" s="17"/>
      <c r="MD4" s="17"/>
      <c r="ME4" s="17"/>
      <c r="MF4" s="17"/>
      <c r="MG4" s="17"/>
      <c r="MH4" s="17"/>
      <c r="MI4" s="17"/>
      <c r="MJ4" s="17"/>
      <c r="MK4" s="17"/>
      <c r="ML4" s="17"/>
      <c r="MM4" s="17"/>
      <c r="MN4" s="17"/>
      <c r="MO4" s="17"/>
      <c r="MP4" s="17"/>
      <c r="MQ4" s="17"/>
      <c r="MR4" s="17"/>
      <c r="MS4" s="17"/>
      <c r="MT4" s="17"/>
      <c r="MU4" s="17"/>
      <c r="MV4" s="17"/>
      <c r="MW4" s="17"/>
      <c r="MX4" s="17"/>
      <c r="MY4" s="17"/>
      <c r="MZ4" s="17"/>
      <c r="NA4" s="17"/>
      <c r="NB4" s="17"/>
      <c r="NC4" s="17"/>
      <c r="ND4" s="17"/>
      <c r="NE4" s="17"/>
      <c r="NF4" s="17"/>
      <c r="NG4" s="17"/>
      <c r="NH4" s="17"/>
      <c r="NI4" s="17"/>
      <c r="NJ4" s="17"/>
      <c r="NK4" s="17"/>
      <c r="NL4" s="17"/>
      <c r="NM4" s="17"/>
      <c r="NN4" s="17"/>
      <c r="NO4" s="17"/>
      <c r="NP4" s="17"/>
      <c r="NQ4" s="17"/>
      <c r="NR4" s="17"/>
      <c r="NS4" s="17"/>
      <c r="NT4" s="17"/>
      <c r="NU4" s="17"/>
      <c r="NV4" s="17"/>
      <c r="NW4" s="17"/>
      <c r="NX4" s="17"/>
      <c r="NY4" s="17"/>
      <c r="NZ4" s="17"/>
      <c r="OA4" s="17"/>
      <c r="OB4" s="17"/>
      <c r="OC4" s="17"/>
      <c r="OD4" s="17"/>
      <c r="OE4" s="17"/>
      <c r="OF4" s="17"/>
      <c r="OG4" s="17"/>
      <c r="OH4" s="17"/>
      <c r="OI4" s="17"/>
      <c r="OJ4" s="17"/>
      <c r="OK4" s="17"/>
      <c r="OL4" s="17"/>
      <c r="OM4" s="17"/>
      <c r="ON4" s="17"/>
      <c r="OO4" s="17"/>
      <c r="OP4" s="17"/>
      <c r="OQ4" s="17"/>
      <c r="OR4" s="17"/>
      <c r="OS4" s="17"/>
      <c r="OT4" s="17"/>
      <c r="OU4" s="17"/>
      <c r="OV4" s="17"/>
      <c r="OW4" s="17"/>
      <c r="OX4" s="17"/>
      <c r="OY4" s="17"/>
      <c r="OZ4" s="17"/>
      <c r="PA4" s="17"/>
      <c r="PB4" s="17"/>
      <c r="PC4" s="17"/>
      <c r="PD4" s="17"/>
      <c r="PE4" s="17"/>
      <c r="PF4" s="17"/>
      <c r="PG4" s="17"/>
      <c r="PH4" s="17"/>
      <c r="PI4" s="17"/>
      <c r="PJ4" s="17"/>
      <c r="PK4" s="17"/>
      <c r="PL4" s="17"/>
      <c r="PM4" s="17"/>
      <c r="PN4" s="17"/>
      <c r="PO4" s="17"/>
      <c r="PP4" s="17"/>
      <c r="PQ4" s="17"/>
      <c r="PR4" s="17"/>
      <c r="PS4" s="17"/>
      <c r="PT4" s="17"/>
      <c r="PU4" s="17"/>
      <c r="PV4" s="17"/>
      <c r="PW4" s="17"/>
      <c r="PX4" s="17"/>
      <c r="PY4" s="17"/>
      <c r="PZ4" s="17"/>
      <c r="QA4" s="17"/>
      <c r="QB4" s="17"/>
      <c r="QC4" s="17"/>
      <c r="QD4" s="17"/>
      <c r="QE4" s="17"/>
      <c r="QF4" s="17"/>
      <c r="QG4" s="17"/>
      <c r="QH4" s="17"/>
      <c r="QI4" s="17"/>
      <c r="QJ4" s="17"/>
      <c r="QK4" s="17"/>
      <c r="QL4" s="17"/>
      <c r="QM4" s="17"/>
      <c r="QN4" s="17"/>
      <c r="QO4" s="17"/>
      <c r="QP4" s="17"/>
      <c r="QQ4" s="17"/>
      <c r="QR4" s="17"/>
      <c r="QS4" s="17"/>
      <c r="QT4" s="17"/>
      <c r="QU4" s="17"/>
      <c r="QV4" s="17"/>
      <c r="QW4" s="17"/>
      <c r="QX4" s="17"/>
      <c r="QY4" s="17"/>
      <c r="QZ4" s="17"/>
      <c r="RA4" s="17"/>
      <c r="RB4" s="17"/>
      <c r="RC4" s="17"/>
      <c r="RD4" s="17"/>
      <c r="RE4" s="17"/>
      <c r="RF4" s="17"/>
      <c r="RG4" s="17"/>
      <c r="RH4" s="17"/>
      <c r="RI4" s="17"/>
      <c r="RJ4" s="17"/>
      <c r="RK4" s="17"/>
      <c r="RL4" s="17"/>
      <c r="RM4" s="17"/>
      <c r="RN4" s="17"/>
      <c r="RO4" s="17"/>
      <c r="RP4" s="17"/>
      <c r="RQ4" s="17"/>
      <c r="RR4" s="17"/>
      <c r="RS4" s="17"/>
      <c r="RT4" s="17"/>
      <c r="RU4" s="17"/>
      <c r="RV4" s="17"/>
      <c r="RW4" s="17"/>
      <c r="RX4" s="17"/>
      <c r="RY4" s="17"/>
      <c r="RZ4" s="17"/>
      <c r="SA4" s="17"/>
      <c r="SB4" s="17"/>
      <c r="SC4" s="17"/>
      <c r="SD4" s="17"/>
      <c r="SE4" s="17"/>
      <c r="SF4" s="17"/>
      <c r="SG4" s="17"/>
      <c r="SH4" s="17"/>
      <c r="SI4" s="17"/>
      <c r="SJ4" s="17"/>
      <c r="SK4" s="17"/>
      <c r="SL4" s="17"/>
      <c r="SM4" s="17"/>
      <c r="SN4" s="17"/>
      <c r="SO4" s="17"/>
      <c r="SP4" s="17"/>
      <c r="SQ4" s="17"/>
      <c r="SR4" s="17"/>
      <c r="SS4" s="17"/>
      <c r="ST4" s="17"/>
      <c r="SU4" s="17"/>
      <c r="SV4" s="17"/>
      <c r="SW4" s="17"/>
      <c r="SX4" s="17"/>
      <c r="SY4" s="17"/>
      <c r="SZ4" s="17"/>
      <c r="TA4" s="17"/>
      <c r="TB4" s="17"/>
      <c r="TC4" s="17"/>
      <c r="TD4" s="17"/>
      <c r="TE4" s="17"/>
      <c r="TF4" s="17"/>
      <c r="TG4" s="17"/>
      <c r="TH4" s="17"/>
      <c r="TI4" s="17"/>
      <c r="TJ4" s="17"/>
      <c r="TK4" s="17"/>
      <c r="TL4" s="17"/>
      <c r="TM4" s="17"/>
      <c r="TN4" s="17"/>
      <c r="TO4" s="17"/>
      <c r="TP4" s="17"/>
      <c r="TQ4" s="17"/>
      <c r="TR4" s="17"/>
      <c r="TS4" s="17"/>
      <c r="TT4" s="17"/>
      <c r="TU4" s="17"/>
      <c r="TV4" s="17"/>
      <c r="TW4" s="17"/>
      <c r="TX4" s="17"/>
      <c r="TY4" s="17"/>
      <c r="TZ4" s="17"/>
      <c r="UA4" s="17"/>
      <c r="UB4" s="17"/>
      <c r="UC4" s="17"/>
      <c r="UD4" s="17"/>
      <c r="UE4" s="17"/>
      <c r="UF4" s="17"/>
      <c r="UG4" s="17"/>
      <c r="UH4" s="17"/>
      <c r="UI4" s="17"/>
      <c r="UJ4" s="17"/>
      <c r="UK4" s="17"/>
      <c r="UL4" s="17"/>
      <c r="UM4" s="17"/>
      <c r="UN4" s="17"/>
      <c r="UO4" s="17"/>
      <c r="UP4" s="17"/>
      <c r="UQ4" s="17"/>
      <c r="UR4" s="17"/>
      <c r="US4" s="17"/>
      <c r="UT4" s="17"/>
      <c r="UU4" s="17"/>
      <c r="UV4" s="17"/>
      <c r="UW4" s="17"/>
      <c r="UX4" s="17"/>
      <c r="UY4" s="17"/>
      <c r="UZ4" s="17"/>
      <c r="VA4" s="17"/>
      <c r="VB4" s="17"/>
      <c r="VC4" s="17"/>
      <c r="VD4" s="17"/>
      <c r="VE4" s="17"/>
      <c r="VF4" s="17"/>
      <c r="VG4" s="17"/>
      <c r="VH4" s="17"/>
      <c r="VI4" s="17"/>
      <c r="VJ4" s="17"/>
      <c r="VK4" s="17"/>
      <c r="VL4" s="17"/>
      <c r="VM4" s="17"/>
      <c r="VN4" s="17"/>
      <c r="VO4" s="17"/>
      <c r="VP4" s="17"/>
      <c r="VQ4" s="17"/>
      <c r="VR4" s="17"/>
      <c r="VS4" s="17"/>
      <c r="VT4" s="17"/>
      <c r="VU4" s="17"/>
      <c r="VV4" s="17"/>
      <c r="VW4" s="17"/>
      <c r="VX4" s="17"/>
      <c r="VY4" s="17"/>
      <c r="VZ4" s="17"/>
      <c r="WA4" s="17"/>
      <c r="WB4" s="17"/>
      <c r="WC4" s="17"/>
      <c r="WD4" s="17"/>
      <c r="WE4" s="17"/>
      <c r="WF4" s="17"/>
      <c r="WG4" s="17"/>
      <c r="WH4" s="17"/>
      <c r="WI4" s="17"/>
      <c r="WJ4" s="17"/>
      <c r="WK4" s="17"/>
      <c r="WL4" s="17"/>
      <c r="WM4" s="17"/>
      <c r="WN4" s="17"/>
      <c r="WO4" s="17"/>
      <c r="WP4" s="17"/>
      <c r="WQ4" s="17"/>
      <c r="WR4" s="17"/>
      <c r="WS4" s="17"/>
      <c r="WT4" s="17"/>
      <c r="WU4" s="17"/>
      <c r="WV4" s="17"/>
      <c r="WW4" s="17"/>
      <c r="WX4" s="17"/>
      <c r="WY4" s="17"/>
      <c r="WZ4" s="17"/>
      <c r="XA4" s="17"/>
      <c r="XB4" s="17"/>
      <c r="XC4" s="17"/>
      <c r="XD4" s="17"/>
      <c r="XE4" s="17"/>
      <c r="XF4" s="17"/>
      <c r="XG4" s="17"/>
      <c r="XH4" s="17"/>
      <c r="XI4" s="17"/>
      <c r="XJ4" s="17"/>
      <c r="XK4" s="17"/>
      <c r="XL4" s="17"/>
      <c r="XM4" s="17"/>
      <c r="XN4" s="17"/>
      <c r="XO4" s="17"/>
      <c r="XP4" s="17"/>
      <c r="XQ4" s="17"/>
      <c r="XR4" s="17"/>
      <c r="XS4" s="17"/>
      <c r="XT4" s="17"/>
      <c r="XU4" s="17"/>
      <c r="XV4" s="17"/>
      <c r="XW4" s="17"/>
      <c r="XX4" s="17"/>
      <c r="XY4" s="17"/>
      <c r="XZ4" s="17"/>
      <c r="YA4" s="17"/>
      <c r="YB4" s="17"/>
      <c r="YC4" s="17"/>
      <c r="YD4" s="17"/>
      <c r="YE4" s="17"/>
      <c r="YF4" s="17"/>
      <c r="YG4" s="17"/>
      <c r="YH4" s="17"/>
      <c r="YI4" s="17"/>
      <c r="YJ4" s="17"/>
      <c r="YK4" s="17"/>
      <c r="YL4" s="17"/>
      <c r="YM4" s="17"/>
      <c r="YN4" s="17"/>
      <c r="YO4" s="17"/>
      <c r="YP4" s="17"/>
      <c r="YQ4" s="17"/>
      <c r="YR4" s="17"/>
      <c r="YS4" s="17"/>
      <c r="YT4" s="17"/>
      <c r="YU4" s="17"/>
      <c r="YV4" s="17"/>
      <c r="YW4" s="17"/>
      <c r="YX4" s="17"/>
      <c r="YY4" s="17"/>
      <c r="YZ4" s="17"/>
      <c r="ZA4" s="17"/>
      <c r="ZB4" s="17"/>
      <c r="ZC4" s="17"/>
      <c r="ZD4" s="17"/>
      <c r="ZE4" s="17"/>
      <c r="ZF4" s="17"/>
      <c r="ZG4" s="17"/>
      <c r="ZH4" s="17"/>
      <c r="ZI4" s="17"/>
      <c r="ZJ4" s="17"/>
      <c r="ZK4" s="17"/>
      <c r="ZL4" s="17"/>
      <c r="ZM4" s="17"/>
      <c r="ZN4" s="17"/>
      <c r="ZO4" s="17"/>
      <c r="ZP4" s="17"/>
      <c r="ZQ4" s="17"/>
      <c r="ZR4" s="17"/>
      <c r="ZS4" s="17"/>
      <c r="ZT4" s="17"/>
      <c r="ZU4" s="17"/>
      <c r="ZV4" s="17"/>
      <c r="ZW4" s="17"/>
      <c r="ZX4" s="17"/>
      <c r="ZY4" s="17"/>
      <c r="ZZ4" s="17"/>
    </row>
    <row r="5" spans="1:702" s="33" customFormat="1" x14ac:dyDescent="0.25">
      <c r="A5" s="30" t="str">
        <f>IF(COUNTA(B5:B5)=0,"", MAX(A$2:A4)+1)</f>
        <v/>
      </c>
      <c r="C5" s="34"/>
      <c r="D5" s="63"/>
      <c r="M5" s="34"/>
      <c r="Q5" s="34"/>
      <c r="U5" s="17"/>
      <c r="V5" s="62"/>
      <c r="W5" s="97"/>
      <c r="Z5" s="30" t="str">
        <f t="shared" si="0"/>
        <v/>
      </c>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C5" s="17"/>
      <c r="ED5" s="17"/>
      <c r="EE5" s="17"/>
      <c r="EF5" s="17"/>
      <c r="EG5" s="17"/>
      <c r="EH5" s="17"/>
      <c r="EI5" s="17"/>
      <c r="EJ5" s="17"/>
      <c r="EK5" s="17"/>
      <c r="EL5" s="17"/>
      <c r="EM5" s="17"/>
      <c r="EN5" s="17"/>
      <c r="EO5" s="17"/>
      <c r="EP5" s="17"/>
      <c r="EQ5" s="17"/>
      <c r="ER5" s="17"/>
      <c r="ES5" s="17"/>
      <c r="ET5" s="17"/>
      <c r="EU5" s="17"/>
      <c r="EV5" s="17"/>
      <c r="EW5" s="17"/>
      <c r="EX5" s="17"/>
      <c r="EY5" s="17"/>
      <c r="EZ5" s="17"/>
      <c r="FA5" s="17"/>
      <c r="FB5" s="17"/>
      <c r="FC5" s="17"/>
      <c r="FD5" s="17"/>
      <c r="FE5" s="17"/>
      <c r="FF5" s="17"/>
      <c r="FG5" s="17"/>
      <c r="FH5" s="17"/>
      <c r="FI5" s="17"/>
      <c r="FJ5" s="17"/>
      <c r="FK5" s="17"/>
      <c r="FL5" s="17"/>
      <c r="FM5" s="17"/>
      <c r="FN5" s="17"/>
      <c r="FO5" s="17"/>
      <c r="FP5" s="17"/>
      <c r="FQ5" s="17"/>
      <c r="FR5" s="17"/>
      <c r="FS5" s="17"/>
      <c r="FT5" s="17"/>
      <c r="FU5" s="17"/>
      <c r="FV5" s="17"/>
      <c r="FW5" s="17"/>
      <c r="FX5" s="17"/>
      <c r="FY5" s="17"/>
      <c r="FZ5" s="17"/>
      <c r="GA5" s="17"/>
      <c r="GB5" s="17"/>
      <c r="GC5" s="17"/>
      <c r="GD5" s="17"/>
      <c r="GE5" s="17"/>
      <c r="GF5" s="17"/>
      <c r="GG5" s="17"/>
      <c r="GH5" s="17"/>
      <c r="GI5" s="17"/>
      <c r="GJ5" s="17"/>
      <c r="GK5" s="17"/>
      <c r="GL5" s="17"/>
      <c r="GM5" s="17"/>
      <c r="GN5" s="17"/>
      <c r="GO5" s="17"/>
      <c r="GP5" s="17"/>
      <c r="GQ5" s="17"/>
      <c r="GR5" s="17"/>
      <c r="GS5" s="17"/>
      <c r="GT5" s="17"/>
      <c r="GU5" s="17"/>
      <c r="GV5" s="17"/>
      <c r="GW5" s="17"/>
      <c r="GX5" s="17"/>
      <c r="GY5" s="17"/>
      <c r="GZ5" s="17"/>
      <c r="HA5" s="17"/>
      <c r="HB5" s="17"/>
      <c r="HC5" s="17"/>
      <c r="HD5" s="17"/>
      <c r="HE5" s="17"/>
      <c r="HF5" s="17"/>
      <c r="HG5" s="17"/>
      <c r="HH5" s="17"/>
      <c r="HI5" s="17"/>
      <c r="HJ5" s="17"/>
      <c r="HK5" s="17"/>
      <c r="HL5" s="17"/>
      <c r="HM5" s="17"/>
      <c r="HN5" s="17"/>
      <c r="HO5" s="17"/>
      <c r="HP5" s="17"/>
      <c r="HQ5" s="17"/>
      <c r="HR5" s="17"/>
      <c r="HS5" s="17"/>
      <c r="HT5" s="17"/>
      <c r="HU5" s="17"/>
      <c r="HV5" s="17"/>
      <c r="HW5" s="17"/>
      <c r="HX5" s="17"/>
      <c r="HY5" s="17"/>
      <c r="HZ5" s="17"/>
      <c r="IA5" s="17"/>
      <c r="IB5" s="17"/>
      <c r="IC5" s="17"/>
      <c r="ID5" s="17"/>
      <c r="IE5" s="17"/>
      <c r="IF5" s="17"/>
      <c r="IG5" s="17"/>
      <c r="IH5" s="17"/>
      <c r="II5" s="17"/>
      <c r="IJ5" s="17"/>
      <c r="IK5" s="17"/>
      <c r="IL5" s="17"/>
      <c r="IM5" s="17"/>
      <c r="IN5" s="17"/>
      <c r="IO5" s="17"/>
      <c r="IP5" s="17"/>
      <c r="IQ5" s="17"/>
      <c r="IR5" s="17"/>
      <c r="IS5" s="17"/>
      <c r="IT5" s="17"/>
      <c r="IU5" s="17"/>
      <c r="IV5" s="17"/>
      <c r="IW5" s="17"/>
      <c r="IX5" s="17"/>
      <c r="IY5" s="17"/>
      <c r="IZ5" s="17"/>
      <c r="JA5" s="17"/>
      <c r="JB5" s="17"/>
      <c r="JC5" s="17"/>
      <c r="JD5" s="17"/>
      <c r="JE5" s="17"/>
      <c r="JF5" s="17"/>
      <c r="JG5" s="17"/>
      <c r="JH5" s="17"/>
      <c r="JI5" s="17"/>
      <c r="JJ5" s="17"/>
      <c r="JK5" s="17"/>
      <c r="JL5" s="17"/>
      <c r="JM5" s="17"/>
      <c r="JN5" s="17"/>
      <c r="JO5" s="17"/>
      <c r="JP5" s="17"/>
      <c r="JQ5" s="17"/>
      <c r="JR5" s="17"/>
      <c r="JS5" s="17"/>
      <c r="JT5" s="17"/>
      <c r="JU5" s="17"/>
      <c r="JV5" s="17"/>
      <c r="JW5" s="17"/>
      <c r="JX5" s="17"/>
      <c r="JY5" s="17"/>
      <c r="JZ5" s="17"/>
      <c r="KA5" s="17"/>
      <c r="KB5" s="17"/>
      <c r="KC5" s="17"/>
      <c r="KD5" s="17"/>
      <c r="KE5" s="17"/>
      <c r="KF5" s="17"/>
      <c r="KG5" s="17"/>
      <c r="KH5" s="17"/>
      <c r="KI5" s="17"/>
      <c r="KJ5" s="17"/>
      <c r="KK5" s="17"/>
      <c r="KL5" s="17"/>
      <c r="KM5" s="17"/>
      <c r="KN5" s="17"/>
      <c r="KO5" s="17"/>
      <c r="KP5" s="17"/>
      <c r="KQ5" s="17"/>
      <c r="KR5" s="17"/>
      <c r="KS5" s="17"/>
      <c r="KT5" s="17"/>
      <c r="KU5" s="17"/>
      <c r="KV5" s="17"/>
      <c r="KW5" s="17"/>
      <c r="KX5" s="17"/>
      <c r="KY5" s="17"/>
      <c r="KZ5" s="17"/>
      <c r="LA5" s="17"/>
      <c r="LB5" s="17"/>
      <c r="LC5" s="17"/>
      <c r="LD5" s="17"/>
      <c r="LE5" s="17"/>
      <c r="LF5" s="17"/>
      <c r="LG5" s="17"/>
      <c r="LH5" s="17"/>
      <c r="LI5" s="17"/>
      <c r="LJ5" s="17"/>
      <c r="LK5" s="17"/>
      <c r="LL5" s="17"/>
      <c r="LM5" s="17"/>
      <c r="LN5" s="17"/>
      <c r="LO5" s="17"/>
      <c r="LP5" s="17"/>
      <c r="LQ5" s="17"/>
      <c r="LR5" s="17"/>
      <c r="LS5" s="17"/>
      <c r="LT5" s="17"/>
      <c r="LU5" s="17"/>
      <c r="LV5" s="17"/>
      <c r="LW5" s="17"/>
      <c r="LX5" s="17"/>
      <c r="LY5" s="17"/>
      <c r="LZ5" s="17"/>
      <c r="MA5" s="17"/>
      <c r="MB5" s="17"/>
      <c r="MC5" s="17"/>
      <c r="MD5" s="17"/>
      <c r="ME5" s="17"/>
      <c r="MF5" s="17"/>
      <c r="MG5" s="17"/>
      <c r="MH5" s="17"/>
      <c r="MI5" s="17"/>
      <c r="MJ5" s="17"/>
      <c r="MK5" s="17"/>
      <c r="ML5" s="17"/>
      <c r="MM5" s="17"/>
      <c r="MN5" s="17"/>
      <c r="MO5" s="17"/>
      <c r="MP5" s="17"/>
      <c r="MQ5" s="17"/>
      <c r="MR5" s="17"/>
      <c r="MS5" s="17"/>
      <c r="MT5" s="17"/>
      <c r="MU5" s="17"/>
      <c r="MV5" s="17"/>
      <c r="MW5" s="17"/>
      <c r="MX5" s="17"/>
      <c r="MY5" s="17"/>
      <c r="MZ5" s="17"/>
      <c r="NA5" s="17"/>
      <c r="NB5" s="17"/>
      <c r="NC5" s="17"/>
      <c r="ND5" s="17"/>
      <c r="NE5" s="17"/>
      <c r="NF5" s="17"/>
      <c r="NG5" s="17"/>
      <c r="NH5" s="17"/>
      <c r="NI5" s="17"/>
      <c r="NJ5" s="17"/>
      <c r="NK5" s="17"/>
      <c r="NL5" s="17"/>
      <c r="NM5" s="17"/>
      <c r="NN5" s="17"/>
      <c r="NO5" s="17"/>
      <c r="NP5" s="17"/>
      <c r="NQ5" s="17"/>
      <c r="NR5" s="17"/>
      <c r="NS5" s="17"/>
      <c r="NT5" s="17"/>
      <c r="NU5" s="17"/>
      <c r="NV5" s="17"/>
      <c r="NW5" s="17"/>
      <c r="NX5" s="17"/>
      <c r="NY5" s="17"/>
      <c r="NZ5" s="17"/>
      <c r="OA5" s="17"/>
      <c r="OB5" s="17"/>
      <c r="OC5" s="17"/>
      <c r="OD5" s="17"/>
      <c r="OE5" s="17"/>
      <c r="OF5" s="17"/>
      <c r="OG5" s="17"/>
      <c r="OH5" s="17"/>
      <c r="OI5" s="17"/>
      <c r="OJ5" s="17"/>
      <c r="OK5" s="17"/>
      <c r="OL5" s="17"/>
      <c r="OM5" s="17"/>
      <c r="ON5" s="17"/>
      <c r="OO5" s="17"/>
      <c r="OP5" s="17"/>
      <c r="OQ5" s="17"/>
      <c r="OR5" s="17"/>
      <c r="OS5" s="17"/>
      <c r="OT5" s="17"/>
      <c r="OU5" s="17"/>
      <c r="OV5" s="17"/>
      <c r="OW5" s="17"/>
      <c r="OX5" s="17"/>
      <c r="OY5" s="17"/>
      <c r="OZ5" s="17"/>
      <c r="PA5" s="17"/>
      <c r="PB5" s="17"/>
      <c r="PC5" s="17"/>
      <c r="PD5" s="17"/>
      <c r="PE5" s="17"/>
      <c r="PF5" s="17"/>
      <c r="PG5" s="17"/>
      <c r="PH5" s="17"/>
      <c r="PI5" s="17"/>
      <c r="PJ5" s="17"/>
      <c r="PK5" s="17"/>
      <c r="PL5" s="17"/>
      <c r="PM5" s="17"/>
      <c r="PN5" s="17"/>
      <c r="PO5" s="17"/>
      <c r="PP5" s="17"/>
      <c r="PQ5" s="17"/>
      <c r="PR5" s="17"/>
      <c r="PS5" s="17"/>
      <c r="PT5" s="17"/>
      <c r="PU5" s="17"/>
      <c r="PV5" s="17"/>
      <c r="PW5" s="17"/>
      <c r="PX5" s="17"/>
      <c r="PY5" s="17"/>
      <c r="PZ5" s="17"/>
      <c r="QA5" s="17"/>
      <c r="QB5" s="17"/>
      <c r="QC5" s="17"/>
      <c r="QD5" s="17"/>
      <c r="QE5" s="17"/>
      <c r="QF5" s="17"/>
      <c r="QG5" s="17"/>
      <c r="QH5" s="17"/>
      <c r="QI5" s="17"/>
      <c r="QJ5" s="17"/>
      <c r="QK5" s="17"/>
      <c r="QL5" s="17"/>
      <c r="QM5" s="17"/>
      <c r="QN5" s="17"/>
      <c r="QO5" s="17"/>
      <c r="QP5" s="17"/>
      <c r="QQ5" s="17"/>
      <c r="QR5" s="17"/>
      <c r="QS5" s="17"/>
      <c r="QT5" s="17"/>
      <c r="QU5" s="17"/>
      <c r="QV5" s="17"/>
      <c r="QW5" s="17"/>
      <c r="QX5" s="17"/>
      <c r="QY5" s="17"/>
      <c r="QZ5" s="17"/>
      <c r="RA5" s="17"/>
      <c r="RB5" s="17"/>
      <c r="RC5" s="17"/>
      <c r="RD5" s="17"/>
      <c r="RE5" s="17"/>
      <c r="RF5" s="17"/>
      <c r="RG5" s="17"/>
      <c r="RH5" s="17"/>
      <c r="RI5" s="17"/>
      <c r="RJ5" s="17"/>
      <c r="RK5" s="17"/>
      <c r="RL5" s="17"/>
      <c r="RM5" s="17"/>
      <c r="RN5" s="17"/>
      <c r="RO5" s="17"/>
      <c r="RP5" s="17"/>
      <c r="RQ5" s="17"/>
      <c r="RR5" s="17"/>
      <c r="RS5" s="17"/>
      <c r="RT5" s="17"/>
      <c r="RU5" s="17"/>
      <c r="RV5" s="17"/>
      <c r="RW5" s="17"/>
      <c r="RX5" s="17"/>
      <c r="RY5" s="17"/>
      <c r="RZ5" s="17"/>
      <c r="SA5" s="17"/>
      <c r="SB5" s="17"/>
      <c r="SC5" s="17"/>
      <c r="SD5" s="17"/>
      <c r="SE5" s="17"/>
      <c r="SF5" s="17"/>
      <c r="SG5" s="17"/>
      <c r="SH5" s="17"/>
      <c r="SI5" s="17"/>
      <c r="SJ5" s="17"/>
      <c r="SK5" s="17"/>
      <c r="SL5" s="17"/>
      <c r="SM5" s="17"/>
      <c r="SN5" s="17"/>
      <c r="SO5" s="17"/>
      <c r="SP5" s="17"/>
      <c r="SQ5" s="17"/>
      <c r="SR5" s="17"/>
      <c r="SS5" s="17"/>
      <c r="ST5" s="17"/>
      <c r="SU5" s="17"/>
      <c r="SV5" s="17"/>
      <c r="SW5" s="17"/>
      <c r="SX5" s="17"/>
      <c r="SY5" s="17"/>
      <c r="SZ5" s="17"/>
      <c r="TA5" s="17"/>
      <c r="TB5" s="17"/>
      <c r="TC5" s="17"/>
      <c r="TD5" s="17"/>
      <c r="TE5" s="17"/>
      <c r="TF5" s="17"/>
      <c r="TG5" s="17"/>
      <c r="TH5" s="17"/>
      <c r="TI5" s="17"/>
      <c r="TJ5" s="17"/>
      <c r="TK5" s="17"/>
      <c r="TL5" s="17"/>
      <c r="TM5" s="17"/>
      <c r="TN5" s="17"/>
      <c r="TO5" s="17"/>
      <c r="TP5" s="17"/>
      <c r="TQ5" s="17"/>
      <c r="TR5" s="17"/>
      <c r="TS5" s="17"/>
      <c r="TT5" s="17"/>
      <c r="TU5" s="17"/>
      <c r="TV5" s="17"/>
      <c r="TW5" s="17"/>
      <c r="TX5" s="17"/>
      <c r="TY5" s="17"/>
      <c r="TZ5" s="17"/>
      <c r="UA5" s="17"/>
      <c r="UB5" s="17"/>
      <c r="UC5" s="17"/>
      <c r="UD5" s="17"/>
      <c r="UE5" s="17"/>
      <c r="UF5" s="17"/>
      <c r="UG5" s="17"/>
      <c r="UH5" s="17"/>
      <c r="UI5" s="17"/>
      <c r="UJ5" s="17"/>
      <c r="UK5" s="17"/>
      <c r="UL5" s="17"/>
      <c r="UM5" s="17"/>
      <c r="UN5" s="17"/>
      <c r="UO5" s="17"/>
      <c r="UP5" s="17"/>
      <c r="UQ5" s="17"/>
      <c r="UR5" s="17"/>
      <c r="US5" s="17"/>
      <c r="UT5" s="17"/>
      <c r="UU5" s="17"/>
      <c r="UV5" s="17"/>
      <c r="UW5" s="17"/>
      <c r="UX5" s="17"/>
      <c r="UY5" s="17"/>
      <c r="UZ5" s="17"/>
      <c r="VA5" s="17"/>
      <c r="VB5" s="17"/>
      <c r="VC5" s="17"/>
      <c r="VD5" s="17"/>
      <c r="VE5" s="17"/>
      <c r="VF5" s="17"/>
      <c r="VG5" s="17"/>
      <c r="VH5" s="17"/>
      <c r="VI5" s="17"/>
      <c r="VJ5" s="17"/>
      <c r="VK5" s="17"/>
      <c r="VL5" s="17"/>
      <c r="VM5" s="17"/>
      <c r="VN5" s="17"/>
      <c r="VO5" s="17"/>
      <c r="VP5" s="17"/>
      <c r="VQ5" s="17"/>
      <c r="VR5" s="17"/>
      <c r="VS5" s="17"/>
      <c r="VT5" s="17"/>
      <c r="VU5" s="17"/>
      <c r="VV5" s="17"/>
      <c r="VW5" s="17"/>
      <c r="VX5" s="17"/>
      <c r="VY5" s="17"/>
      <c r="VZ5" s="17"/>
      <c r="WA5" s="17"/>
      <c r="WB5" s="17"/>
      <c r="WC5" s="17"/>
      <c r="WD5" s="17"/>
      <c r="WE5" s="17"/>
      <c r="WF5" s="17"/>
      <c r="WG5" s="17"/>
      <c r="WH5" s="17"/>
      <c r="WI5" s="17"/>
      <c r="WJ5" s="17"/>
      <c r="WK5" s="17"/>
      <c r="WL5" s="17"/>
      <c r="WM5" s="17"/>
      <c r="WN5" s="17"/>
      <c r="WO5" s="17"/>
      <c r="WP5" s="17"/>
      <c r="WQ5" s="17"/>
      <c r="WR5" s="17"/>
      <c r="WS5" s="17"/>
      <c r="WT5" s="17"/>
      <c r="WU5" s="17"/>
      <c r="WV5" s="17"/>
      <c r="WW5" s="17"/>
      <c r="WX5" s="17"/>
      <c r="WY5" s="17"/>
      <c r="WZ5" s="17"/>
      <c r="XA5" s="17"/>
      <c r="XB5" s="17"/>
      <c r="XC5" s="17"/>
      <c r="XD5" s="17"/>
      <c r="XE5" s="17"/>
      <c r="XF5" s="17"/>
      <c r="XG5" s="17"/>
      <c r="XH5" s="17"/>
      <c r="XI5" s="17"/>
      <c r="XJ5" s="17"/>
      <c r="XK5" s="17"/>
      <c r="XL5" s="17"/>
      <c r="XM5" s="17"/>
      <c r="XN5" s="17"/>
      <c r="XO5" s="17"/>
      <c r="XP5" s="17"/>
      <c r="XQ5" s="17"/>
      <c r="XR5" s="17"/>
      <c r="XS5" s="17"/>
      <c r="XT5" s="17"/>
      <c r="XU5" s="17"/>
      <c r="XV5" s="17"/>
      <c r="XW5" s="17"/>
      <c r="XX5" s="17"/>
      <c r="XY5" s="17"/>
      <c r="XZ5" s="17"/>
      <c r="YA5" s="17"/>
      <c r="YB5" s="17"/>
      <c r="YC5" s="17"/>
      <c r="YD5" s="17"/>
      <c r="YE5" s="17"/>
      <c r="YF5" s="17"/>
      <c r="YG5" s="17"/>
      <c r="YH5" s="17"/>
      <c r="YI5" s="17"/>
      <c r="YJ5" s="17"/>
      <c r="YK5" s="17"/>
      <c r="YL5" s="17"/>
      <c r="YM5" s="17"/>
      <c r="YN5" s="17"/>
      <c r="YO5" s="17"/>
      <c r="YP5" s="17"/>
      <c r="YQ5" s="17"/>
      <c r="YR5" s="17"/>
      <c r="YS5" s="17"/>
      <c r="YT5" s="17"/>
      <c r="YU5" s="17"/>
      <c r="YV5" s="17"/>
      <c r="YW5" s="17"/>
      <c r="YX5" s="17"/>
      <c r="YY5" s="17"/>
      <c r="YZ5" s="17"/>
      <c r="ZA5" s="17"/>
      <c r="ZB5" s="17"/>
      <c r="ZC5" s="17"/>
      <c r="ZD5" s="17"/>
      <c r="ZE5" s="17"/>
      <c r="ZF5" s="17"/>
      <c r="ZG5" s="17"/>
      <c r="ZH5" s="17"/>
      <c r="ZI5" s="17"/>
      <c r="ZJ5" s="17"/>
      <c r="ZK5" s="17"/>
      <c r="ZL5" s="17"/>
      <c r="ZM5" s="17"/>
      <c r="ZN5" s="17"/>
      <c r="ZO5" s="17"/>
      <c r="ZP5" s="17"/>
      <c r="ZQ5" s="17"/>
      <c r="ZR5" s="17"/>
      <c r="ZS5" s="17"/>
      <c r="ZT5" s="17"/>
      <c r="ZU5" s="17"/>
      <c r="ZV5" s="17"/>
      <c r="ZW5" s="17"/>
      <c r="ZX5" s="17"/>
      <c r="ZY5" s="17"/>
      <c r="ZZ5" s="17"/>
    </row>
    <row r="6" spans="1:702" s="33" customFormat="1" x14ac:dyDescent="0.25">
      <c r="A6" s="30" t="str">
        <f>IF(COUNTA(B6:B6)=0,"", MAX(A$2:A5)+1)</f>
        <v/>
      </c>
      <c r="C6" s="34"/>
      <c r="D6" s="63"/>
      <c r="M6" s="34"/>
      <c r="Q6" s="34"/>
      <c r="U6" s="17"/>
      <c r="V6" s="62"/>
      <c r="W6" s="97"/>
      <c r="Z6" s="30" t="str">
        <f t="shared" si="0"/>
        <v/>
      </c>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7"/>
      <c r="ES6" s="17"/>
      <c r="ET6" s="17"/>
      <c r="EU6" s="17"/>
      <c r="EV6" s="17"/>
      <c r="EW6" s="17"/>
      <c r="EX6" s="17"/>
      <c r="EY6" s="17"/>
      <c r="EZ6" s="17"/>
      <c r="FA6" s="17"/>
      <c r="FB6" s="17"/>
      <c r="FC6" s="17"/>
      <c r="FD6" s="17"/>
      <c r="FE6" s="17"/>
      <c r="FF6" s="17"/>
      <c r="FG6" s="17"/>
      <c r="FH6" s="17"/>
      <c r="FI6" s="17"/>
      <c r="FJ6" s="17"/>
      <c r="FK6" s="17"/>
      <c r="FL6" s="17"/>
      <c r="FM6" s="17"/>
      <c r="FN6" s="17"/>
      <c r="FO6" s="17"/>
      <c r="FP6" s="17"/>
      <c r="FQ6" s="17"/>
      <c r="FR6" s="17"/>
      <c r="FS6" s="17"/>
      <c r="FT6" s="17"/>
      <c r="FU6" s="17"/>
      <c r="FV6" s="17"/>
      <c r="FW6" s="17"/>
      <c r="FX6" s="17"/>
      <c r="FY6" s="17"/>
      <c r="FZ6" s="17"/>
      <c r="GA6" s="17"/>
      <c r="GB6" s="17"/>
      <c r="GC6" s="17"/>
      <c r="GD6" s="17"/>
      <c r="GE6" s="17"/>
      <c r="GF6" s="17"/>
      <c r="GG6" s="17"/>
      <c r="GH6" s="17"/>
      <c r="GI6" s="17"/>
      <c r="GJ6" s="17"/>
      <c r="GK6" s="17"/>
      <c r="GL6" s="17"/>
      <c r="GM6" s="17"/>
      <c r="GN6" s="17"/>
      <c r="GO6" s="17"/>
      <c r="GP6" s="17"/>
      <c r="GQ6" s="17"/>
      <c r="GR6" s="17"/>
      <c r="GS6" s="17"/>
      <c r="GT6" s="17"/>
      <c r="GU6" s="17"/>
      <c r="GV6" s="17"/>
      <c r="GW6" s="17"/>
      <c r="GX6" s="17"/>
      <c r="GY6" s="17"/>
      <c r="GZ6" s="17"/>
      <c r="HA6" s="17"/>
      <c r="HB6" s="17"/>
      <c r="HC6" s="17"/>
      <c r="HD6" s="17"/>
      <c r="HE6" s="17"/>
      <c r="HF6" s="17"/>
      <c r="HG6" s="17"/>
      <c r="HH6" s="17"/>
      <c r="HI6" s="17"/>
      <c r="HJ6" s="17"/>
      <c r="HK6" s="17"/>
      <c r="HL6" s="17"/>
      <c r="HM6" s="17"/>
      <c r="HN6" s="17"/>
      <c r="HO6" s="17"/>
      <c r="HP6" s="17"/>
      <c r="HQ6" s="17"/>
      <c r="HR6" s="17"/>
      <c r="HS6" s="17"/>
      <c r="HT6" s="17"/>
      <c r="HU6" s="17"/>
      <c r="HV6" s="17"/>
      <c r="HW6" s="17"/>
      <c r="HX6" s="17"/>
      <c r="HY6" s="17"/>
      <c r="HZ6" s="17"/>
      <c r="IA6" s="17"/>
      <c r="IB6" s="17"/>
      <c r="IC6" s="17"/>
      <c r="ID6" s="17"/>
      <c r="IE6" s="17"/>
      <c r="IF6" s="17"/>
      <c r="IG6" s="17"/>
      <c r="IH6" s="17"/>
      <c r="II6" s="17"/>
      <c r="IJ6" s="17"/>
      <c r="IK6" s="17"/>
      <c r="IL6" s="17"/>
      <c r="IM6" s="17"/>
      <c r="IN6" s="17"/>
      <c r="IO6" s="17"/>
      <c r="IP6" s="17"/>
      <c r="IQ6" s="17"/>
      <c r="IR6" s="17"/>
      <c r="IS6" s="17"/>
      <c r="IT6" s="17"/>
      <c r="IU6" s="17"/>
      <c r="IV6" s="17"/>
      <c r="IW6" s="17"/>
      <c r="IX6" s="17"/>
      <c r="IY6" s="17"/>
      <c r="IZ6" s="17"/>
      <c r="JA6" s="17"/>
      <c r="JB6" s="17"/>
      <c r="JC6" s="17"/>
      <c r="JD6" s="17"/>
      <c r="JE6" s="17"/>
      <c r="JF6" s="17"/>
      <c r="JG6" s="17"/>
      <c r="JH6" s="17"/>
      <c r="JI6" s="17"/>
      <c r="JJ6" s="17"/>
      <c r="JK6" s="17"/>
      <c r="JL6" s="17"/>
      <c r="JM6" s="17"/>
      <c r="JN6" s="17"/>
      <c r="JO6" s="17"/>
      <c r="JP6" s="17"/>
      <c r="JQ6" s="17"/>
      <c r="JR6" s="17"/>
      <c r="JS6" s="17"/>
      <c r="JT6" s="17"/>
      <c r="JU6" s="17"/>
      <c r="JV6" s="17"/>
      <c r="JW6" s="17"/>
      <c r="JX6" s="17"/>
      <c r="JY6" s="17"/>
      <c r="JZ6" s="17"/>
      <c r="KA6" s="17"/>
      <c r="KB6" s="17"/>
      <c r="KC6" s="17"/>
      <c r="KD6" s="17"/>
      <c r="KE6" s="17"/>
      <c r="KF6" s="17"/>
      <c r="KG6" s="17"/>
      <c r="KH6" s="17"/>
      <c r="KI6" s="17"/>
      <c r="KJ6" s="17"/>
      <c r="KK6" s="17"/>
      <c r="KL6" s="17"/>
      <c r="KM6" s="17"/>
      <c r="KN6" s="17"/>
      <c r="KO6" s="17"/>
      <c r="KP6" s="17"/>
      <c r="KQ6" s="17"/>
      <c r="KR6" s="17"/>
      <c r="KS6" s="17"/>
      <c r="KT6" s="17"/>
      <c r="KU6" s="17"/>
      <c r="KV6" s="17"/>
      <c r="KW6" s="17"/>
      <c r="KX6" s="17"/>
      <c r="KY6" s="17"/>
      <c r="KZ6" s="17"/>
      <c r="LA6" s="17"/>
      <c r="LB6" s="17"/>
      <c r="LC6" s="17"/>
      <c r="LD6" s="17"/>
      <c r="LE6" s="17"/>
      <c r="LF6" s="17"/>
      <c r="LG6" s="17"/>
      <c r="LH6" s="17"/>
      <c r="LI6" s="17"/>
      <c r="LJ6" s="17"/>
      <c r="LK6" s="17"/>
      <c r="LL6" s="17"/>
      <c r="LM6" s="17"/>
      <c r="LN6" s="17"/>
      <c r="LO6" s="17"/>
      <c r="LP6" s="17"/>
      <c r="LQ6" s="17"/>
      <c r="LR6" s="17"/>
      <c r="LS6" s="17"/>
      <c r="LT6" s="17"/>
      <c r="LU6" s="17"/>
      <c r="LV6" s="17"/>
      <c r="LW6" s="17"/>
      <c r="LX6" s="17"/>
      <c r="LY6" s="17"/>
      <c r="LZ6" s="17"/>
      <c r="MA6" s="17"/>
      <c r="MB6" s="17"/>
      <c r="MC6" s="17"/>
      <c r="MD6" s="17"/>
      <c r="ME6" s="17"/>
      <c r="MF6" s="17"/>
      <c r="MG6" s="17"/>
      <c r="MH6" s="17"/>
      <c r="MI6" s="17"/>
      <c r="MJ6" s="17"/>
      <c r="MK6" s="17"/>
      <c r="ML6" s="17"/>
      <c r="MM6" s="17"/>
      <c r="MN6" s="17"/>
      <c r="MO6" s="17"/>
      <c r="MP6" s="17"/>
      <c r="MQ6" s="17"/>
      <c r="MR6" s="17"/>
      <c r="MS6" s="17"/>
      <c r="MT6" s="17"/>
      <c r="MU6" s="17"/>
      <c r="MV6" s="17"/>
      <c r="MW6" s="17"/>
      <c r="MX6" s="17"/>
      <c r="MY6" s="17"/>
      <c r="MZ6" s="17"/>
      <c r="NA6" s="17"/>
      <c r="NB6" s="17"/>
      <c r="NC6" s="17"/>
      <c r="ND6" s="17"/>
      <c r="NE6" s="17"/>
      <c r="NF6" s="17"/>
      <c r="NG6" s="17"/>
      <c r="NH6" s="17"/>
      <c r="NI6" s="17"/>
      <c r="NJ6" s="17"/>
      <c r="NK6" s="17"/>
      <c r="NL6" s="17"/>
      <c r="NM6" s="17"/>
      <c r="NN6" s="17"/>
      <c r="NO6" s="17"/>
      <c r="NP6" s="17"/>
      <c r="NQ6" s="17"/>
      <c r="NR6" s="17"/>
      <c r="NS6" s="17"/>
      <c r="NT6" s="17"/>
      <c r="NU6" s="17"/>
      <c r="NV6" s="17"/>
      <c r="NW6" s="17"/>
      <c r="NX6" s="17"/>
      <c r="NY6" s="17"/>
      <c r="NZ6" s="17"/>
      <c r="OA6" s="17"/>
      <c r="OB6" s="17"/>
      <c r="OC6" s="17"/>
      <c r="OD6" s="17"/>
      <c r="OE6" s="17"/>
      <c r="OF6" s="17"/>
      <c r="OG6" s="17"/>
      <c r="OH6" s="17"/>
      <c r="OI6" s="17"/>
      <c r="OJ6" s="17"/>
      <c r="OK6" s="17"/>
      <c r="OL6" s="17"/>
      <c r="OM6" s="17"/>
      <c r="ON6" s="17"/>
      <c r="OO6" s="17"/>
      <c r="OP6" s="17"/>
      <c r="OQ6" s="17"/>
      <c r="OR6" s="17"/>
      <c r="OS6" s="17"/>
      <c r="OT6" s="17"/>
      <c r="OU6" s="17"/>
      <c r="OV6" s="17"/>
      <c r="OW6" s="17"/>
      <c r="OX6" s="17"/>
      <c r="OY6" s="17"/>
      <c r="OZ6" s="17"/>
      <c r="PA6" s="17"/>
      <c r="PB6" s="17"/>
      <c r="PC6" s="17"/>
      <c r="PD6" s="17"/>
      <c r="PE6" s="17"/>
      <c r="PF6" s="17"/>
      <c r="PG6" s="17"/>
      <c r="PH6" s="17"/>
      <c r="PI6" s="17"/>
      <c r="PJ6" s="17"/>
      <c r="PK6" s="17"/>
      <c r="PL6" s="17"/>
      <c r="PM6" s="17"/>
      <c r="PN6" s="17"/>
      <c r="PO6" s="17"/>
      <c r="PP6" s="17"/>
      <c r="PQ6" s="17"/>
      <c r="PR6" s="17"/>
      <c r="PS6" s="17"/>
      <c r="PT6" s="17"/>
      <c r="PU6" s="17"/>
      <c r="PV6" s="17"/>
      <c r="PW6" s="17"/>
      <c r="PX6" s="17"/>
      <c r="PY6" s="17"/>
      <c r="PZ6" s="17"/>
      <c r="QA6" s="17"/>
      <c r="QB6" s="17"/>
      <c r="QC6" s="17"/>
      <c r="QD6" s="17"/>
      <c r="QE6" s="17"/>
      <c r="QF6" s="17"/>
      <c r="QG6" s="17"/>
      <c r="QH6" s="17"/>
      <c r="QI6" s="17"/>
      <c r="QJ6" s="17"/>
      <c r="QK6" s="17"/>
      <c r="QL6" s="17"/>
      <c r="QM6" s="17"/>
      <c r="QN6" s="17"/>
      <c r="QO6" s="17"/>
      <c r="QP6" s="17"/>
      <c r="QQ6" s="17"/>
      <c r="QR6" s="17"/>
      <c r="QS6" s="17"/>
      <c r="QT6" s="17"/>
      <c r="QU6" s="17"/>
      <c r="QV6" s="17"/>
      <c r="QW6" s="17"/>
      <c r="QX6" s="17"/>
      <c r="QY6" s="17"/>
      <c r="QZ6" s="17"/>
      <c r="RA6" s="17"/>
      <c r="RB6" s="17"/>
      <c r="RC6" s="17"/>
      <c r="RD6" s="17"/>
      <c r="RE6" s="17"/>
      <c r="RF6" s="17"/>
      <c r="RG6" s="17"/>
      <c r="RH6" s="17"/>
      <c r="RI6" s="17"/>
      <c r="RJ6" s="17"/>
      <c r="RK6" s="17"/>
      <c r="RL6" s="17"/>
      <c r="RM6" s="17"/>
      <c r="RN6" s="17"/>
      <c r="RO6" s="17"/>
      <c r="RP6" s="17"/>
      <c r="RQ6" s="17"/>
      <c r="RR6" s="17"/>
      <c r="RS6" s="17"/>
      <c r="RT6" s="17"/>
      <c r="RU6" s="17"/>
      <c r="RV6" s="17"/>
      <c r="RW6" s="17"/>
      <c r="RX6" s="17"/>
      <c r="RY6" s="17"/>
      <c r="RZ6" s="17"/>
      <c r="SA6" s="17"/>
      <c r="SB6" s="17"/>
      <c r="SC6" s="17"/>
      <c r="SD6" s="17"/>
      <c r="SE6" s="17"/>
      <c r="SF6" s="17"/>
      <c r="SG6" s="17"/>
      <c r="SH6" s="17"/>
      <c r="SI6" s="17"/>
      <c r="SJ6" s="17"/>
      <c r="SK6" s="17"/>
      <c r="SL6" s="17"/>
      <c r="SM6" s="17"/>
      <c r="SN6" s="17"/>
      <c r="SO6" s="17"/>
      <c r="SP6" s="17"/>
      <c r="SQ6" s="17"/>
      <c r="SR6" s="17"/>
      <c r="SS6" s="17"/>
      <c r="ST6" s="17"/>
      <c r="SU6" s="17"/>
      <c r="SV6" s="17"/>
      <c r="SW6" s="17"/>
      <c r="SX6" s="17"/>
      <c r="SY6" s="17"/>
      <c r="SZ6" s="17"/>
      <c r="TA6" s="17"/>
      <c r="TB6" s="17"/>
      <c r="TC6" s="17"/>
      <c r="TD6" s="17"/>
      <c r="TE6" s="17"/>
      <c r="TF6" s="17"/>
      <c r="TG6" s="17"/>
      <c r="TH6" s="17"/>
      <c r="TI6" s="17"/>
      <c r="TJ6" s="17"/>
      <c r="TK6" s="17"/>
      <c r="TL6" s="17"/>
      <c r="TM6" s="17"/>
      <c r="TN6" s="17"/>
      <c r="TO6" s="17"/>
      <c r="TP6" s="17"/>
      <c r="TQ6" s="17"/>
      <c r="TR6" s="17"/>
      <c r="TS6" s="17"/>
      <c r="TT6" s="17"/>
      <c r="TU6" s="17"/>
      <c r="TV6" s="17"/>
      <c r="TW6" s="17"/>
      <c r="TX6" s="17"/>
      <c r="TY6" s="17"/>
      <c r="TZ6" s="17"/>
      <c r="UA6" s="17"/>
      <c r="UB6" s="17"/>
      <c r="UC6" s="17"/>
      <c r="UD6" s="17"/>
      <c r="UE6" s="17"/>
      <c r="UF6" s="17"/>
      <c r="UG6" s="17"/>
      <c r="UH6" s="17"/>
      <c r="UI6" s="17"/>
      <c r="UJ6" s="17"/>
      <c r="UK6" s="17"/>
      <c r="UL6" s="17"/>
      <c r="UM6" s="17"/>
      <c r="UN6" s="17"/>
      <c r="UO6" s="17"/>
      <c r="UP6" s="17"/>
      <c r="UQ6" s="17"/>
      <c r="UR6" s="17"/>
      <c r="US6" s="17"/>
      <c r="UT6" s="17"/>
      <c r="UU6" s="17"/>
      <c r="UV6" s="17"/>
      <c r="UW6" s="17"/>
      <c r="UX6" s="17"/>
      <c r="UY6" s="17"/>
      <c r="UZ6" s="17"/>
      <c r="VA6" s="17"/>
      <c r="VB6" s="17"/>
      <c r="VC6" s="17"/>
      <c r="VD6" s="17"/>
      <c r="VE6" s="17"/>
      <c r="VF6" s="17"/>
      <c r="VG6" s="17"/>
      <c r="VH6" s="17"/>
      <c r="VI6" s="17"/>
      <c r="VJ6" s="17"/>
      <c r="VK6" s="17"/>
      <c r="VL6" s="17"/>
      <c r="VM6" s="17"/>
      <c r="VN6" s="17"/>
      <c r="VO6" s="17"/>
      <c r="VP6" s="17"/>
      <c r="VQ6" s="17"/>
      <c r="VR6" s="17"/>
      <c r="VS6" s="17"/>
      <c r="VT6" s="17"/>
      <c r="VU6" s="17"/>
      <c r="VV6" s="17"/>
      <c r="VW6" s="17"/>
      <c r="VX6" s="17"/>
      <c r="VY6" s="17"/>
      <c r="VZ6" s="17"/>
      <c r="WA6" s="17"/>
      <c r="WB6" s="17"/>
      <c r="WC6" s="17"/>
      <c r="WD6" s="17"/>
      <c r="WE6" s="17"/>
      <c r="WF6" s="17"/>
      <c r="WG6" s="17"/>
      <c r="WH6" s="17"/>
      <c r="WI6" s="17"/>
      <c r="WJ6" s="17"/>
      <c r="WK6" s="17"/>
      <c r="WL6" s="17"/>
      <c r="WM6" s="17"/>
      <c r="WN6" s="17"/>
      <c r="WO6" s="17"/>
      <c r="WP6" s="17"/>
      <c r="WQ6" s="17"/>
      <c r="WR6" s="17"/>
      <c r="WS6" s="17"/>
      <c r="WT6" s="17"/>
      <c r="WU6" s="17"/>
      <c r="WV6" s="17"/>
      <c r="WW6" s="17"/>
      <c r="WX6" s="17"/>
      <c r="WY6" s="17"/>
      <c r="WZ6" s="17"/>
      <c r="XA6" s="17"/>
      <c r="XB6" s="17"/>
      <c r="XC6" s="17"/>
      <c r="XD6" s="17"/>
      <c r="XE6" s="17"/>
      <c r="XF6" s="17"/>
      <c r="XG6" s="17"/>
      <c r="XH6" s="17"/>
      <c r="XI6" s="17"/>
      <c r="XJ6" s="17"/>
      <c r="XK6" s="17"/>
      <c r="XL6" s="17"/>
      <c r="XM6" s="17"/>
      <c r="XN6" s="17"/>
      <c r="XO6" s="17"/>
      <c r="XP6" s="17"/>
      <c r="XQ6" s="17"/>
      <c r="XR6" s="17"/>
      <c r="XS6" s="17"/>
      <c r="XT6" s="17"/>
      <c r="XU6" s="17"/>
      <c r="XV6" s="17"/>
      <c r="XW6" s="17"/>
      <c r="XX6" s="17"/>
      <c r="XY6" s="17"/>
      <c r="XZ6" s="17"/>
      <c r="YA6" s="17"/>
      <c r="YB6" s="17"/>
      <c r="YC6" s="17"/>
      <c r="YD6" s="17"/>
      <c r="YE6" s="17"/>
      <c r="YF6" s="17"/>
      <c r="YG6" s="17"/>
      <c r="YH6" s="17"/>
      <c r="YI6" s="17"/>
      <c r="YJ6" s="17"/>
      <c r="YK6" s="17"/>
      <c r="YL6" s="17"/>
      <c r="YM6" s="17"/>
      <c r="YN6" s="17"/>
      <c r="YO6" s="17"/>
      <c r="YP6" s="17"/>
      <c r="YQ6" s="17"/>
      <c r="YR6" s="17"/>
      <c r="YS6" s="17"/>
      <c r="YT6" s="17"/>
      <c r="YU6" s="17"/>
      <c r="YV6" s="17"/>
      <c r="YW6" s="17"/>
      <c r="YX6" s="17"/>
      <c r="YY6" s="17"/>
      <c r="YZ6" s="17"/>
      <c r="ZA6" s="17"/>
      <c r="ZB6" s="17"/>
      <c r="ZC6" s="17"/>
      <c r="ZD6" s="17"/>
      <c r="ZE6" s="17"/>
      <c r="ZF6" s="17"/>
      <c r="ZG6" s="17"/>
      <c r="ZH6" s="17"/>
      <c r="ZI6" s="17"/>
      <c r="ZJ6" s="17"/>
      <c r="ZK6" s="17"/>
      <c r="ZL6" s="17"/>
      <c r="ZM6" s="17"/>
      <c r="ZN6" s="17"/>
      <c r="ZO6" s="17"/>
      <c r="ZP6" s="17"/>
      <c r="ZQ6" s="17"/>
      <c r="ZR6" s="17"/>
      <c r="ZS6" s="17"/>
      <c r="ZT6" s="17"/>
      <c r="ZU6" s="17"/>
      <c r="ZV6" s="17"/>
      <c r="ZW6" s="17"/>
      <c r="ZX6" s="17"/>
      <c r="ZY6" s="17"/>
      <c r="ZZ6" s="17"/>
    </row>
    <row r="7" spans="1:702" s="33" customFormat="1" x14ac:dyDescent="0.25">
      <c r="A7" s="30" t="str">
        <f>IF(COUNTA(B7:B7)=0,"", MAX(A$2:A6)+1)</f>
        <v/>
      </c>
      <c r="C7" s="34"/>
      <c r="D7" s="63"/>
      <c r="M7" s="34"/>
      <c r="Q7" s="34"/>
      <c r="U7" s="17"/>
      <c r="V7" s="62"/>
      <c r="W7" s="97"/>
      <c r="Z7" s="30" t="str">
        <f t="shared" si="0"/>
        <v/>
      </c>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c r="EC7" s="17"/>
      <c r="ED7" s="17"/>
      <c r="EE7" s="17"/>
      <c r="EF7" s="17"/>
      <c r="EG7" s="17"/>
      <c r="EH7" s="17"/>
      <c r="EI7" s="17"/>
      <c r="EJ7" s="17"/>
      <c r="EK7" s="17"/>
      <c r="EL7" s="17"/>
      <c r="EM7" s="17"/>
      <c r="EN7" s="17"/>
      <c r="EO7" s="17"/>
      <c r="EP7" s="17"/>
      <c r="EQ7" s="17"/>
      <c r="ER7" s="17"/>
      <c r="ES7" s="17"/>
      <c r="ET7" s="17"/>
      <c r="EU7" s="17"/>
      <c r="EV7" s="17"/>
      <c r="EW7" s="17"/>
      <c r="EX7" s="17"/>
      <c r="EY7" s="17"/>
      <c r="EZ7" s="17"/>
      <c r="FA7" s="17"/>
      <c r="FB7" s="17"/>
      <c r="FC7" s="17"/>
      <c r="FD7" s="17"/>
      <c r="FE7" s="17"/>
      <c r="FF7" s="17"/>
      <c r="FG7" s="17"/>
      <c r="FH7" s="17"/>
      <c r="FI7" s="17"/>
      <c r="FJ7" s="17"/>
      <c r="FK7" s="17"/>
      <c r="FL7" s="17"/>
      <c r="FM7" s="17"/>
      <c r="FN7" s="17"/>
      <c r="FO7" s="17"/>
      <c r="FP7" s="17"/>
      <c r="FQ7" s="17"/>
      <c r="FR7" s="17"/>
      <c r="FS7" s="17"/>
      <c r="FT7" s="17"/>
      <c r="FU7" s="17"/>
      <c r="FV7" s="17"/>
      <c r="FW7" s="17"/>
      <c r="FX7" s="17"/>
      <c r="FY7" s="17"/>
      <c r="FZ7" s="17"/>
      <c r="GA7" s="17"/>
      <c r="GB7" s="17"/>
      <c r="GC7" s="17"/>
      <c r="GD7" s="17"/>
      <c r="GE7" s="17"/>
      <c r="GF7" s="17"/>
      <c r="GG7" s="17"/>
      <c r="GH7" s="17"/>
      <c r="GI7" s="17"/>
      <c r="GJ7" s="17"/>
      <c r="GK7" s="17"/>
      <c r="GL7" s="17"/>
      <c r="GM7" s="17"/>
      <c r="GN7" s="17"/>
      <c r="GO7" s="17"/>
      <c r="GP7" s="17"/>
      <c r="GQ7" s="17"/>
      <c r="GR7" s="17"/>
      <c r="GS7" s="17"/>
      <c r="GT7" s="17"/>
      <c r="GU7" s="17"/>
      <c r="GV7" s="17"/>
      <c r="GW7" s="17"/>
      <c r="GX7" s="17"/>
      <c r="GY7" s="17"/>
      <c r="GZ7" s="17"/>
      <c r="HA7" s="17"/>
      <c r="HB7" s="17"/>
      <c r="HC7" s="17"/>
      <c r="HD7" s="17"/>
      <c r="HE7" s="17"/>
      <c r="HF7" s="17"/>
      <c r="HG7" s="17"/>
      <c r="HH7" s="17"/>
      <c r="HI7" s="17"/>
      <c r="HJ7" s="17"/>
      <c r="HK7" s="17"/>
      <c r="HL7" s="17"/>
      <c r="HM7" s="17"/>
      <c r="HN7" s="17"/>
      <c r="HO7" s="17"/>
      <c r="HP7" s="17"/>
      <c r="HQ7" s="17"/>
      <c r="HR7" s="17"/>
      <c r="HS7" s="17"/>
      <c r="HT7" s="17"/>
      <c r="HU7" s="17"/>
      <c r="HV7" s="17"/>
      <c r="HW7" s="17"/>
      <c r="HX7" s="17"/>
      <c r="HY7" s="17"/>
      <c r="HZ7" s="17"/>
      <c r="IA7" s="17"/>
      <c r="IB7" s="17"/>
      <c r="IC7" s="17"/>
      <c r="ID7" s="17"/>
      <c r="IE7" s="17"/>
      <c r="IF7" s="17"/>
      <c r="IG7" s="17"/>
      <c r="IH7" s="17"/>
      <c r="II7" s="17"/>
      <c r="IJ7" s="17"/>
      <c r="IK7" s="17"/>
      <c r="IL7" s="17"/>
      <c r="IM7" s="17"/>
      <c r="IN7" s="17"/>
      <c r="IO7" s="17"/>
      <c r="IP7" s="17"/>
      <c r="IQ7" s="17"/>
      <c r="IR7" s="17"/>
      <c r="IS7" s="17"/>
      <c r="IT7" s="17"/>
      <c r="IU7" s="17"/>
      <c r="IV7" s="17"/>
      <c r="IW7" s="17"/>
      <c r="IX7" s="17"/>
      <c r="IY7" s="17"/>
      <c r="IZ7" s="17"/>
      <c r="JA7" s="17"/>
      <c r="JB7" s="17"/>
      <c r="JC7" s="17"/>
      <c r="JD7" s="17"/>
      <c r="JE7" s="17"/>
      <c r="JF7" s="17"/>
      <c r="JG7" s="17"/>
      <c r="JH7" s="17"/>
      <c r="JI7" s="17"/>
      <c r="JJ7" s="17"/>
      <c r="JK7" s="17"/>
      <c r="JL7" s="17"/>
      <c r="JM7" s="17"/>
      <c r="JN7" s="17"/>
      <c r="JO7" s="17"/>
      <c r="JP7" s="17"/>
      <c r="JQ7" s="17"/>
      <c r="JR7" s="17"/>
      <c r="JS7" s="17"/>
      <c r="JT7" s="17"/>
      <c r="JU7" s="17"/>
      <c r="JV7" s="17"/>
      <c r="JW7" s="17"/>
      <c r="JX7" s="17"/>
      <c r="JY7" s="17"/>
      <c r="JZ7" s="17"/>
      <c r="KA7" s="17"/>
      <c r="KB7" s="17"/>
      <c r="KC7" s="17"/>
      <c r="KD7" s="17"/>
      <c r="KE7" s="17"/>
      <c r="KF7" s="17"/>
      <c r="KG7" s="17"/>
      <c r="KH7" s="17"/>
      <c r="KI7" s="17"/>
      <c r="KJ7" s="17"/>
      <c r="KK7" s="17"/>
      <c r="KL7" s="17"/>
      <c r="KM7" s="17"/>
      <c r="KN7" s="17"/>
      <c r="KO7" s="17"/>
      <c r="KP7" s="17"/>
      <c r="KQ7" s="17"/>
      <c r="KR7" s="17"/>
      <c r="KS7" s="17"/>
      <c r="KT7" s="17"/>
      <c r="KU7" s="17"/>
      <c r="KV7" s="17"/>
      <c r="KW7" s="17"/>
      <c r="KX7" s="17"/>
      <c r="KY7" s="17"/>
      <c r="KZ7" s="17"/>
      <c r="LA7" s="17"/>
      <c r="LB7" s="17"/>
      <c r="LC7" s="17"/>
      <c r="LD7" s="17"/>
      <c r="LE7" s="17"/>
      <c r="LF7" s="17"/>
      <c r="LG7" s="17"/>
      <c r="LH7" s="17"/>
      <c r="LI7" s="17"/>
      <c r="LJ7" s="17"/>
      <c r="LK7" s="17"/>
      <c r="LL7" s="17"/>
      <c r="LM7" s="17"/>
      <c r="LN7" s="17"/>
      <c r="LO7" s="17"/>
      <c r="LP7" s="17"/>
      <c r="LQ7" s="17"/>
      <c r="LR7" s="17"/>
      <c r="LS7" s="17"/>
      <c r="LT7" s="17"/>
      <c r="LU7" s="17"/>
      <c r="LV7" s="17"/>
      <c r="LW7" s="17"/>
      <c r="LX7" s="17"/>
      <c r="LY7" s="17"/>
      <c r="LZ7" s="17"/>
      <c r="MA7" s="17"/>
      <c r="MB7" s="17"/>
      <c r="MC7" s="17"/>
      <c r="MD7" s="17"/>
      <c r="ME7" s="17"/>
      <c r="MF7" s="17"/>
      <c r="MG7" s="17"/>
      <c r="MH7" s="17"/>
      <c r="MI7" s="17"/>
      <c r="MJ7" s="17"/>
      <c r="MK7" s="17"/>
      <c r="ML7" s="17"/>
      <c r="MM7" s="17"/>
      <c r="MN7" s="17"/>
      <c r="MO7" s="17"/>
      <c r="MP7" s="17"/>
      <c r="MQ7" s="17"/>
      <c r="MR7" s="17"/>
      <c r="MS7" s="17"/>
      <c r="MT7" s="17"/>
      <c r="MU7" s="17"/>
      <c r="MV7" s="17"/>
      <c r="MW7" s="17"/>
      <c r="MX7" s="17"/>
      <c r="MY7" s="17"/>
      <c r="MZ7" s="17"/>
      <c r="NA7" s="17"/>
      <c r="NB7" s="17"/>
      <c r="NC7" s="17"/>
      <c r="ND7" s="17"/>
      <c r="NE7" s="17"/>
      <c r="NF7" s="17"/>
      <c r="NG7" s="17"/>
      <c r="NH7" s="17"/>
      <c r="NI7" s="17"/>
      <c r="NJ7" s="17"/>
      <c r="NK7" s="17"/>
      <c r="NL7" s="17"/>
      <c r="NM7" s="17"/>
      <c r="NN7" s="17"/>
      <c r="NO7" s="17"/>
      <c r="NP7" s="17"/>
      <c r="NQ7" s="17"/>
      <c r="NR7" s="17"/>
      <c r="NS7" s="17"/>
      <c r="NT7" s="17"/>
      <c r="NU7" s="17"/>
      <c r="NV7" s="17"/>
      <c r="NW7" s="17"/>
      <c r="NX7" s="17"/>
      <c r="NY7" s="17"/>
      <c r="NZ7" s="17"/>
      <c r="OA7" s="17"/>
      <c r="OB7" s="17"/>
      <c r="OC7" s="17"/>
      <c r="OD7" s="17"/>
      <c r="OE7" s="17"/>
      <c r="OF7" s="17"/>
      <c r="OG7" s="17"/>
      <c r="OH7" s="17"/>
      <c r="OI7" s="17"/>
      <c r="OJ7" s="17"/>
      <c r="OK7" s="17"/>
      <c r="OL7" s="17"/>
      <c r="OM7" s="17"/>
      <c r="ON7" s="17"/>
      <c r="OO7" s="17"/>
      <c r="OP7" s="17"/>
      <c r="OQ7" s="17"/>
      <c r="OR7" s="17"/>
      <c r="OS7" s="17"/>
      <c r="OT7" s="17"/>
      <c r="OU7" s="17"/>
      <c r="OV7" s="17"/>
      <c r="OW7" s="17"/>
      <c r="OX7" s="17"/>
      <c r="OY7" s="17"/>
      <c r="OZ7" s="17"/>
      <c r="PA7" s="17"/>
      <c r="PB7" s="17"/>
      <c r="PC7" s="17"/>
      <c r="PD7" s="17"/>
      <c r="PE7" s="17"/>
      <c r="PF7" s="17"/>
      <c r="PG7" s="17"/>
      <c r="PH7" s="17"/>
      <c r="PI7" s="17"/>
      <c r="PJ7" s="17"/>
      <c r="PK7" s="17"/>
      <c r="PL7" s="17"/>
      <c r="PM7" s="17"/>
      <c r="PN7" s="17"/>
      <c r="PO7" s="17"/>
      <c r="PP7" s="17"/>
      <c r="PQ7" s="17"/>
      <c r="PR7" s="17"/>
      <c r="PS7" s="17"/>
      <c r="PT7" s="17"/>
      <c r="PU7" s="17"/>
      <c r="PV7" s="17"/>
      <c r="PW7" s="17"/>
      <c r="PX7" s="17"/>
      <c r="PY7" s="17"/>
      <c r="PZ7" s="17"/>
      <c r="QA7" s="17"/>
      <c r="QB7" s="17"/>
      <c r="QC7" s="17"/>
      <c r="QD7" s="17"/>
      <c r="QE7" s="17"/>
      <c r="QF7" s="17"/>
      <c r="QG7" s="17"/>
      <c r="QH7" s="17"/>
      <c r="QI7" s="17"/>
      <c r="QJ7" s="17"/>
      <c r="QK7" s="17"/>
      <c r="QL7" s="17"/>
      <c r="QM7" s="17"/>
      <c r="QN7" s="17"/>
      <c r="QO7" s="17"/>
      <c r="QP7" s="17"/>
      <c r="QQ7" s="17"/>
      <c r="QR7" s="17"/>
      <c r="QS7" s="17"/>
      <c r="QT7" s="17"/>
      <c r="QU7" s="17"/>
      <c r="QV7" s="17"/>
      <c r="QW7" s="17"/>
      <c r="QX7" s="17"/>
      <c r="QY7" s="17"/>
      <c r="QZ7" s="17"/>
      <c r="RA7" s="17"/>
      <c r="RB7" s="17"/>
      <c r="RC7" s="17"/>
      <c r="RD7" s="17"/>
      <c r="RE7" s="17"/>
      <c r="RF7" s="17"/>
      <c r="RG7" s="17"/>
      <c r="RH7" s="17"/>
      <c r="RI7" s="17"/>
      <c r="RJ7" s="17"/>
      <c r="RK7" s="17"/>
      <c r="RL7" s="17"/>
      <c r="RM7" s="17"/>
      <c r="RN7" s="17"/>
      <c r="RO7" s="17"/>
      <c r="RP7" s="17"/>
      <c r="RQ7" s="17"/>
      <c r="RR7" s="17"/>
      <c r="RS7" s="17"/>
      <c r="RT7" s="17"/>
      <c r="RU7" s="17"/>
      <c r="RV7" s="17"/>
      <c r="RW7" s="17"/>
      <c r="RX7" s="17"/>
      <c r="RY7" s="17"/>
      <c r="RZ7" s="17"/>
      <c r="SA7" s="17"/>
      <c r="SB7" s="17"/>
      <c r="SC7" s="17"/>
      <c r="SD7" s="17"/>
      <c r="SE7" s="17"/>
      <c r="SF7" s="17"/>
      <c r="SG7" s="17"/>
      <c r="SH7" s="17"/>
      <c r="SI7" s="17"/>
      <c r="SJ7" s="17"/>
      <c r="SK7" s="17"/>
      <c r="SL7" s="17"/>
      <c r="SM7" s="17"/>
      <c r="SN7" s="17"/>
      <c r="SO7" s="17"/>
      <c r="SP7" s="17"/>
      <c r="SQ7" s="17"/>
      <c r="SR7" s="17"/>
      <c r="SS7" s="17"/>
      <c r="ST7" s="17"/>
      <c r="SU7" s="17"/>
      <c r="SV7" s="17"/>
      <c r="SW7" s="17"/>
      <c r="SX7" s="17"/>
      <c r="SY7" s="17"/>
      <c r="SZ7" s="17"/>
      <c r="TA7" s="17"/>
      <c r="TB7" s="17"/>
      <c r="TC7" s="17"/>
      <c r="TD7" s="17"/>
      <c r="TE7" s="17"/>
      <c r="TF7" s="17"/>
      <c r="TG7" s="17"/>
      <c r="TH7" s="17"/>
      <c r="TI7" s="17"/>
      <c r="TJ7" s="17"/>
      <c r="TK7" s="17"/>
      <c r="TL7" s="17"/>
      <c r="TM7" s="17"/>
      <c r="TN7" s="17"/>
      <c r="TO7" s="17"/>
      <c r="TP7" s="17"/>
      <c r="TQ7" s="17"/>
      <c r="TR7" s="17"/>
      <c r="TS7" s="17"/>
      <c r="TT7" s="17"/>
      <c r="TU7" s="17"/>
      <c r="TV7" s="17"/>
      <c r="TW7" s="17"/>
      <c r="TX7" s="17"/>
      <c r="TY7" s="17"/>
      <c r="TZ7" s="17"/>
      <c r="UA7" s="17"/>
      <c r="UB7" s="17"/>
      <c r="UC7" s="17"/>
      <c r="UD7" s="17"/>
      <c r="UE7" s="17"/>
      <c r="UF7" s="17"/>
      <c r="UG7" s="17"/>
      <c r="UH7" s="17"/>
      <c r="UI7" s="17"/>
      <c r="UJ7" s="17"/>
      <c r="UK7" s="17"/>
      <c r="UL7" s="17"/>
      <c r="UM7" s="17"/>
      <c r="UN7" s="17"/>
      <c r="UO7" s="17"/>
      <c r="UP7" s="17"/>
      <c r="UQ7" s="17"/>
      <c r="UR7" s="17"/>
      <c r="US7" s="17"/>
      <c r="UT7" s="17"/>
      <c r="UU7" s="17"/>
      <c r="UV7" s="17"/>
      <c r="UW7" s="17"/>
      <c r="UX7" s="17"/>
      <c r="UY7" s="17"/>
      <c r="UZ7" s="17"/>
      <c r="VA7" s="17"/>
      <c r="VB7" s="17"/>
      <c r="VC7" s="17"/>
      <c r="VD7" s="17"/>
      <c r="VE7" s="17"/>
      <c r="VF7" s="17"/>
      <c r="VG7" s="17"/>
      <c r="VH7" s="17"/>
      <c r="VI7" s="17"/>
      <c r="VJ7" s="17"/>
      <c r="VK7" s="17"/>
      <c r="VL7" s="17"/>
      <c r="VM7" s="17"/>
      <c r="VN7" s="17"/>
      <c r="VO7" s="17"/>
      <c r="VP7" s="17"/>
      <c r="VQ7" s="17"/>
      <c r="VR7" s="17"/>
      <c r="VS7" s="17"/>
      <c r="VT7" s="17"/>
      <c r="VU7" s="17"/>
      <c r="VV7" s="17"/>
      <c r="VW7" s="17"/>
      <c r="VX7" s="17"/>
      <c r="VY7" s="17"/>
      <c r="VZ7" s="17"/>
      <c r="WA7" s="17"/>
      <c r="WB7" s="17"/>
      <c r="WC7" s="17"/>
      <c r="WD7" s="17"/>
      <c r="WE7" s="17"/>
      <c r="WF7" s="17"/>
      <c r="WG7" s="17"/>
      <c r="WH7" s="17"/>
      <c r="WI7" s="17"/>
      <c r="WJ7" s="17"/>
      <c r="WK7" s="17"/>
      <c r="WL7" s="17"/>
      <c r="WM7" s="17"/>
      <c r="WN7" s="17"/>
      <c r="WO7" s="17"/>
      <c r="WP7" s="17"/>
      <c r="WQ7" s="17"/>
      <c r="WR7" s="17"/>
      <c r="WS7" s="17"/>
      <c r="WT7" s="17"/>
      <c r="WU7" s="17"/>
      <c r="WV7" s="17"/>
      <c r="WW7" s="17"/>
      <c r="WX7" s="17"/>
      <c r="WY7" s="17"/>
      <c r="WZ7" s="17"/>
      <c r="XA7" s="17"/>
      <c r="XB7" s="17"/>
      <c r="XC7" s="17"/>
      <c r="XD7" s="17"/>
      <c r="XE7" s="17"/>
      <c r="XF7" s="17"/>
      <c r="XG7" s="17"/>
      <c r="XH7" s="17"/>
      <c r="XI7" s="17"/>
      <c r="XJ7" s="17"/>
      <c r="XK7" s="17"/>
      <c r="XL7" s="17"/>
      <c r="XM7" s="17"/>
      <c r="XN7" s="17"/>
      <c r="XO7" s="17"/>
      <c r="XP7" s="17"/>
      <c r="XQ7" s="17"/>
      <c r="XR7" s="17"/>
      <c r="XS7" s="17"/>
      <c r="XT7" s="17"/>
      <c r="XU7" s="17"/>
      <c r="XV7" s="17"/>
      <c r="XW7" s="17"/>
      <c r="XX7" s="17"/>
      <c r="XY7" s="17"/>
      <c r="XZ7" s="17"/>
      <c r="YA7" s="17"/>
      <c r="YB7" s="17"/>
      <c r="YC7" s="17"/>
      <c r="YD7" s="17"/>
      <c r="YE7" s="17"/>
      <c r="YF7" s="17"/>
      <c r="YG7" s="17"/>
      <c r="YH7" s="17"/>
      <c r="YI7" s="17"/>
      <c r="YJ7" s="17"/>
      <c r="YK7" s="17"/>
      <c r="YL7" s="17"/>
      <c r="YM7" s="17"/>
      <c r="YN7" s="17"/>
      <c r="YO7" s="17"/>
      <c r="YP7" s="17"/>
      <c r="YQ7" s="17"/>
      <c r="YR7" s="17"/>
      <c r="YS7" s="17"/>
      <c r="YT7" s="17"/>
      <c r="YU7" s="17"/>
      <c r="YV7" s="17"/>
      <c r="YW7" s="17"/>
      <c r="YX7" s="17"/>
      <c r="YY7" s="17"/>
      <c r="YZ7" s="17"/>
      <c r="ZA7" s="17"/>
      <c r="ZB7" s="17"/>
      <c r="ZC7" s="17"/>
      <c r="ZD7" s="17"/>
      <c r="ZE7" s="17"/>
      <c r="ZF7" s="17"/>
      <c r="ZG7" s="17"/>
      <c r="ZH7" s="17"/>
      <c r="ZI7" s="17"/>
      <c r="ZJ7" s="17"/>
      <c r="ZK7" s="17"/>
      <c r="ZL7" s="17"/>
      <c r="ZM7" s="17"/>
      <c r="ZN7" s="17"/>
      <c r="ZO7" s="17"/>
      <c r="ZP7" s="17"/>
      <c r="ZQ7" s="17"/>
      <c r="ZR7" s="17"/>
      <c r="ZS7" s="17"/>
      <c r="ZT7" s="17"/>
      <c r="ZU7" s="17"/>
      <c r="ZV7" s="17"/>
      <c r="ZW7" s="17"/>
      <c r="ZX7" s="17"/>
      <c r="ZY7" s="17"/>
      <c r="ZZ7" s="17"/>
    </row>
    <row r="8" spans="1:702" s="33" customFormat="1" x14ac:dyDescent="0.25">
      <c r="A8" s="30" t="str">
        <f>IF(COUNTA(B8:B8)=0,"", MAX(A$2:A7)+1)</f>
        <v/>
      </c>
      <c r="C8" s="34"/>
      <c r="D8" s="63"/>
      <c r="M8" s="34"/>
      <c r="Q8" s="34"/>
      <c r="U8" s="17"/>
      <c r="V8" s="62"/>
      <c r="W8" s="97"/>
      <c r="Z8" s="30" t="str">
        <f t="shared" si="0"/>
        <v/>
      </c>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c r="EN8" s="17"/>
      <c r="EO8" s="17"/>
      <c r="EP8" s="17"/>
      <c r="EQ8" s="17"/>
      <c r="ER8" s="17"/>
      <c r="ES8" s="17"/>
      <c r="ET8" s="17"/>
      <c r="EU8" s="17"/>
      <c r="EV8" s="17"/>
      <c r="EW8" s="17"/>
      <c r="EX8" s="17"/>
      <c r="EY8" s="17"/>
      <c r="EZ8" s="17"/>
      <c r="FA8" s="17"/>
      <c r="FB8" s="17"/>
      <c r="FC8" s="17"/>
      <c r="FD8" s="17"/>
      <c r="FE8" s="17"/>
      <c r="FF8" s="17"/>
      <c r="FG8" s="17"/>
      <c r="FH8" s="17"/>
      <c r="FI8" s="17"/>
      <c r="FJ8" s="17"/>
      <c r="FK8" s="17"/>
      <c r="FL8" s="17"/>
      <c r="FM8" s="17"/>
      <c r="FN8" s="17"/>
      <c r="FO8" s="17"/>
      <c r="FP8" s="17"/>
      <c r="FQ8" s="17"/>
      <c r="FR8" s="17"/>
      <c r="FS8" s="17"/>
      <c r="FT8" s="17"/>
      <c r="FU8" s="17"/>
      <c r="FV8" s="17"/>
      <c r="FW8" s="17"/>
      <c r="FX8" s="17"/>
      <c r="FY8" s="17"/>
      <c r="FZ8" s="17"/>
      <c r="GA8" s="17"/>
      <c r="GB8" s="17"/>
      <c r="GC8" s="17"/>
      <c r="GD8" s="17"/>
      <c r="GE8" s="17"/>
      <c r="GF8" s="17"/>
      <c r="GG8" s="17"/>
      <c r="GH8" s="17"/>
      <c r="GI8" s="17"/>
      <c r="GJ8" s="17"/>
      <c r="GK8" s="17"/>
      <c r="GL8" s="17"/>
      <c r="GM8" s="17"/>
      <c r="GN8" s="17"/>
      <c r="GO8" s="17"/>
      <c r="GP8" s="17"/>
      <c r="GQ8" s="17"/>
      <c r="GR8" s="17"/>
      <c r="GS8" s="17"/>
      <c r="GT8" s="17"/>
      <c r="GU8" s="17"/>
      <c r="GV8" s="17"/>
      <c r="GW8" s="17"/>
      <c r="GX8" s="17"/>
      <c r="GY8" s="17"/>
      <c r="GZ8" s="17"/>
      <c r="HA8" s="17"/>
      <c r="HB8" s="17"/>
      <c r="HC8" s="17"/>
      <c r="HD8" s="17"/>
      <c r="HE8" s="17"/>
      <c r="HF8" s="17"/>
      <c r="HG8" s="17"/>
      <c r="HH8" s="17"/>
      <c r="HI8" s="17"/>
      <c r="HJ8" s="17"/>
      <c r="HK8" s="17"/>
      <c r="HL8" s="17"/>
      <c r="HM8" s="17"/>
      <c r="HN8" s="17"/>
      <c r="HO8" s="17"/>
      <c r="HP8" s="17"/>
      <c r="HQ8" s="17"/>
      <c r="HR8" s="17"/>
      <c r="HS8" s="17"/>
      <c r="HT8" s="17"/>
      <c r="HU8" s="17"/>
      <c r="HV8" s="17"/>
      <c r="HW8" s="17"/>
      <c r="HX8" s="17"/>
      <c r="HY8" s="17"/>
      <c r="HZ8" s="17"/>
      <c r="IA8" s="17"/>
      <c r="IB8" s="17"/>
      <c r="IC8" s="17"/>
      <c r="ID8" s="17"/>
      <c r="IE8" s="17"/>
      <c r="IF8" s="17"/>
      <c r="IG8" s="17"/>
      <c r="IH8" s="17"/>
      <c r="II8" s="17"/>
      <c r="IJ8" s="17"/>
      <c r="IK8" s="17"/>
      <c r="IL8" s="17"/>
      <c r="IM8" s="17"/>
      <c r="IN8" s="17"/>
      <c r="IO8" s="17"/>
      <c r="IP8" s="17"/>
      <c r="IQ8" s="17"/>
      <c r="IR8" s="17"/>
      <c r="IS8" s="17"/>
      <c r="IT8" s="17"/>
      <c r="IU8" s="17"/>
      <c r="IV8" s="17"/>
      <c r="IW8" s="17"/>
      <c r="IX8" s="17"/>
      <c r="IY8" s="17"/>
      <c r="IZ8" s="17"/>
      <c r="JA8" s="17"/>
      <c r="JB8" s="17"/>
      <c r="JC8" s="17"/>
      <c r="JD8" s="17"/>
      <c r="JE8" s="17"/>
      <c r="JF8" s="17"/>
      <c r="JG8" s="17"/>
      <c r="JH8" s="17"/>
      <c r="JI8" s="17"/>
      <c r="JJ8" s="17"/>
      <c r="JK8" s="17"/>
      <c r="JL8" s="17"/>
      <c r="JM8" s="17"/>
      <c r="JN8" s="17"/>
      <c r="JO8" s="17"/>
      <c r="JP8" s="17"/>
      <c r="JQ8" s="17"/>
      <c r="JR8" s="17"/>
      <c r="JS8" s="17"/>
      <c r="JT8" s="17"/>
      <c r="JU8" s="17"/>
      <c r="JV8" s="17"/>
      <c r="JW8" s="17"/>
      <c r="JX8" s="17"/>
      <c r="JY8" s="17"/>
      <c r="JZ8" s="17"/>
      <c r="KA8" s="17"/>
      <c r="KB8" s="17"/>
      <c r="KC8" s="17"/>
      <c r="KD8" s="17"/>
      <c r="KE8" s="17"/>
      <c r="KF8" s="17"/>
      <c r="KG8" s="17"/>
      <c r="KH8" s="17"/>
      <c r="KI8" s="17"/>
      <c r="KJ8" s="17"/>
      <c r="KK8" s="17"/>
      <c r="KL8" s="17"/>
      <c r="KM8" s="17"/>
      <c r="KN8" s="17"/>
      <c r="KO8" s="17"/>
      <c r="KP8" s="17"/>
      <c r="KQ8" s="17"/>
      <c r="KR8" s="17"/>
      <c r="KS8" s="17"/>
      <c r="KT8" s="17"/>
      <c r="KU8" s="17"/>
      <c r="KV8" s="17"/>
      <c r="KW8" s="17"/>
      <c r="KX8" s="17"/>
      <c r="KY8" s="17"/>
      <c r="KZ8" s="17"/>
      <c r="LA8" s="17"/>
      <c r="LB8" s="17"/>
      <c r="LC8" s="17"/>
      <c r="LD8" s="17"/>
      <c r="LE8" s="17"/>
      <c r="LF8" s="17"/>
      <c r="LG8" s="17"/>
      <c r="LH8" s="17"/>
      <c r="LI8" s="17"/>
      <c r="LJ8" s="17"/>
      <c r="LK8" s="17"/>
      <c r="LL8" s="17"/>
      <c r="LM8" s="17"/>
      <c r="LN8" s="17"/>
      <c r="LO8" s="17"/>
      <c r="LP8" s="17"/>
      <c r="LQ8" s="17"/>
      <c r="LR8" s="17"/>
      <c r="LS8" s="17"/>
      <c r="LT8" s="17"/>
      <c r="LU8" s="17"/>
      <c r="LV8" s="17"/>
      <c r="LW8" s="17"/>
      <c r="LX8" s="17"/>
      <c r="LY8" s="17"/>
      <c r="LZ8" s="17"/>
      <c r="MA8" s="17"/>
      <c r="MB8" s="17"/>
      <c r="MC8" s="17"/>
      <c r="MD8" s="17"/>
      <c r="ME8" s="17"/>
      <c r="MF8" s="17"/>
      <c r="MG8" s="17"/>
      <c r="MH8" s="17"/>
      <c r="MI8" s="17"/>
      <c r="MJ8" s="17"/>
      <c r="MK8" s="17"/>
      <c r="ML8" s="17"/>
      <c r="MM8" s="17"/>
      <c r="MN8" s="17"/>
      <c r="MO8" s="17"/>
      <c r="MP8" s="17"/>
      <c r="MQ8" s="17"/>
      <c r="MR8" s="17"/>
      <c r="MS8" s="17"/>
      <c r="MT8" s="17"/>
      <c r="MU8" s="17"/>
      <c r="MV8" s="17"/>
      <c r="MW8" s="17"/>
      <c r="MX8" s="17"/>
      <c r="MY8" s="17"/>
      <c r="MZ8" s="17"/>
      <c r="NA8" s="17"/>
      <c r="NB8" s="17"/>
      <c r="NC8" s="17"/>
      <c r="ND8" s="17"/>
      <c r="NE8" s="17"/>
      <c r="NF8" s="17"/>
      <c r="NG8" s="17"/>
      <c r="NH8" s="17"/>
      <c r="NI8" s="17"/>
      <c r="NJ8" s="17"/>
      <c r="NK8" s="17"/>
      <c r="NL8" s="17"/>
      <c r="NM8" s="17"/>
      <c r="NN8" s="17"/>
      <c r="NO8" s="17"/>
      <c r="NP8" s="17"/>
      <c r="NQ8" s="17"/>
      <c r="NR8" s="17"/>
      <c r="NS8" s="17"/>
      <c r="NT8" s="17"/>
      <c r="NU8" s="17"/>
      <c r="NV8" s="17"/>
      <c r="NW8" s="17"/>
      <c r="NX8" s="17"/>
      <c r="NY8" s="17"/>
      <c r="NZ8" s="17"/>
      <c r="OA8" s="17"/>
      <c r="OB8" s="17"/>
      <c r="OC8" s="17"/>
      <c r="OD8" s="17"/>
      <c r="OE8" s="17"/>
      <c r="OF8" s="17"/>
      <c r="OG8" s="17"/>
      <c r="OH8" s="17"/>
      <c r="OI8" s="17"/>
      <c r="OJ8" s="17"/>
      <c r="OK8" s="17"/>
      <c r="OL8" s="17"/>
      <c r="OM8" s="17"/>
      <c r="ON8" s="17"/>
      <c r="OO8" s="17"/>
      <c r="OP8" s="17"/>
      <c r="OQ8" s="17"/>
      <c r="OR8" s="17"/>
      <c r="OS8" s="17"/>
      <c r="OT8" s="17"/>
      <c r="OU8" s="17"/>
      <c r="OV8" s="17"/>
      <c r="OW8" s="17"/>
      <c r="OX8" s="17"/>
      <c r="OY8" s="17"/>
      <c r="OZ8" s="17"/>
      <c r="PA8" s="17"/>
      <c r="PB8" s="17"/>
      <c r="PC8" s="17"/>
      <c r="PD8" s="17"/>
      <c r="PE8" s="17"/>
      <c r="PF8" s="17"/>
      <c r="PG8" s="17"/>
      <c r="PH8" s="17"/>
      <c r="PI8" s="17"/>
      <c r="PJ8" s="17"/>
      <c r="PK8" s="17"/>
      <c r="PL8" s="17"/>
      <c r="PM8" s="17"/>
      <c r="PN8" s="17"/>
      <c r="PO8" s="17"/>
      <c r="PP8" s="17"/>
      <c r="PQ8" s="17"/>
      <c r="PR8" s="17"/>
      <c r="PS8" s="17"/>
      <c r="PT8" s="17"/>
      <c r="PU8" s="17"/>
      <c r="PV8" s="17"/>
      <c r="PW8" s="17"/>
      <c r="PX8" s="17"/>
      <c r="PY8" s="17"/>
      <c r="PZ8" s="17"/>
      <c r="QA8" s="17"/>
      <c r="QB8" s="17"/>
      <c r="QC8" s="17"/>
      <c r="QD8" s="17"/>
      <c r="QE8" s="17"/>
      <c r="QF8" s="17"/>
      <c r="QG8" s="17"/>
      <c r="QH8" s="17"/>
      <c r="QI8" s="17"/>
      <c r="QJ8" s="17"/>
      <c r="QK8" s="17"/>
      <c r="QL8" s="17"/>
      <c r="QM8" s="17"/>
      <c r="QN8" s="17"/>
      <c r="QO8" s="17"/>
      <c r="QP8" s="17"/>
      <c r="QQ8" s="17"/>
      <c r="QR8" s="17"/>
      <c r="QS8" s="17"/>
      <c r="QT8" s="17"/>
      <c r="QU8" s="17"/>
      <c r="QV8" s="17"/>
      <c r="QW8" s="17"/>
      <c r="QX8" s="17"/>
      <c r="QY8" s="17"/>
      <c r="QZ8" s="17"/>
      <c r="RA8" s="17"/>
      <c r="RB8" s="17"/>
      <c r="RC8" s="17"/>
      <c r="RD8" s="17"/>
      <c r="RE8" s="17"/>
      <c r="RF8" s="17"/>
      <c r="RG8" s="17"/>
      <c r="RH8" s="17"/>
      <c r="RI8" s="17"/>
      <c r="RJ8" s="17"/>
      <c r="RK8" s="17"/>
      <c r="RL8" s="17"/>
      <c r="RM8" s="17"/>
      <c r="RN8" s="17"/>
      <c r="RO8" s="17"/>
      <c r="RP8" s="17"/>
      <c r="RQ8" s="17"/>
      <c r="RR8" s="17"/>
      <c r="RS8" s="17"/>
      <c r="RT8" s="17"/>
      <c r="RU8" s="17"/>
      <c r="RV8" s="17"/>
      <c r="RW8" s="17"/>
      <c r="RX8" s="17"/>
      <c r="RY8" s="17"/>
      <c r="RZ8" s="17"/>
      <c r="SA8" s="17"/>
      <c r="SB8" s="17"/>
      <c r="SC8" s="17"/>
      <c r="SD8" s="17"/>
      <c r="SE8" s="17"/>
      <c r="SF8" s="17"/>
      <c r="SG8" s="17"/>
      <c r="SH8" s="17"/>
      <c r="SI8" s="17"/>
      <c r="SJ8" s="17"/>
      <c r="SK8" s="17"/>
      <c r="SL8" s="17"/>
      <c r="SM8" s="17"/>
      <c r="SN8" s="17"/>
      <c r="SO8" s="17"/>
      <c r="SP8" s="17"/>
      <c r="SQ8" s="17"/>
      <c r="SR8" s="17"/>
      <c r="SS8" s="17"/>
      <c r="ST8" s="17"/>
      <c r="SU8" s="17"/>
      <c r="SV8" s="17"/>
      <c r="SW8" s="17"/>
      <c r="SX8" s="17"/>
      <c r="SY8" s="17"/>
      <c r="SZ8" s="17"/>
      <c r="TA8" s="17"/>
      <c r="TB8" s="17"/>
      <c r="TC8" s="17"/>
      <c r="TD8" s="17"/>
      <c r="TE8" s="17"/>
      <c r="TF8" s="17"/>
      <c r="TG8" s="17"/>
      <c r="TH8" s="17"/>
      <c r="TI8" s="17"/>
      <c r="TJ8" s="17"/>
      <c r="TK8" s="17"/>
      <c r="TL8" s="17"/>
      <c r="TM8" s="17"/>
      <c r="TN8" s="17"/>
      <c r="TO8" s="17"/>
      <c r="TP8" s="17"/>
      <c r="TQ8" s="17"/>
      <c r="TR8" s="17"/>
      <c r="TS8" s="17"/>
      <c r="TT8" s="17"/>
      <c r="TU8" s="17"/>
      <c r="TV8" s="17"/>
      <c r="TW8" s="17"/>
      <c r="TX8" s="17"/>
      <c r="TY8" s="17"/>
      <c r="TZ8" s="17"/>
      <c r="UA8" s="17"/>
      <c r="UB8" s="17"/>
      <c r="UC8" s="17"/>
      <c r="UD8" s="17"/>
      <c r="UE8" s="17"/>
      <c r="UF8" s="17"/>
      <c r="UG8" s="17"/>
      <c r="UH8" s="17"/>
      <c r="UI8" s="17"/>
      <c r="UJ8" s="17"/>
      <c r="UK8" s="17"/>
      <c r="UL8" s="17"/>
      <c r="UM8" s="17"/>
      <c r="UN8" s="17"/>
      <c r="UO8" s="17"/>
      <c r="UP8" s="17"/>
      <c r="UQ8" s="17"/>
      <c r="UR8" s="17"/>
      <c r="US8" s="17"/>
      <c r="UT8" s="17"/>
      <c r="UU8" s="17"/>
      <c r="UV8" s="17"/>
      <c r="UW8" s="17"/>
      <c r="UX8" s="17"/>
      <c r="UY8" s="17"/>
      <c r="UZ8" s="17"/>
      <c r="VA8" s="17"/>
      <c r="VB8" s="17"/>
      <c r="VC8" s="17"/>
      <c r="VD8" s="17"/>
      <c r="VE8" s="17"/>
      <c r="VF8" s="17"/>
      <c r="VG8" s="17"/>
      <c r="VH8" s="17"/>
      <c r="VI8" s="17"/>
      <c r="VJ8" s="17"/>
      <c r="VK8" s="17"/>
      <c r="VL8" s="17"/>
      <c r="VM8" s="17"/>
      <c r="VN8" s="17"/>
      <c r="VO8" s="17"/>
      <c r="VP8" s="17"/>
      <c r="VQ8" s="17"/>
      <c r="VR8" s="17"/>
      <c r="VS8" s="17"/>
      <c r="VT8" s="17"/>
      <c r="VU8" s="17"/>
      <c r="VV8" s="17"/>
      <c r="VW8" s="17"/>
      <c r="VX8" s="17"/>
      <c r="VY8" s="17"/>
      <c r="VZ8" s="17"/>
      <c r="WA8" s="17"/>
      <c r="WB8" s="17"/>
      <c r="WC8" s="17"/>
      <c r="WD8" s="17"/>
      <c r="WE8" s="17"/>
      <c r="WF8" s="17"/>
      <c r="WG8" s="17"/>
      <c r="WH8" s="17"/>
      <c r="WI8" s="17"/>
      <c r="WJ8" s="17"/>
      <c r="WK8" s="17"/>
      <c r="WL8" s="17"/>
      <c r="WM8" s="17"/>
      <c r="WN8" s="17"/>
      <c r="WO8" s="17"/>
      <c r="WP8" s="17"/>
      <c r="WQ8" s="17"/>
      <c r="WR8" s="17"/>
      <c r="WS8" s="17"/>
      <c r="WT8" s="17"/>
      <c r="WU8" s="17"/>
      <c r="WV8" s="17"/>
      <c r="WW8" s="17"/>
      <c r="WX8" s="17"/>
      <c r="WY8" s="17"/>
      <c r="WZ8" s="17"/>
      <c r="XA8" s="17"/>
      <c r="XB8" s="17"/>
      <c r="XC8" s="17"/>
      <c r="XD8" s="17"/>
      <c r="XE8" s="17"/>
      <c r="XF8" s="17"/>
      <c r="XG8" s="17"/>
      <c r="XH8" s="17"/>
      <c r="XI8" s="17"/>
      <c r="XJ8" s="17"/>
      <c r="XK8" s="17"/>
      <c r="XL8" s="17"/>
      <c r="XM8" s="17"/>
      <c r="XN8" s="17"/>
      <c r="XO8" s="17"/>
      <c r="XP8" s="17"/>
      <c r="XQ8" s="17"/>
      <c r="XR8" s="17"/>
      <c r="XS8" s="17"/>
      <c r="XT8" s="17"/>
      <c r="XU8" s="17"/>
      <c r="XV8" s="17"/>
      <c r="XW8" s="17"/>
      <c r="XX8" s="17"/>
      <c r="XY8" s="17"/>
      <c r="XZ8" s="17"/>
      <c r="YA8" s="17"/>
      <c r="YB8" s="17"/>
      <c r="YC8" s="17"/>
      <c r="YD8" s="17"/>
      <c r="YE8" s="17"/>
      <c r="YF8" s="17"/>
      <c r="YG8" s="17"/>
      <c r="YH8" s="17"/>
      <c r="YI8" s="17"/>
      <c r="YJ8" s="17"/>
      <c r="YK8" s="17"/>
      <c r="YL8" s="17"/>
      <c r="YM8" s="17"/>
      <c r="YN8" s="17"/>
      <c r="YO8" s="17"/>
      <c r="YP8" s="17"/>
      <c r="YQ8" s="17"/>
      <c r="YR8" s="17"/>
      <c r="YS8" s="17"/>
      <c r="YT8" s="17"/>
      <c r="YU8" s="17"/>
      <c r="YV8" s="17"/>
      <c r="YW8" s="17"/>
      <c r="YX8" s="17"/>
      <c r="YY8" s="17"/>
      <c r="YZ8" s="17"/>
      <c r="ZA8" s="17"/>
      <c r="ZB8" s="17"/>
      <c r="ZC8" s="17"/>
      <c r="ZD8" s="17"/>
      <c r="ZE8" s="17"/>
      <c r="ZF8" s="17"/>
      <c r="ZG8" s="17"/>
      <c r="ZH8" s="17"/>
      <c r="ZI8" s="17"/>
      <c r="ZJ8" s="17"/>
      <c r="ZK8" s="17"/>
      <c r="ZL8" s="17"/>
      <c r="ZM8" s="17"/>
      <c r="ZN8" s="17"/>
      <c r="ZO8" s="17"/>
      <c r="ZP8" s="17"/>
      <c r="ZQ8" s="17"/>
      <c r="ZR8" s="17"/>
      <c r="ZS8" s="17"/>
      <c r="ZT8" s="17"/>
      <c r="ZU8" s="17"/>
      <c r="ZV8" s="17"/>
      <c r="ZW8" s="17"/>
      <c r="ZX8" s="17"/>
      <c r="ZY8" s="17"/>
      <c r="ZZ8" s="17"/>
    </row>
    <row r="9" spans="1:702" s="33" customFormat="1" x14ac:dyDescent="0.25">
      <c r="A9" s="30" t="str">
        <f>IF(COUNTA(B9:B9)=0,"", MAX(A$2:A8)+1)</f>
        <v/>
      </c>
      <c r="C9" s="34"/>
      <c r="D9" s="63"/>
      <c r="M9" s="34"/>
      <c r="Q9" s="34"/>
      <c r="U9" s="17"/>
      <c r="V9" s="62"/>
      <c r="W9" s="97"/>
      <c r="Z9" s="30" t="str">
        <f t="shared" si="0"/>
        <v/>
      </c>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c r="FF9" s="17"/>
      <c r="FG9" s="17"/>
      <c r="FH9" s="17"/>
      <c r="FI9" s="17"/>
      <c r="FJ9" s="17"/>
      <c r="FK9" s="17"/>
      <c r="FL9" s="17"/>
      <c r="FM9" s="17"/>
      <c r="FN9" s="17"/>
      <c r="FO9" s="17"/>
      <c r="FP9" s="17"/>
      <c r="FQ9" s="17"/>
      <c r="FR9" s="17"/>
      <c r="FS9" s="17"/>
      <c r="FT9" s="17"/>
      <c r="FU9" s="17"/>
      <c r="FV9" s="17"/>
      <c r="FW9" s="17"/>
      <c r="FX9" s="17"/>
      <c r="FY9" s="17"/>
      <c r="FZ9" s="17"/>
      <c r="GA9" s="17"/>
      <c r="GB9" s="17"/>
      <c r="GC9" s="17"/>
      <c r="GD9" s="17"/>
      <c r="GE9" s="17"/>
      <c r="GF9" s="17"/>
      <c r="GG9" s="17"/>
      <c r="GH9" s="17"/>
      <c r="GI9" s="17"/>
      <c r="GJ9" s="17"/>
      <c r="GK9" s="17"/>
      <c r="GL9" s="17"/>
      <c r="GM9" s="17"/>
      <c r="GN9" s="17"/>
      <c r="GO9" s="17"/>
      <c r="GP9" s="17"/>
      <c r="GQ9" s="17"/>
      <c r="GR9" s="17"/>
      <c r="GS9" s="17"/>
      <c r="GT9" s="17"/>
      <c r="GU9" s="17"/>
      <c r="GV9" s="17"/>
      <c r="GW9" s="17"/>
      <c r="GX9" s="17"/>
      <c r="GY9" s="17"/>
      <c r="GZ9" s="17"/>
      <c r="HA9" s="17"/>
      <c r="HB9" s="17"/>
      <c r="HC9" s="17"/>
      <c r="HD9" s="17"/>
      <c r="HE9" s="17"/>
      <c r="HF9" s="17"/>
      <c r="HG9" s="17"/>
      <c r="HH9" s="17"/>
      <c r="HI9" s="17"/>
      <c r="HJ9" s="17"/>
      <c r="HK9" s="17"/>
      <c r="HL9" s="17"/>
      <c r="HM9" s="17"/>
      <c r="HN9" s="17"/>
      <c r="HO9" s="17"/>
      <c r="HP9" s="17"/>
      <c r="HQ9" s="17"/>
      <c r="HR9" s="17"/>
      <c r="HS9" s="17"/>
      <c r="HT9" s="17"/>
      <c r="HU9" s="17"/>
      <c r="HV9" s="17"/>
      <c r="HW9" s="17"/>
      <c r="HX9" s="17"/>
      <c r="HY9" s="17"/>
      <c r="HZ9" s="17"/>
      <c r="IA9" s="17"/>
      <c r="IB9" s="17"/>
      <c r="IC9" s="17"/>
      <c r="ID9" s="17"/>
      <c r="IE9" s="17"/>
      <c r="IF9" s="17"/>
      <c r="IG9" s="17"/>
      <c r="IH9" s="17"/>
      <c r="II9" s="17"/>
      <c r="IJ9" s="17"/>
      <c r="IK9" s="17"/>
      <c r="IL9" s="17"/>
      <c r="IM9" s="17"/>
      <c r="IN9" s="17"/>
      <c r="IO9" s="17"/>
      <c r="IP9" s="17"/>
      <c r="IQ9" s="17"/>
      <c r="IR9" s="17"/>
      <c r="IS9" s="17"/>
      <c r="IT9" s="17"/>
      <c r="IU9" s="17"/>
      <c r="IV9" s="17"/>
      <c r="IW9" s="17"/>
      <c r="IX9" s="17"/>
      <c r="IY9" s="17"/>
      <c r="IZ9" s="17"/>
      <c r="JA9" s="17"/>
      <c r="JB9" s="17"/>
      <c r="JC9" s="17"/>
      <c r="JD9" s="17"/>
      <c r="JE9" s="17"/>
      <c r="JF9" s="17"/>
      <c r="JG9" s="17"/>
      <c r="JH9" s="17"/>
      <c r="JI9" s="17"/>
      <c r="JJ9" s="17"/>
      <c r="JK9" s="17"/>
      <c r="JL9" s="17"/>
      <c r="JM9" s="17"/>
      <c r="JN9" s="17"/>
      <c r="JO9" s="17"/>
      <c r="JP9" s="17"/>
      <c r="JQ9" s="17"/>
      <c r="JR9" s="17"/>
      <c r="JS9" s="17"/>
      <c r="JT9" s="17"/>
      <c r="JU9" s="17"/>
      <c r="JV9" s="17"/>
      <c r="JW9" s="17"/>
      <c r="JX9" s="17"/>
      <c r="JY9" s="17"/>
      <c r="JZ9" s="17"/>
      <c r="KA9" s="17"/>
      <c r="KB9" s="17"/>
      <c r="KC9" s="17"/>
      <c r="KD9" s="17"/>
      <c r="KE9" s="17"/>
      <c r="KF9" s="17"/>
      <c r="KG9" s="17"/>
      <c r="KH9" s="17"/>
      <c r="KI9" s="17"/>
      <c r="KJ9" s="17"/>
      <c r="KK9" s="17"/>
      <c r="KL9" s="17"/>
      <c r="KM9" s="17"/>
      <c r="KN9" s="17"/>
      <c r="KO9" s="17"/>
      <c r="KP9" s="17"/>
      <c r="KQ9" s="17"/>
      <c r="KR9" s="17"/>
      <c r="KS9" s="17"/>
      <c r="KT9" s="17"/>
      <c r="KU9" s="17"/>
      <c r="KV9" s="17"/>
      <c r="KW9" s="17"/>
      <c r="KX9" s="17"/>
      <c r="KY9" s="17"/>
      <c r="KZ9" s="17"/>
      <c r="LA9" s="17"/>
      <c r="LB9" s="17"/>
      <c r="LC9" s="17"/>
      <c r="LD9" s="17"/>
      <c r="LE9" s="17"/>
      <c r="LF9" s="17"/>
      <c r="LG9" s="17"/>
      <c r="LH9" s="17"/>
      <c r="LI9" s="17"/>
      <c r="LJ9" s="17"/>
      <c r="LK9" s="17"/>
      <c r="LL9" s="17"/>
      <c r="LM9" s="17"/>
      <c r="LN9" s="17"/>
      <c r="LO9" s="17"/>
      <c r="LP9" s="17"/>
      <c r="LQ9" s="17"/>
      <c r="LR9" s="17"/>
      <c r="LS9" s="17"/>
      <c r="LT9" s="17"/>
      <c r="LU9" s="17"/>
      <c r="LV9" s="17"/>
      <c r="LW9" s="17"/>
      <c r="LX9" s="17"/>
      <c r="LY9" s="17"/>
      <c r="LZ9" s="17"/>
      <c r="MA9" s="17"/>
      <c r="MB9" s="17"/>
      <c r="MC9" s="17"/>
      <c r="MD9" s="17"/>
      <c r="ME9" s="17"/>
      <c r="MF9" s="17"/>
      <c r="MG9" s="17"/>
      <c r="MH9" s="17"/>
      <c r="MI9" s="17"/>
      <c r="MJ9" s="17"/>
      <c r="MK9" s="17"/>
      <c r="ML9" s="17"/>
      <c r="MM9" s="17"/>
      <c r="MN9" s="17"/>
      <c r="MO9" s="17"/>
      <c r="MP9" s="17"/>
      <c r="MQ9" s="17"/>
      <c r="MR9" s="17"/>
      <c r="MS9" s="17"/>
      <c r="MT9" s="17"/>
      <c r="MU9" s="17"/>
      <c r="MV9" s="17"/>
      <c r="MW9" s="17"/>
      <c r="MX9" s="17"/>
      <c r="MY9" s="17"/>
      <c r="MZ9" s="17"/>
      <c r="NA9" s="17"/>
      <c r="NB9" s="17"/>
      <c r="NC9" s="17"/>
      <c r="ND9" s="17"/>
      <c r="NE9" s="17"/>
      <c r="NF9" s="17"/>
      <c r="NG9" s="17"/>
      <c r="NH9" s="17"/>
      <c r="NI9" s="17"/>
      <c r="NJ9" s="17"/>
      <c r="NK9" s="17"/>
      <c r="NL9" s="17"/>
      <c r="NM9" s="17"/>
      <c r="NN9" s="17"/>
      <c r="NO9" s="17"/>
      <c r="NP9" s="17"/>
      <c r="NQ9" s="17"/>
      <c r="NR9" s="17"/>
      <c r="NS9" s="17"/>
      <c r="NT9" s="17"/>
      <c r="NU9" s="17"/>
      <c r="NV9" s="17"/>
      <c r="NW9" s="17"/>
      <c r="NX9" s="17"/>
      <c r="NY9" s="17"/>
      <c r="NZ9" s="17"/>
      <c r="OA9" s="17"/>
      <c r="OB9" s="17"/>
      <c r="OC9" s="17"/>
      <c r="OD9" s="17"/>
      <c r="OE9" s="17"/>
      <c r="OF9" s="17"/>
      <c r="OG9" s="17"/>
      <c r="OH9" s="17"/>
      <c r="OI9" s="17"/>
      <c r="OJ9" s="17"/>
      <c r="OK9" s="17"/>
      <c r="OL9" s="17"/>
      <c r="OM9" s="17"/>
      <c r="ON9" s="17"/>
      <c r="OO9" s="17"/>
      <c r="OP9" s="17"/>
      <c r="OQ9" s="17"/>
      <c r="OR9" s="17"/>
      <c r="OS9" s="17"/>
      <c r="OT9" s="17"/>
      <c r="OU9" s="17"/>
      <c r="OV9" s="17"/>
      <c r="OW9" s="17"/>
      <c r="OX9" s="17"/>
      <c r="OY9" s="17"/>
      <c r="OZ9" s="17"/>
      <c r="PA9" s="17"/>
      <c r="PB9" s="17"/>
      <c r="PC9" s="17"/>
      <c r="PD9" s="17"/>
      <c r="PE9" s="17"/>
      <c r="PF9" s="17"/>
      <c r="PG9" s="17"/>
      <c r="PH9" s="17"/>
      <c r="PI9" s="17"/>
      <c r="PJ9" s="17"/>
      <c r="PK9" s="17"/>
      <c r="PL9" s="17"/>
      <c r="PM9" s="17"/>
      <c r="PN9" s="17"/>
      <c r="PO9" s="17"/>
      <c r="PP9" s="17"/>
      <c r="PQ9" s="17"/>
      <c r="PR9" s="17"/>
      <c r="PS9" s="17"/>
      <c r="PT9" s="17"/>
      <c r="PU9" s="17"/>
      <c r="PV9" s="17"/>
      <c r="PW9" s="17"/>
      <c r="PX9" s="17"/>
      <c r="PY9" s="17"/>
      <c r="PZ9" s="17"/>
      <c r="QA9" s="17"/>
      <c r="QB9" s="17"/>
      <c r="QC9" s="17"/>
      <c r="QD9" s="17"/>
      <c r="QE9" s="17"/>
      <c r="QF9" s="17"/>
      <c r="QG9" s="17"/>
      <c r="QH9" s="17"/>
      <c r="QI9" s="17"/>
      <c r="QJ9" s="17"/>
      <c r="QK9" s="17"/>
      <c r="QL9" s="17"/>
      <c r="QM9" s="17"/>
      <c r="QN9" s="17"/>
      <c r="QO9" s="17"/>
      <c r="QP9" s="17"/>
      <c r="QQ9" s="17"/>
      <c r="QR9" s="17"/>
      <c r="QS9" s="17"/>
      <c r="QT9" s="17"/>
      <c r="QU9" s="17"/>
      <c r="QV9" s="17"/>
      <c r="QW9" s="17"/>
      <c r="QX9" s="17"/>
      <c r="QY9" s="17"/>
      <c r="QZ9" s="17"/>
      <c r="RA9" s="17"/>
      <c r="RB9" s="17"/>
      <c r="RC9" s="17"/>
      <c r="RD9" s="17"/>
      <c r="RE9" s="17"/>
      <c r="RF9" s="17"/>
      <c r="RG9" s="17"/>
      <c r="RH9" s="17"/>
      <c r="RI9" s="17"/>
      <c r="RJ9" s="17"/>
      <c r="RK9" s="17"/>
      <c r="RL9" s="17"/>
      <c r="RM9" s="17"/>
      <c r="RN9" s="17"/>
      <c r="RO9" s="17"/>
      <c r="RP9" s="17"/>
      <c r="RQ9" s="17"/>
      <c r="RR9" s="17"/>
      <c r="RS9" s="17"/>
      <c r="RT9" s="17"/>
      <c r="RU9" s="17"/>
      <c r="RV9" s="17"/>
      <c r="RW9" s="17"/>
      <c r="RX9" s="17"/>
      <c r="RY9" s="17"/>
      <c r="RZ9" s="17"/>
      <c r="SA9" s="17"/>
      <c r="SB9" s="17"/>
      <c r="SC9" s="17"/>
      <c r="SD9" s="17"/>
      <c r="SE9" s="17"/>
      <c r="SF9" s="17"/>
      <c r="SG9" s="17"/>
      <c r="SH9" s="17"/>
      <c r="SI9" s="17"/>
      <c r="SJ9" s="17"/>
      <c r="SK9" s="17"/>
      <c r="SL9" s="17"/>
      <c r="SM9" s="17"/>
      <c r="SN9" s="17"/>
      <c r="SO9" s="17"/>
      <c r="SP9" s="17"/>
      <c r="SQ9" s="17"/>
      <c r="SR9" s="17"/>
      <c r="SS9" s="17"/>
      <c r="ST9" s="17"/>
      <c r="SU9" s="17"/>
      <c r="SV9" s="17"/>
      <c r="SW9" s="17"/>
      <c r="SX9" s="17"/>
      <c r="SY9" s="17"/>
      <c r="SZ9" s="17"/>
      <c r="TA9" s="17"/>
      <c r="TB9" s="17"/>
      <c r="TC9" s="17"/>
      <c r="TD9" s="17"/>
      <c r="TE9" s="17"/>
      <c r="TF9" s="17"/>
      <c r="TG9" s="17"/>
      <c r="TH9" s="17"/>
      <c r="TI9" s="17"/>
      <c r="TJ9" s="17"/>
      <c r="TK9" s="17"/>
      <c r="TL9" s="17"/>
      <c r="TM9" s="17"/>
      <c r="TN9" s="17"/>
      <c r="TO9" s="17"/>
      <c r="TP9" s="17"/>
      <c r="TQ9" s="17"/>
      <c r="TR9" s="17"/>
      <c r="TS9" s="17"/>
      <c r="TT9" s="17"/>
      <c r="TU9" s="17"/>
      <c r="TV9" s="17"/>
      <c r="TW9" s="17"/>
      <c r="TX9" s="17"/>
      <c r="TY9" s="17"/>
      <c r="TZ9" s="17"/>
      <c r="UA9" s="17"/>
      <c r="UB9" s="17"/>
      <c r="UC9" s="17"/>
      <c r="UD9" s="17"/>
      <c r="UE9" s="17"/>
      <c r="UF9" s="17"/>
      <c r="UG9" s="17"/>
      <c r="UH9" s="17"/>
      <c r="UI9" s="17"/>
      <c r="UJ9" s="17"/>
      <c r="UK9" s="17"/>
      <c r="UL9" s="17"/>
      <c r="UM9" s="17"/>
      <c r="UN9" s="17"/>
      <c r="UO9" s="17"/>
      <c r="UP9" s="17"/>
      <c r="UQ9" s="17"/>
      <c r="UR9" s="17"/>
      <c r="US9" s="17"/>
      <c r="UT9" s="17"/>
      <c r="UU9" s="17"/>
      <c r="UV9" s="17"/>
      <c r="UW9" s="17"/>
      <c r="UX9" s="17"/>
      <c r="UY9" s="17"/>
      <c r="UZ9" s="17"/>
      <c r="VA9" s="17"/>
      <c r="VB9" s="17"/>
      <c r="VC9" s="17"/>
      <c r="VD9" s="17"/>
      <c r="VE9" s="17"/>
      <c r="VF9" s="17"/>
      <c r="VG9" s="17"/>
      <c r="VH9" s="17"/>
      <c r="VI9" s="17"/>
      <c r="VJ9" s="17"/>
      <c r="VK9" s="17"/>
      <c r="VL9" s="17"/>
      <c r="VM9" s="17"/>
      <c r="VN9" s="17"/>
      <c r="VO9" s="17"/>
      <c r="VP9" s="17"/>
      <c r="VQ9" s="17"/>
      <c r="VR9" s="17"/>
      <c r="VS9" s="17"/>
      <c r="VT9" s="17"/>
      <c r="VU9" s="17"/>
      <c r="VV9" s="17"/>
      <c r="VW9" s="17"/>
      <c r="VX9" s="17"/>
      <c r="VY9" s="17"/>
      <c r="VZ9" s="17"/>
      <c r="WA9" s="17"/>
      <c r="WB9" s="17"/>
      <c r="WC9" s="17"/>
      <c r="WD9" s="17"/>
      <c r="WE9" s="17"/>
      <c r="WF9" s="17"/>
      <c r="WG9" s="17"/>
      <c r="WH9" s="17"/>
      <c r="WI9" s="17"/>
      <c r="WJ9" s="17"/>
      <c r="WK9" s="17"/>
      <c r="WL9" s="17"/>
      <c r="WM9" s="17"/>
      <c r="WN9" s="17"/>
      <c r="WO9" s="17"/>
      <c r="WP9" s="17"/>
      <c r="WQ9" s="17"/>
      <c r="WR9" s="17"/>
      <c r="WS9" s="17"/>
      <c r="WT9" s="17"/>
      <c r="WU9" s="17"/>
      <c r="WV9" s="17"/>
      <c r="WW9" s="17"/>
      <c r="WX9" s="17"/>
      <c r="WY9" s="17"/>
      <c r="WZ9" s="17"/>
      <c r="XA9" s="17"/>
      <c r="XB9" s="17"/>
      <c r="XC9" s="17"/>
      <c r="XD9" s="17"/>
      <c r="XE9" s="17"/>
      <c r="XF9" s="17"/>
      <c r="XG9" s="17"/>
      <c r="XH9" s="17"/>
      <c r="XI9" s="17"/>
      <c r="XJ9" s="17"/>
      <c r="XK9" s="17"/>
      <c r="XL9" s="17"/>
      <c r="XM9" s="17"/>
      <c r="XN9" s="17"/>
      <c r="XO9" s="17"/>
      <c r="XP9" s="17"/>
      <c r="XQ9" s="17"/>
      <c r="XR9" s="17"/>
      <c r="XS9" s="17"/>
      <c r="XT9" s="17"/>
      <c r="XU9" s="17"/>
      <c r="XV9" s="17"/>
      <c r="XW9" s="17"/>
      <c r="XX9" s="17"/>
      <c r="XY9" s="17"/>
      <c r="XZ9" s="17"/>
      <c r="YA9" s="17"/>
      <c r="YB9" s="17"/>
      <c r="YC9" s="17"/>
      <c r="YD9" s="17"/>
      <c r="YE9" s="17"/>
      <c r="YF9" s="17"/>
      <c r="YG9" s="17"/>
      <c r="YH9" s="17"/>
      <c r="YI9" s="17"/>
      <c r="YJ9" s="17"/>
      <c r="YK9" s="17"/>
      <c r="YL9" s="17"/>
      <c r="YM9" s="17"/>
      <c r="YN9" s="17"/>
      <c r="YO9" s="17"/>
      <c r="YP9" s="17"/>
      <c r="YQ9" s="17"/>
      <c r="YR9" s="17"/>
      <c r="YS9" s="17"/>
      <c r="YT9" s="17"/>
      <c r="YU9" s="17"/>
      <c r="YV9" s="17"/>
      <c r="YW9" s="17"/>
      <c r="YX9" s="17"/>
      <c r="YY9" s="17"/>
      <c r="YZ9" s="17"/>
      <c r="ZA9" s="17"/>
      <c r="ZB9" s="17"/>
      <c r="ZC9" s="17"/>
      <c r="ZD9" s="17"/>
      <c r="ZE9" s="17"/>
      <c r="ZF9" s="17"/>
      <c r="ZG9" s="17"/>
      <c r="ZH9" s="17"/>
      <c r="ZI9" s="17"/>
      <c r="ZJ9" s="17"/>
      <c r="ZK9" s="17"/>
      <c r="ZL9" s="17"/>
      <c r="ZM9" s="17"/>
      <c r="ZN9" s="17"/>
      <c r="ZO9" s="17"/>
      <c r="ZP9" s="17"/>
      <c r="ZQ9" s="17"/>
      <c r="ZR9" s="17"/>
      <c r="ZS9" s="17"/>
      <c r="ZT9" s="17"/>
      <c r="ZU9" s="17"/>
      <c r="ZV9" s="17"/>
      <c r="ZW9" s="17"/>
      <c r="ZX9" s="17"/>
      <c r="ZY9" s="17"/>
      <c r="ZZ9" s="17"/>
    </row>
    <row r="10" spans="1:702" s="33" customFormat="1" x14ac:dyDescent="0.25">
      <c r="A10" s="30" t="str">
        <f>IF(COUNTA(B10:B10)=0,"", MAX(A$2:A9)+1)</f>
        <v/>
      </c>
      <c r="C10" s="34"/>
      <c r="D10" s="63"/>
      <c r="M10" s="34"/>
      <c r="Q10" s="34"/>
      <c r="U10" s="17"/>
      <c r="V10" s="62"/>
      <c r="W10" s="97"/>
      <c r="Z10" s="30" t="str">
        <f t="shared" si="0"/>
        <v/>
      </c>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7"/>
      <c r="EU10" s="17"/>
      <c r="EV10" s="17"/>
      <c r="EW10" s="17"/>
      <c r="EX10" s="17"/>
      <c r="EY10" s="17"/>
      <c r="EZ10" s="17"/>
      <c r="FA10" s="17"/>
      <c r="FB10" s="17"/>
      <c r="FC10" s="17"/>
      <c r="FD10" s="17"/>
      <c r="FE10" s="17"/>
      <c r="FF10" s="17"/>
      <c r="FG10" s="17"/>
      <c r="FH10" s="17"/>
      <c r="FI10" s="17"/>
      <c r="FJ10" s="17"/>
      <c r="FK10" s="17"/>
      <c r="FL10" s="17"/>
      <c r="FM10" s="17"/>
      <c r="FN10" s="17"/>
      <c r="FO10" s="17"/>
      <c r="FP10" s="17"/>
      <c r="FQ10" s="17"/>
      <c r="FR10" s="17"/>
      <c r="FS10" s="17"/>
      <c r="FT10" s="17"/>
      <c r="FU10" s="17"/>
      <c r="FV10" s="17"/>
      <c r="FW10" s="17"/>
      <c r="FX10" s="17"/>
      <c r="FY10" s="17"/>
      <c r="FZ10" s="17"/>
      <c r="GA10" s="17"/>
      <c r="GB10" s="17"/>
      <c r="GC10" s="17"/>
      <c r="GD10" s="17"/>
      <c r="GE10" s="17"/>
      <c r="GF10" s="17"/>
      <c r="GG10" s="17"/>
      <c r="GH10" s="17"/>
      <c r="GI10" s="17"/>
      <c r="GJ10" s="17"/>
      <c r="GK10" s="17"/>
      <c r="GL10" s="17"/>
      <c r="GM10" s="17"/>
      <c r="GN10" s="17"/>
      <c r="GO10" s="17"/>
      <c r="GP10" s="17"/>
      <c r="GQ10" s="17"/>
      <c r="GR10" s="17"/>
      <c r="GS10" s="17"/>
      <c r="GT10" s="17"/>
      <c r="GU10" s="17"/>
      <c r="GV10" s="17"/>
      <c r="GW10" s="17"/>
      <c r="GX10" s="17"/>
      <c r="GY10" s="17"/>
      <c r="GZ10" s="17"/>
      <c r="HA10" s="17"/>
      <c r="HB10" s="17"/>
      <c r="HC10" s="17"/>
      <c r="HD10" s="17"/>
      <c r="HE10" s="17"/>
      <c r="HF10" s="17"/>
      <c r="HG10" s="17"/>
      <c r="HH10" s="17"/>
      <c r="HI10" s="17"/>
      <c r="HJ10" s="17"/>
      <c r="HK10" s="17"/>
      <c r="HL10" s="17"/>
      <c r="HM10" s="17"/>
      <c r="HN10" s="17"/>
      <c r="HO10" s="17"/>
      <c r="HP10" s="17"/>
      <c r="HQ10" s="17"/>
      <c r="HR10" s="17"/>
      <c r="HS10" s="17"/>
      <c r="HT10" s="17"/>
      <c r="HU10" s="17"/>
      <c r="HV10" s="17"/>
      <c r="HW10" s="17"/>
      <c r="HX10" s="17"/>
      <c r="HY10" s="17"/>
      <c r="HZ10" s="17"/>
      <c r="IA10" s="17"/>
      <c r="IB10" s="17"/>
      <c r="IC10" s="17"/>
      <c r="ID10" s="17"/>
      <c r="IE10" s="17"/>
      <c r="IF10" s="17"/>
      <c r="IG10" s="17"/>
      <c r="IH10" s="17"/>
      <c r="II10" s="17"/>
      <c r="IJ10" s="17"/>
      <c r="IK10" s="17"/>
      <c r="IL10" s="17"/>
      <c r="IM10" s="17"/>
      <c r="IN10" s="17"/>
      <c r="IO10" s="17"/>
      <c r="IP10" s="17"/>
      <c r="IQ10" s="17"/>
      <c r="IR10" s="17"/>
      <c r="IS10" s="17"/>
      <c r="IT10" s="17"/>
      <c r="IU10" s="17"/>
      <c r="IV10" s="17"/>
      <c r="IW10" s="17"/>
      <c r="IX10" s="17"/>
      <c r="IY10" s="17"/>
      <c r="IZ10" s="17"/>
      <c r="JA10" s="17"/>
      <c r="JB10" s="17"/>
      <c r="JC10" s="17"/>
      <c r="JD10" s="17"/>
      <c r="JE10" s="17"/>
      <c r="JF10" s="17"/>
      <c r="JG10" s="17"/>
      <c r="JH10" s="17"/>
      <c r="JI10" s="17"/>
      <c r="JJ10" s="17"/>
      <c r="JK10" s="17"/>
      <c r="JL10" s="17"/>
      <c r="JM10" s="17"/>
      <c r="JN10" s="17"/>
      <c r="JO10" s="17"/>
      <c r="JP10" s="17"/>
      <c r="JQ10" s="17"/>
      <c r="JR10" s="17"/>
      <c r="JS10" s="17"/>
      <c r="JT10" s="17"/>
      <c r="JU10" s="17"/>
      <c r="JV10" s="17"/>
      <c r="JW10" s="17"/>
      <c r="JX10" s="17"/>
      <c r="JY10" s="17"/>
      <c r="JZ10" s="17"/>
      <c r="KA10" s="17"/>
      <c r="KB10" s="17"/>
      <c r="KC10" s="17"/>
      <c r="KD10" s="17"/>
      <c r="KE10" s="17"/>
      <c r="KF10" s="17"/>
      <c r="KG10" s="17"/>
      <c r="KH10" s="17"/>
      <c r="KI10" s="17"/>
      <c r="KJ10" s="17"/>
      <c r="KK10" s="17"/>
      <c r="KL10" s="17"/>
      <c r="KM10" s="17"/>
      <c r="KN10" s="17"/>
      <c r="KO10" s="17"/>
      <c r="KP10" s="17"/>
      <c r="KQ10" s="17"/>
      <c r="KR10" s="17"/>
      <c r="KS10" s="17"/>
      <c r="KT10" s="17"/>
      <c r="KU10" s="17"/>
      <c r="KV10" s="17"/>
      <c r="KW10" s="17"/>
      <c r="KX10" s="17"/>
      <c r="KY10" s="17"/>
      <c r="KZ10" s="17"/>
      <c r="LA10" s="17"/>
      <c r="LB10" s="17"/>
      <c r="LC10" s="17"/>
      <c r="LD10" s="17"/>
      <c r="LE10" s="17"/>
      <c r="LF10" s="17"/>
      <c r="LG10" s="17"/>
      <c r="LH10" s="17"/>
      <c r="LI10" s="17"/>
      <c r="LJ10" s="17"/>
      <c r="LK10" s="17"/>
      <c r="LL10" s="17"/>
      <c r="LM10" s="17"/>
      <c r="LN10" s="17"/>
      <c r="LO10" s="17"/>
      <c r="LP10" s="17"/>
      <c r="LQ10" s="17"/>
      <c r="LR10" s="17"/>
      <c r="LS10" s="17"/>
      <c r="LT10" s="17"/>
      <c r="LU10" s="17"/>
      <c r="LV10" s="17"/>
      <c r="LW10" s="17"/>
      <c r="LX10" s="17"/>
      <c r="LY10" s="17"/>
      <c r="LZ10" s="17"/>
      <c r="MA10" s="17"/>
      <c r="MB10" s="17"/>
      <c r="MC10" s="17"/>
      <c r="MD10" s="17"/>
      <c r="ME10" s="17"/>
      <c r="MF10" s="17"/>
      <c r="MG10" s="17"/>
      <c r="MH10" s="17"/>
      <c r="MI10" s="17"/>
      <c r="MJ10" s="17"/>
      <c r="MK10" s="17"/>
      <c r="ML10" s="17"/>
      <c r="MM10" s="17"/>
      <c r="MN10" s="17"/>
      <c r="MO10" s="17"/>
      <c r="MP10" s="17"/>
      <c r="MQ10" s="17"/>
      <c r="MR10" s="17"/>
      <c r="MS10" s="17"/>
      <c r="MT10" s="17"/>
      <c r="MU10" s="17"/>
      <c r="MV10" s="17"/>
      <c r="MW10" s="17"/>
      <c r="MX10" s="17"/>
      <c r="MY10" s="17"/>
      <c r="MZ10" s="17"/>
      <c r="NA10" s="17"/>
      <c r="NB10" s="17"/>
      <c r="NC10" s="17"/>
      <c r="ND10" s="17"/>
      <c r="NE10" s="17"/>
      <c r="NF10" s="17"/>
      <c r="NG10" s="17"/>
      <c r="NH10" s="17"/>
      <c r="NI10" s="17"/>
      <c r="NJ10" s="17"/>
      <c r="NK10" s="17"/>
      <c r="NL10" s="17"/>
      <c r="NM10" s="17"/>
      <c r="NN10" s="17"/>
      <c r="NO10" s="17"/>
      <c r="NP10" s="17"/>
      <c r="NQ10" s="17"/>
      <c r="NR10" s="17"/>
      <c r="NS10" s="17"/>
      <c r="NT10" s="17"/>
      <c r="NU10" s="17"/>
      <c r="NV10" s="17"/>
      <c r="NW10" s="17"/>
      <c r="NX10" s="17"/>
      <c r="NY10" s="17"/>
      <c r="NZ10" s="17"/>
      <c r="OA10" s="17"/>
      <c r="OB10" s="17"/>
      <c r="OC10" s="17"/>
      <c r="OD10" s="17"/>
      <c r="OE10" s="17"/>
      <c r="OF10" s="17"/>
      <c r="OG10" s="17"/>
      <c r="OH10" s="17"/>
      <c r="OI10" s="17"/>
      <c r="OJ10" s="17"/>
      <c r="OK10" s="17"/>
      <c r="OL10" s="17"/>
      <c r="OM10" s="17"/>
      <c r="ON10" s="17"/>
      <c r="OO10" s="17"/>
      <c r="OP10" s="17"/>
      <c r="OQ10" s="17"/>
      <c r="OR10" s="17"/>
      <c r="OS10" s="17"/>
      <c r="OT10" s="17"/>
      <c r="OU10" s="17"/>
      <c r="OV10" s="17"/>
      <c r="OW10" s="17"/>
      <c r="OX10" s="17"/>
      <c r="OY10" s="17"/>
      <c r="OZ10" s="17"/>
      <c r="PA10" s="17"/>
      <c r="PB10" s="17"/>
      <c r="PC10" s="17"/>
      <c r="PD10" s="17"/>
      <c r="PE10" s="17"/>
      <c r="PF10" s="17"/>
      <c r="PG10" s="17"/>
      <c r="PH10" s="17"/>
      <c r="PI10" s="17"/>
      <c r="PJ10" s="17"/>
      <c r="PK10" s="17"/>
      <c r="PL10" s="17"/>
      <c r="PM10" s="17"/>
      <c r="PN10" s="17"/>
      <c r="PO10" s="17"/>
      <c r="PP10" s="17"/>
      <c r="PQ10" s="17"/>
      <c r="PR10" s="17"/>
      <c r="PS10" s="17"/>
      <c r="PT10" s="17"/>
      <c r="PU10" s="17"/>
      <c r="PV10" s="17"/>
      <c r="PW10" s="17"/>
      <c r="PX10" s="17"/>
      <c r="PY10" s="17"/>
      <c r="PZ10" s="17"/>
      <c r="QA10" s="17"/>
      <c r="QB10" s="17"/>
      <c r="QC10" s="17"/>
      <c r="QD10" s="17"/>
      <c r="QE10" s="17"/>
      <c r="QF10" s="17"/>
      <c r="QG10" s="17"/>
      <c r="QH10" s="17"/>
      <c r="QI10" s="17"/>
      <c r="QJ10" s="17"/>
      <c r="QK10" s="17"/>
      <c r="QL10" s="17"/>
      <c r="QM10" s="17"/>
      <c r="QN10" s="17"/>
      <c r="QO10" s="17"/>
      <c r="QP10" s="17"/>
      <c r="QQ10" s="17"/>
      <c r="QR10" s="17"/>
      <c r="QS10" s="17"/>
      <c r="QT10" s="17"/>
      <c r="QU10" s="17"/>
      <c r="QV10" s="17"/>
      <c r="QW10" s="17"/>
      <c r="QX10" s="17"/>
      <c r="QY10" s="17"/>
      <c r="QZ10" s="17"/>
      <c r="RA10" s="17"/>
      <c r="RB10" s="17"/>
      <c r="RC10" s="17"/>
      <c r="RD10" s="17"/>
      <c r="RE10" s="17"/>
      <c r="RF10" s="17"/>
      <c r="RG10" s="17"/>
      <c r="RH10" s="17"/>
      <c r="RI10" s="17"/>
      <c r="RJ10" s="17"/>
      <c r="RK10" s="17"/>
      <c r="RL10" s="17"/>
      <c r="RM10" s="17"/>
      <c r="RN10" s="17"/>
      <c r="RO10" s="17"/>
      <c r="RP10" s="17"/>
      <c r="RQ10" s="17"/>
      <c r="RR10" s="17"/>
      <c r="RS10" s="17"/>
      <c r="RT10" s="17"/>
      <c r="RU10" s="17"/>
      <c r="RV10" s="17"/>
      <c r="RW10" s="17"/>
      <c r="RX10" s="17"/>
      <c r="RY10" s="17"/>
      <c r="RZ10" s="17"/>
      <c r="SA10" s="17"/>
      <c r="SB10" s="17"/>
      <c r="SC10" s="17"/>
      <c r="SD10" s="17"/>
      <c r="SE10" s="17"/>
      <c r="SF10" s="17"/>
      <c r="SG10" s="17"/>
      <c r="SH10" s="17"/>
      <c r="SI10" s="17"/>
      <c r="SJ10" s="17"/>
      <c r="SK10" s="17"/>
      <c r="SL10" s="17"/>
      <c r="SM10" s="17"/>
      <c r="SN10" s="17"/>
      <c r="SO10" s="17"/>
      <c r="SP10" s="17"/>
      <c r="SQ10" s="17"/>
      <c r="SR10" s="17"/>
      <c r="SS10" s="17"/>
      <c r="ST10" s="17"/>
      <c r="SU10" s="17"/>
      <c r="SV10" s="17"/>
      <c r="SW10" s="17"/>
      <c r="SX10" s="17"/>
      <c r="SY10" s="17"/>
      <c r="SZ10" s="17"/>
      <c r="TA10" s="17"/>
      <c r="TB10" s="17"/>
      <c r="TC10" s="17"/>
      <c r="TD10" s="17"/>
      <c r="TE10" s="17"/>
      <c r="TF10" s="17"/>
      <c r="TG10" s="17"/>
      <c r="TH10" s="17"/>
      <c r="TI10" s="17"/>
      <c r="TJ10" s="17"/>
      <c r="TK10" s="17"/>
      <c r="TL10" s="17"/>
      <c r="TM10" s="17"/>
      <c r="TN10" s="17"/>
      <c r="TO10" s="17"/>
      <c r="TP10" s="17"/>
      <c r="TQ10" s="17"/>
      <c r="TR10" s="17"/>
      <c r="TS10" s="17"/>
      <c r="TT10" s="17"/>
      <c r="TU10" s="17"/>
      <c r="TV10" s="17"/>
      <c r="TW10" s="17"/>
      <c r="TX10" s="17"/>
      <c r="TY10" s="17"/>
      <c r="TZ10" s="17"/>
      <c r="UA10" s="17"/>
      <c r="UB10" s="17"/>
      <c r="UC10" s="17"/>
      <c r="UD10" s="17"/>
      <c r="UE10" s="17"/>
      <c r="UF10" s="17"/>
      <c r="UG10" s="17"/>
      <c r="UH10" s="17"/>
      <c r="UI10" s="17"/>
      <c r="UJ10" s="17"/>
      <c r="UK10" s="17"/>
      <c r="UL10" s="17"/>
      <c r="UM10" s="17"/>
      <c r="UN10" s="17"/>
      <c r="UO10" s="17"/>
      <c r="UP10" s="17"/>
      <c r="UQ10" s="17"/>
      <c r="UR10" s="17"/>
      <c r="US10" s="17"/>
      <c r="UT10" s="17"/>
      <c r="UU10" s="17"/>
      <c r="UV10" s="17"/>
      <c r="UW10" s="17"/>
      <c r="UX10" s="17"/>
      <c r="UY10" s="17"/>
      <c r="UZ10" s="17"/>
      <c r="VA10" s="17"/>
      <c r="VB10" s="17"/>
      <c r="VC10" s="17"/>
      <c r="VD10" s="17"/>
      <c r="VE10" s="17"/>
      <c r="VF10" s="17"/>
      <c r="VG10" s="17"/>
      <c r="VH10" s="17"/>
      <c r="VI10" s="17"/>
      <c r="VJ10" s="17"/>
      <c r="VK10" s="17"/>
      <c r="VL10" s="17"/>
      <c r="VM10" s="17"/>
      <c r="VN10" s="17"/>
      <c r="VO10" s="17"/>
      <c r="VP10" s="17"/>
      <c r="VQ10" s="17"/>
      <c r="VR10" s="17"/>
      <c r="VS10" s="17"/>
      <c r="VT10" s="17"/>
      <c r="VU10" s="17"/>
      <c r="VV10" s="17"/>
      <c r="VW10" s="17"/>
      <c r="VX10" s="17"/>
      <c r="VY10" s="17"/>
      <c r="VZ10" s="17"/>
      <c r="WA10" s="17"/>
      <c r="WB10" s="17"/>
      <c r="WC10" s="17"/>
      <c r="WD10" s="17"/>
      <c r="WE10" s="17"/>
      <c r="WF10" s="17"/>
      <c r="WG10" s="17"/>
      <c r="WH10" s="17"/>
      <c r="WI10" s="17"/>
      <c r="WJ10" s="17"/>
      <c r="WK10" s="17"/>
      <c r="WL10" s="17"/>
      <c r="WM10" s="17"/>
      <c r="WN10" s="17"/>
      <c r="WO10" s="17"/>
      <c r="WP10" s="17"/>
      <c r="WQ10" s="17"/>
      <c r="WR10" s="17"/>
      <c r="WS10" s="17"/>
      <c r="WT10" s="17"/>
      <c r="WU10" s="17"/>
      <c r="WV10" s="17"/>
      <c r="WW10" s="17"/>
      <c r="WX10" s="17"/>
      <c r="WY10" s="17"/>
      <c r="WZ10" s="17"/>
      <c r="XA10" s="17"/>
      <c r="XB10" s="17"/>
      <c r="XC10" s="17"/>
      <c r="XD10" s="17"/>
      <c r="XE10" s="17"/>
      <c r="XF10" s="17"/>
      <c r="XG10" s="17"/>
      <c r="XH10" s="17"/>
      <c r="XI10" s="17"/>
      <c r="XJ10" s="17"/>
      <c r="XK10" s="17"/>
      <c r="XL10" s="17"/>
      <c r="XM10" s="17"/>
      <c r="XN10" s="17"/>
      <c r="XO10" s="17"/>
      <c r="XP10" s="17"/>
      <c r="XQ10" s="17"/>
      <c r="XR10" s="17"/>
      <c r="XS10" s="17"/>
      <c r="XT10" s="17"/>
      <c r="XU10" s="17"/>
      <c r="XV10" s="17"/>
      <c r="XW10" s="17"/>
      <c r="XX10" s="17"/>
      <c r="XY10" s="17"/>
      <c r="XZ10" s="17"/>
      <c r="YA10" s="17"/>
      <c r="YB10" s="17"/>
      <c r="YC10" s="17"/>
      <c r="YD10" s="17"/>
      <c r="YE10" s="17"/>
      <c r="YF10" s="17"/>
      <c r="YG10" s="17"/>
      <c r="YH10" s="17"/>
      <c r="YI10" s="17"/>
      <c r="YJ10" s="17"/>
      <c r="YK10" s="17"/>
      <c r="YL10" s="17"/>
      <c r="YM10" s="17"/>
      <c r="YN10" s="17"/>
      <c r="YO10" s="17"/>
      <c r="YP10" s="17"/>
      <c r="YQ10" s="17"/>
      <c r="YR10" s="17"/>
      <c r="YS10" s="17"/>
      <c r="YT10" s="17"/>
      <c r="YU10" s="17"/>
      <c r="YV10" s="17"/>
      <c r="YW10" s="17"/>
      <c r="YX10" s="17"/>
      <c r="YY10" s="17"/>
      <c r="YZ10" s="17"/>
      <c r="ZA10" s="17"/>
      <c r="ZB10" s="17"/>
      <c r="ZC10" s="17"/>
      <c r="ZD10" s="17"/>
      <c r="ZE10" s="17"/>
      <c r="ZF10" s="17"/>
      <c r="ZG10" s="17"/>
      <c r="ZH10" s="17"/>
      <c r="ZI10" s="17"/>
      <c r="ZJ10" s="17"/>
      <c r="ZK10" s="17"/>
      <c r="ZL10" s="17"/>
      <c r="ZM10" s="17"/>
      <c r="ZN10" s="17"/>
      <c r="ZO10" s="17"/>
      <c r="ZP10" s="17"/>
      <c r="ZQ10" s="17"/>
      <c r="ZR10" s="17"/>
      <c r="ZS10" s="17"/>
      <c r="ZT10" s="17"/>
      <c r="ZU10" s="17"/>
      <c r="ZV10" s="17"/>
      <c r="ZW10" s="17"/>
      <c r="ZX10" s="17"/>
      <c r="ZY10" s="17"/>
      <c r="ZZ10" s="17"/>
    </row>
    <row r="11" spans="1:702" s="33" customFormat="1" x14ac:dyDescent="0.25">
      <c r="A11" s="30" t="str">
        <f>IF(COUNTA(B11:B11)=0,"", MAX(A$2:A10)+1)</f>
        <v/>
      </c>
      <c r="C11" s="34"/>
      <c r="D11" s="63"/>
      <c r="M11" s="34"/>
      <c r="Q11" s="34"/>
      <c r="U11" s="17"/>
      <c r="V11" s="62"/>
      <c r="W11" s="97"/>
      <c r="Z11" s="30" t="str">
        <f t="shared" si="0"/>
        <v/>
      </c>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c r="EN11" s="17"/>
      <c r="EO11" s="17"/>
      <c r="EP11" s="17"/>
      <c r="EQ11" s="17"/>
      <c r="ER11" s="17"/>
      <c r="ES11" s="17"/>
      <c r="ET11" s="17"/>
      <c r="EU11" s="17"/>
      <c r="EV11" s="17"/>
      <c r="EW11" s="17"/>
      <c r="EX11" s="17"/>
      <c r="EY11" s="17"/>
      <c r="EZ11" s="17"/>
      <c r="FA11" s="17"/>
      <c r="FB11" s="17"/>
      <c r="FC11" s="17"/>
      <c r="FD11" s="17"/>
      <c r="FE11" s="17"/>
      <c r="FF11" s="17"/>
      <c r="FG11" s="17"/>
      <c r="FH11" s="17"/>
      <c r="FI11" s="17"/>
      <c r="FJ11" s="17"/>
      <c r="FK11" s="17"/>
      <c r="FL11" s="17"/>
      <c r="FM11" s="17"/>
      <c r="FN11" s="17"/>
      <c r="FO11" s="17"/>
      <c r="FP11" s="17"/>
      <c r="FQ11" s="17"/>
      <c r="FR11" s="17"/>
      <c r="FS11" s="17"/>
      <c r="FT11" s="17"/>
      <c r="FU11" s="17"/>
      <c r="FV11" s="17"/>
      <c r="FW11" s="17"/>
      <c r="FX11" s="17"/>
      <c r="FY11" s="17"/>
      <c r="FZ11" s="17"/>
      <c r="GA11" s="17"/>
      <c r="GB11" s="17"/>
      <c r="GC11" s="17"/>
      <c r="GD11" s="17"/>
      <c r="GE11" s="17"/>
      <c r="GF11" s="17"/>
      <c r="GG11" s="17"/>
      <c r="GH11" s="17"/>
      <c r="GI11" s="17"/>
      <c r="GJ11" s="17"/>
      <c r="GK11" s="17"/>
      <c r="GL11" s="17"/>
      <c r="GM11" s="17"/>
      <c r="GN11" s="17"/>
      <c r="GO11" s="17"/>
      <c r="GP11" s="17"/>
      <c r="GQ11" s="17"/>
      <c r="GR11" s="17"/>
      <c r="GS11" s="17"/>
      <c r="GT11" s="17"/>
      <c r="GU11" s="17"/>
      <c r="GV11" s="17"/>
      <c r="GW11" s="17"/>
      <c r="GX11" s="17"/>
      <c r="GY11" s="17"/>
      <c r="GZ11" s="17"/>
      <c r="HA11" s="17"/>
      <c r="HB11" s="17"/>
      <c r="HC11" s="17"/>
      <c r="HD11" s="17"/>
      <c r="HE11" s="17"/>
      <c r="HF11" s="17"/>
      <c r="HG11" s="17"/>
      <c r="HH11" s="17"/>
      <c r="HI11" s="17"/>
      <c r="HJ11" s="17"/>
      <c r="HK11" s="17"/>
      <c r="HL11" s="17"/>
      <c r="HM11" s="17"/>
      <c r="HN11" s="17"/>
      <c r="HO11" s="17"/>
      <c r="HP11" s="17"/>
      <c r="HQ11" s="17"/>
      <c r="HR11" s="17"/>
      <c r="HS11" s="17"/>
      <c r="HT11" s="17"/>
      <c r="HU11" s="17"/>
      <c r="HV11" s="17"/>
      <c r="HW11" s="17"/>
      <c r="HX11" s="17"/>
      <c r="HY11" s="17"/>
      <c r="HZ11" s="17"/>
      <c r="IA11" s="17"/>
      <c r="IB11" s="17"/>
      <c r="IC11" s="17"/>
      <c r="ID11" s="17"/>
      <c r="IE11" s="17"/>
      <c r="IF11" s="17"/>
      <c r="IG11" s="17"/>
      <c r="IH11" s="17"/>
      <c r="II11" s="17"/>
      <c r="IJ11" s="17"/>
      <c r="IK11" s="17"/>
      <c r="IL11" s="17"/>
      <c r="IM11" s="17"/>
      <c r="IN11" s="17"/>
      <c r="IO11" s="17"/>
      <c r="IP11" s="17"/>
      <c r="IQ11" s="17"/>
      <c r="IR11" s="17"/>
      <c r="IS11" s="17"/>
      <c r="IT11" s="17"/>
      <c r="IU11" s="17"/>
      <c r="IV11" s="17"/>
      <c r="IW11" s="17"/>
      <c r="IX11" s="17"/>
      <c r="IY11" s="17"/>
      <c r="IZ11" s="17"/>
      <c r="JA11" s="17"/>
      <c r="JB11" s="17"/>
      <c r="JC11" s="17"/>
      <c r="JD11" s="17"/>
      <c r="JE11" s="17"/>
      <c r="JF11" s="17"/>
      <c r="JG11" s="17"/>
      <c r="JH11" s="17"/>
      <c r="JI11" s="17"/>
      <c r="JJ11" s="17"/>
      <c r="JK11" s="17"/>
      <c r="JL11" s="17"/>
      <c r="JM11" s="17"/>
      <c r="JN11" s="17"/>
      <c r="JO11" s="17"/>
      <c r="JP11" s="17"/>
      <c r="JQ11" s="17"/>
      <c r="JR11" s="17"/>
      <c r="JS11" s="17"/>
      <c r="JT11" s="17"/>
      <c r="JU11" s="17"/>
      <c r="JV11" s="17"/>
      <c r="JW11" s="17"/>
      <c r="JX11" s="17"/>
      <c r="JY11" s="17"/>
      <c r="JZ11" s="17"/>
      <c r="KA11" s="17"/>
      <c r="KB11" s="17"/>
      <c r="KC11" s="17"/>
      <c r="KD11" s="17"/>
      <c r="KE11" s="17"/>
      <c r="KF11" s="17"/>
      <c r="KG11" s="17"/>
      <c r="KH11" s="17"/>
      <c r="KI11" s="17"/>
      <c r="KJ11" s="17"/>
      <c r="KK11" s="17"/>
      <c r="KL11" s="17"/>
      <c r="KM11" s="17"/>
      <c r="KN11" s="17"/>
      <c r="KO11" s="17"/>
      <c r="KP11" s="17"/>
      <c r="KQ11" s="17"/>
      <c r="KR11" s="17"/>
      <c r="KS11" s="17"/>
      <c r="KT11" s="17"/>
      <c r="KU11" s="17"/>
      <c r="KV11" s="17"/>
      <c r="KW11" s="17"/>
      <c r="KX11" s="17"/>
      <c r="KY11" s="17"/>
      <c r="KZ11" s="17"/>
      <c r="LA11" s="17"/>
      <c r="LB11" s="17"/>
      <c r="LC11" s="17"/>
      <c r="LD11" s="17"/>
      <c r="LE11" s="17"/>
      <c r="LF11" s="17"/>
      <c r="LG11" s="17"/>
      <c r="LH11" s="17"/>
      <c r="LI11" s="17"/>
      <c r="LJ11" s="17"/>
      <c r="LK11" s="17"/>
      <c r="LL11" s="17"/>
      <c r="LM11" s="17"/>
      <c r="LN11" s="17"/>
      <c r="LO11" s="17"/>
      <c r="LP11" s="17"/>
      <c r="LQ11" s="17"/>
      <c r="LR11" s="17"/>
      <c r="LS11" s="17"/>
      <c r="LT11" s="17"/>
      <c r="LU11" s="17"/>
      <c r="LV11" s="17"/>
      <c r="LW11" s="17"/>
      <c r="LX11" s="17"/>
      <c r="LY11" s="17"/>
      <c r="LZ11" s="17"/>
      <c r="MA11" s="17"/>
      <c r="MB11" s="17"/>
      <c r="MC11" s="17"/>
      <c r="MD11" s="17"/>
      <c r="ME11" s="17"/>
      <c r="MF11" s="17"/>
      <c r="MG11" s="17"/>
      <c r="MH11" s="17"/>
      <c r="MI11" s="17"/>
      <c r="MJ11" s="17"/>
      <c r="MK11" s="17"/>
      <c r="ML11" s="17"/>
      <c r="MM11" s="17"/>
      <c r="MN11" s="17"/>
      <c r="MO11" s="17"/>
      <c r="MP11" s="17"/>
      <c r="MQ11" s="17"/>
      <c r="MR11" s="17"/>
      <c r="MS11" s="17"/>
      <c r="MT11" s="17"/>
      <c r="MU11" s="17"/>
      <c r="MV11" s="17"/>
      <c r="MW11" s="17"/>
      <c r="MX11" s="17"/>
      <c r="MY11" s="17"/>
      <c r="MZ11" s="17"/>
      <c r="NA11" s="17"/>
      <c r="NB11" s="17"/>
      <c r="NC11" s="17"/>
      <c r="ND11" s="17"/>
      <c r="NE11" s="17"/>
      <c r="NF11" s="17"/>
      <c r="NG11" s="17"/>
      <c r="NH11" s="17"/>
      <c r="NI11" s="17"/>
      <c r="NJ11" s="17"/>
      <c r="NK11" s="17"/>
      <c r="NL11" s="17"/>
      <c r="NM11" s="17"/>
      <c r="NN11" s="17"/>
      <c r="NO11" s="17"/>
      <c r="NP11" s="17"/>
      <c r="NQ11" s="17"/>
      <c r="NR11" s="17"/>
      <c r="NS11" s="17"/>
      <c r="NT11" s="17"/>
      <c r="NU11" s="17"/>
      <c r="NV11" s="17"/>
      <c r="NW11" s="17"/>
      <c r="NX11" s="17"/>
      <c r="NY11" s="17"/>
      <c r="NZ11" s="17"/>
      <c r="OA11" s="17"/>
      <c r="OB11" s="17"/>
      <c r="OC11" s="17"/>
      <c r="OD11" s="17"/>
      <c r="OE11" s="17"/>
      <c r="OF11" s="17"/>
      <c r="OG11" s="17"/>
      <c r="OH11" s="17"/>
      <c r="OI11" s="17"/>
      <c r="OJ11" s="17"/>
      <c r="OK11" s="17"/>
      <c r="OL11" s="17"/>
      <c r="OM11" s="17"/>
      <c r="ON11" s="17"/>
      <c r="OO11" s="17"/>
      <c r="OP11" s="17"/>
      <c r="OQ11" s="17"/>
      <c r="OR11" s="17"/>
      <c r="OS11" s="17"/>
      <c r="OT11" s="17"/>
      <c r="OU11" s="17"/>
      <c r="OV11" s="17"/>
      <c r="OW11" s="17"/>
      <c r="OX11" s="17"/>
      <c r="OY11" s="17"/>
      <c r="OZ11" s="17"/>
      <c r="PA11" s="17"/>
      <c r="PB11" s="17"/>
      <c r="PC11" s="17"/>
      <c r="PD11" s="17"/>
      <c r="PE11" s="17"/>
      <c r="PF11" s="17"/>
      <c r="PG11" s="17"/>
      <c r="PH11" s="17"/>
      <c r="PI11" s="17"/>
      <c r="PJ11" s="17"/>
      <c r="PK11" s="17"/>
      <c r="PL11" s="17"/>
      <c r="PM11" s="17"/>
      <c r="PN11" s="17"/>
      <c r="PO11" s="17"/>
      <c r="PP11" s="17"/>
      <c r="PQ11" s="17"/>
      <c r="PR11" s="17"/>
      <c r="PS11" s="17"/>
      <c r="PT11" s="17"/>
      <c r="PU11" s="17"/>
      <c r="PV11" s="17"/>
      <c r="PW11" s="17"/>
      <c r="PX11" s="17"/>
      <c r="PY11" s="17"/>
      <c r="PZ11" s="17"/>
      <c r="QA11" s="17"/>
      <c r="QB11" s="17"/>
      <c r="QC11" s="17"/>
      <c r="QD11" s="17"/>
      <c r="QE11" s="17"/>
      <c r="QF11" s="17"/>
      <c r="QG11" s="17"/>
      <c r="QH11" s="17"/>
      <c r="QI11" s="17"/>
      <c r="QJ11" s="17"/>
      <c r="QK11" s="17"/>
      <c r="QL11" s="17"/>
      <c r="QM11" s="17"/>
      <c r="QN11" s="17"/>
      <c r="QO11" s="17"/>
      <c r="QP11" s="17"/>
      <c r="QQ11" s="17"/>
      <c r="QR11" s="17"/>
      <c r="QS11" s="17"/>
      <c r="QT11" s="17"/>
      <c r="QU11" s="17"/>
      <c r="QV11" s="17"/>
      <c r="QW11" s="17"/>
      <c r="QX11" s="17"/>
      <c r="QY11" s="17"/>
      <c r="QZ11" s="17"/>
      <c r="RA11" s="17"/>
      <c r="RB11" s="17"/>
      <c r="RC11" s="17"/>
      <c r="RD11" s="17"/>
      <c r="RE11" s="17"/>
      <c r="RF11" s="17"/>
      <c r="RG11" s="17"/>
      <c r="RH11" s="17"/>
      <c r="RI11" s="17"/>
      <c r="RJ11" s="17"/>
      <c r="RK11" s="17"/>
      <c r="RL11" s="17"/>
      <c r="RM11" s="17"/>
      <c r="RN11" s="17"/>
      <c r="RO11" s="17"/>
      <c r="RP11" s="17"/>
      <c r="RQ11" s="17"/>
      <c r="RR11" s="17"/>
      <c r="RS11" s="17"/>
      <c r="RT11" s="17"/>
      <c r="RU11" s="17"/>
      <c r="RV11" s="17"/>
      <c r="RW11" s="17"/>
      <c r="RX11" s="17"/>
      <c r="RY11" s="17"/>
      <c r="RZ11" s="17"/>
      <c r="SA11" s="17"/>
      <c r="SB11" s="17"/>
      <c r="SC11" s="17"/>
      <c r="SD11" s="17"/>
      <c r="SE11" s="17"/>
      <c r="SF11" s="17"/>
      <c r="SG11" s="17"/>
      <c r="SH11" s="17"/>
      <c r="SI11" s="17"/>
      <c r="SJ11" s="17"/>
      <c r="SK11" s="17"/>
      <c r="SL11" s="17"/>
      <c r="SM11" s="17"/>
      <c r="SN11" s="17"/>
      <c r="SO11" s="17"/>
      <c r="SP11" s="17"/>
      <c r="SQ11" s="17"/>
      <c r="SR11" s="17"/>
      <c r="SS11" s="17"/>
      <c r="ST11" s="17"/>
      <c r="SU11" s="17"/>
      <c r="SV11" s="17"/>
      <c r="SW11" s="17"/>
      <c r="SX11" s="17"/>
      <c r="SY11" s="17"/>
      <c r="SZ11" s="17"/>
      <c r="TA11" s="17"/>
      <c r="TB11" s="17"/>
      <c r="TC11" s="17"/>
      <c r="TD11" s="17"/>
      <c r="TE11" s="17"/>
      <c r="TF11" s="17"/>
      <c r="TG11" s="17"/>
      <c r="TH11" s="17"/>
      <c r="TI11" s="17"/>
      <c r="TJ11" s="17"/>
      <c r="TK11" s="17"/>
      <c r="TL11" s="17"/>
      <c r="TM11" s="17"/>
      <c r="TN11" s="17"/>
      <c r="TO11" s="17"/>
      <c r="TP11" s="17"/>
      <c r="TQ11" s="17"/>
      <c r="TR11" s="17"/>
      <c r="TS11" s="17"/>
      <c r="TT11" s="17"/>
      <c r="TU11" s="17"/>
      <c r="TV11" s="17"/>
      <c r="TW11" s="17"/>
      <c r="TX11" s="17"/>
      <c r="TY11" s="17"/>
      <c r="TZ11" s="17"/>
      <c r="UA11" s="17"/>
      <c r="UB11" s="17"/>
      <c r="UC11" s="17"/>
      <c r="UD11" s="17"/>
      <c r="UE11" s="17"/>
      <c r="UF11" s="17"/>
      <c r="UG11" s="17"/>
      <c r="UH11" s="17"/>
      <c r="UI11" s="17"/>
      <c r="UJ11" s="17"/>
      <c r="UK11" s="17"/>
      <c r="UL11" s="17"/>
      <c r="UM11" s="17"/>
      <c r="UN11" s="17"/>
      <c r="UO11" s="17"/>
      <c r="UP11" s="17"/>
      <c r="UQ11" s="17"/>
      <c r="UR11" s="17"/>
      <c r="US11" s="17"/>
      <c r="UT11" s="17"/>
      <c r="UU11" s="17"/>
      <c r="UV11" s="17"/>
      <c r="UW11" s="17"/>
      <c r="UX11" s="17"/>
      <c r="UY11" s="17"/>
      <c r="UZ11" s="17"/>
      <c r="VA11" s="17"/>
      <c r="VB11" s="17"/>
      <c r="VC11" s="17"/>
      <c r="VD11" s="17"/>
      <c r="VE11" s="17"/>
      <c r="VF11" s="17"/>
      <c r="VG11" s="17"/>
      <c r="VH11" s="17"/>
      <c r="VI11" s="17"/>
      <c r="VJ11" s="17"/>
      <c r="VK11" s="17"/>
      <c r="VL11" s="17"/>
      <c r="VM11" s="17"/>
      <c r="VN11" s="17"/>
      <c r="VO11" s="17"/>
      <c r="VP11" s="17"/>
      <c r="VQ11" s="17"/>
      <c r="VR11" s="17"/>
      <c r="VS11" s="17"/>
      <c r="VT11" s="17"/>
      <c r="VU11" s="17"/>
      <c r="VV11" s="17"/>
      <c r="VW11" s="17"/>
      <c r="VX11" s="17"/>
      <c r="VY11" s="17"/>
      <c r="VZ11" s="17"/>
      <c r="WA11" s="17"/>
      <c r="WB11" s="17"/>
      <c r="WC11" s="17"/>
      <c r="WD11" s="17"/>
      <c r="WE11" s="17"/>
      <c r="WF11" s="17"/>
      <c r="WG11" s="17"/>
      <c r="WH11" s="17"/>
      <c r="WI11" s="17"/>
      <c r="WJ11" s="17"/>
      <c r="WK11" s="17"/>
      <c r="WL11" s="17"/>
      <c r="WM11" s="17"/>
      <c r="WN11" s="17"/>
      <c r="WO11" s="17"/>
      <c r="WP11" s="17"/>
      <c r="WQ11" s="17"/>
      <c r="WR11" s="17"/>
      <c r="WS11" s="17"/>
      <c r="WT11" s="17"/>
      <c r="WU11" s="17"/>
      <c r="WV11" s="17"/>
      <c r="WW11" s="17"/>
      <c r="WX11" s="17"/>
      <c r="WY11" s="17"/>
      <c r="WZ11" s="17"/>
      <c r="XA11" s="17"/>
      <c r="XB11" s="17"/>
      <c r="XC11" s="17"/>
      <c r="XD11" s="17"/>
      <c r="XE11" s="17"/>
      <c r="XF11" s="17"/>
      <c r="XG11" s="17"/>
      <c r="XH11" s="17"/>
      <c r="XI11" s="17"/>
      <c r="XJ11" s="17"/>
      <c r="XK11" s="17"/>
      <c r="XL11" s="17"/>
      <c r="XM11" s="17"/>
      <c r="XN11" s="17"/>
      <c r="XO11" s="17"/>
      <c r="XP11" s="17"/>
      <c r="XQ11" s="17"/>
      <c r="XR11" s="17"/>
      <c r="XS11" s="17"/>
      <c r="XT11" s="17"/>
      <c r="XU11" s="17"/>
      <c r="XV11" s="17"/>
      <c r="XW11" s="17"/>
      <c r="XX11" s="17"/>
      <c r="XY11" s="17"/>
      <c r="XZ11" s="17"/>
      <c r="YA11" s="17"/>
      <c r="YB11" s="17"/>
      <c r="YC11" s="17"/>
      <c r="YD11" s="17"/>
      <c r="YE11" s="17"/>
      <c r="YF11" s="17"/>
      <c r="YG11" s="17"/>
      <c r="YH11" s="17"/>
      <c r="YI11" s="17"/>
      <c r="YJ11" s="17"/>
      <c r="YK11" s="17"/>
      <c r="YL11" s="17"/>
      <c r="YM11" s="17"/>
      <c r="YN11" s="17"/>
      <c r="YO11" s="17"/>
      <c r="YP11" s="17"/>
      <c r="YQ11" s="17"/>
      <c r="YR11" s="17"/>
      <c r="YS11" s="17"/>
      <c r="YT11" s="17"/>
      <c r="YU11" s="17"/>
      <c r="YV11" s="17"/>
      <c r="YW11" s="17"/>
      <c r="YX11" s="17"/>
      <c r="YY11" s="17"/>
      <c r="YZ11" s="17"/>
      <c r="ZA11" s="17"/>
      <c r="ZB11" s="17"/>
      <c r="ZC11" s="17"/>
      <c r="ZD11" s="17"/>
      <c r="ZE11" s="17"/>
      <c r="ZF11" s="17"/>
      <c r="ZG11" s="17"/>
      <c r="ZH11" s="17"/>
      <c r="ZI11" s="17"/>
      <c r="ZJ11" s="17"/>
      <c r="ZK11" s="17"/>
      <c r="ZL11" s="17"/>
      <c r="ZM11" s="17"/>
      <c r="ZN11" s="17"/>
      <c r="ZO11" s="17"/>
      <c r="ZP11" s="17"/>
      <c r="ZQ11" s="17"/>
      <c r="ZR11" s="17"/>
      <c r="ZS11" s="17"/>
      <c r="ZT11" s="17"/>
      <c r="ZU11" s="17"/>
      <c r="ZV11" s="17"/>
      <c r="ZW11" s="17"/>
      <c r="ZX11" s="17"/>
      <c r="ZY11" s="17"/>
      <c r="ZZ11" s="17"/>
    </row>
    <row r="12" spans="1:702" s="33" customFormat="1" x14ac:dyDescent="0.25">
      <c r="A12" s="30" t="str">
        <f>IF(COUNTA(B12:B12)=0,"", MAX(A$2:A11)+1)</f>
        <v/>
      </c>
      <c r="C12" s="34"/>
      <c r="D12" s="63"/>
      <c r="M12" s="34"/>
      <c r="Q12" s="34"/>
      <c r="U12" s="17"/>
      <c r="V12" s="62"/>
      <c r="W12" s="97"/>
      <c r="Z12" s="30" t="str">
        <f t="shared" si="0"/>
        <v/>
      </c>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c r="EC12" s="17"/>
      <c r="ED12" s="17"/>
      <c r="EE12" s="17"/>
      <c r="EF12" s="17"/>
      <c r="EG12" s="17"/>
      <c r="EH12" s="17"/>
      <c r="EI12" s="17"/>
      <c r="EJ12" s="17"/>
      <c r="EK12" s="17"/>
      <c r="EL12" s="17"/>
      <c r="EM12" s="17"/>
      <c r="EN12" s="17"/>
      <c r="EO12" s="17"/>
      <c r="EP12" s="17"/>
      <c r="EQ12" s="17"/>
      <c r="ER12" s="17"/>
      <c r="ES12" s="17"/>
      <c r="ET12" s="17"/>
      <c r="EU12" s="17"/>
      <c r="EV12" s="17"/>
      <c r="EW12" s="17"/>
      <c r="EX12" s="17"/>
      <c r="EY12" s="17"/>
      <c r="EZ12" s="17"/>
      <c r="FA12" s="17"/>
      <c r="FB12" s="17"/>
      <c r="FC12" s="17"/>
      <c r="FD12" s="17"/>
      <c r="FE12" s="17"/>
      <c r="FF12" s="17"/>
      <c r="FG12" s="17"/>
      <c r="FH12" s="17"/>
      <c r="FI12" s="17"/>
      <c r="FJ12" s="17"/>
      <c r="FK12" s="17"/>
      <c r="FL12" s="17"/>
      <c r="FM12" s="17"/>
      <c r="FN12" s="17"/>
      <c r="FO12" s="17"/>
      <c r="FP12" s="17"/>
      <c r="FQ12" s="17"/>
      <c r="FR12" s="17"/>
      <c r="FS12" s="17"/>
      <c r="FT12" s="17"/>
      <c r="FU12" s="17"/>
      <c r="FV12" s="17"/>
      <c r="FW12" s="17"/>
      <c r="FX12" s="17"/>
      <c r="FY12" s="17"/>
      <c r="FZ12" s="17"/>
      <c r="GA12" s="17"/>
      <c r="GB12" s="17"/>
      <c r="GC12" s="17"/>
      <c r="GD12" s="17"/>
      <c r="GE12" s="17"/>
      <c r="GF12" s="17"/>
      <c r="GG12" s="17"/>
      <c r="GH12" s="17"/>
      <c r="GI12" s="17"/>
      <c r="GJ12" s="17"/>
      <c r="GK12" s="17"/>
      <c r="GL12" s="17"/>
      <c r="GM12" s="17"/>
      <c r="GN12" s="17"/>
      <c r="GO12" s="17"/>
      <c r="GP12" s="17"/>
      <c r="GQ12" s="17"/>
      <c r="GR12" s="17"/>
      <c r="GS12" s="17"/>
      <c r="GT12" s="17"/>
      <c r="GU12" s="17"/>
      <c r="GV12" s="17"/>
      <c r="GW12" s="17"/>
      <c r="GX12" s="17"/>
      <c r="GY12" s="17"/>
      <c r="GZ12" s="17"/>
      <c r="HA12" s="17"/>
      <c r="HB12" s="17"/>
      <c r="HC12" s="17"/>
      <c r="HD12" s="17"/>
      <c r="HE12" s="17"/>
      <c r="HF12" s="17"/>
      <c r="HG12" s="17"/>
      <c r="HH12" s="17"/>
      <c r="HI12" s="17"/>
      <c r="HJ12" s="17"/>
      <c r="HK12" s="17"/>
      <c r="HL12" s="17"/>
      <c r="HM12" s="17"/>
      <c r="HN12" s="17"/>
      <c r="HO12" s="17"/>
      <c r="HP12" s="17"/>
      <c r="HQ12" s="17"/>
      <c r="HR12" s="17"/>
      <c r="HS12" s="17"/>
      <c r="HT12" s="17"/>
      <c r="HU12" s="17"/>
      <c r="HV12" s="17"/>
      <c r="HW12" s="17"/>
      <c r="HX12" s="17"/>
      <c r="HY12" s="17"/>
      <c r="HZ12" s="17"/>
      <c r="IA12" s="17"/>
      <c r="IB12" s="17"/>
      <c r="IC12" s="17"/>
      <c r="ID12" s="17"/>
      <c r="IE12" s="17"/>
      <c r="IF12" s="17"/>
      <c r="IG12" s="17"/>
      <c r="IH12" s="17"/>
      <c r="II12" s="17"/>
      <c r="IJ12" s="17"/>
      <c r="IK12" s="17"/>
      <c r="IL12" s="17"/>
      <c r="IM12" s="17"/>
      <c r="IN12" s="17"/>
      <c r="IO12" s="17"/>
      <c r="IP12" s="17"/>
      <c r="IQ12" s="17"/>
      <c r="IR12" s="17"/>
      <c r="IS12" s="17"/>
      <c r="IT12" s="17"/>
      <c r="IU12" s="17"/>
      <c r="IV12" s="17"/>
      <c r="IW12" s="17"/>
      <c r="IX12" s="17"/>
      <c r="IY12" s="17"/>
      <c r="IZ12" s="17"/>
      <c r="JA12" s="17"/>
      <c r="JB12" s="17"/>
      <c r="JC12" s="17"/>
      <c r="JD12" s="17"/>
      <c r="JE12" s="17"/>
      <c r="JF12" s="17"/>
      <c r="JG12" s="17"/>
      <c r="JH12" s="17"/>
      <c r="JI12" s="17"/>
      <c r="JJ12" s="17"/>
      <c r="JK12" s="17"/>
      <c r="JL12" s="17"/>
      <c r="JM12" s="17"/>
      <c r="JN12" s="17"/>
      <c r="JO12" s="17"/>
      <c r="JP12" s="17"/>
      <c r="JQ12" s="17"/>
      <c r="JR12" s="17"/>
      <c r="JS12" s="17"/>
      <c r="JT12" s="17"/>
      <c r="JU12" s="17"/>
      <c r="JV12" s="17"/>
      <c r="JW12" s="17"/>
      <c r="JX12" s="17"/>
      <c r="JY12" s="17"/>
      <c r="JZ12" s="17"/>
      <c r="KA12" s="17"/>
      <c r="KB12" s="17"/>
      <c r="KC12" s="17"/>
      <c r="KD12" s="17"/>
      <c r="KE12" s="17"/>
      <c r="KF12" s="17"/>
      <c r="KG12" s="17"/>
      <c r="KH12" s="17"/>
      <c r="KI12" s="17"/>
      <c r="KJ12" s="17"/>
      <c r="KK12" s="17"/>
      <c r="KL12" s="17"/>
      <c r="KM12" s="17"/>
      <c r="KN12" s="17"/>
      <c r="KO12" s="17"/>
      <c r="KP12" s="17"/>
      <c r="KQ12" s="17"/>
      <c r="KR12" s="17"/>
      <c r="KS12" s="17"/>
      <c r="KT12" s="17"/>
      <c r="KU12" s="17"/>
      <c r="KV12" s="17"/>
      <c r="KW12" s="17"/>
      <c r="KX12" s="17"/>
      <c r="KY12" s="17"/>
      <c r="KZ12" s="17"/>
      <c r="LA12" s="17"/>
      <c r="LB12" s="17"/>
      <c r="LC12" s="17"/>
      <c r="LD12" s="17"/>
      <c r="LE12" s="17"/>
      <c r="LF12" s="17"/>
      <c r="LG12" s="17"/>
      <c r="LH12" s="17"/>
      <c r="LI12" s="17"/>
      <c r="LJ12" s="17"/>
      <c r="LK12" s="17"/>
      <c r="LL12" s="17"/>
      <c r="LM12" s="17"/>
      <c r="LN12" s="17"/>
      <c r="LO12" s="17"/>
      <c r="LP12" s="17"/>
      <c r="LQ12" s="17"/>
      <c r="LR12" s="17"/>
      <c r="LS12" s="17"/>
      <c r="LT12" s="17"/>
      <c r="LU12" s="17"/>
      <c r="LV12" s="17"/>
      <c r="LW12" s="17"/>
      <c r="LX12" s="17"/>
      <c r="LY12" s="17"/>
      <c r="LZ12" s="17"/>
      <c r="MA12" s="17"/>
      <c r="MB12" s="17"/>
      <c r="MC12" s="17"/>
      <c r="MD12" s="17"/>
      <c r="ME12" s="17"/>
      <c r="MF12" s="17"/>
      <c r="MG12" s="17"/>
      <c r="MH12" s="17"/>
      <c r="MI12" s="17"/>
      <c r="MJ12" s="17"/>
      <c r="MK12" s="17"/>
      <c r="ML12" s="17"/>
      <c r="MM12" s="17"/>
      <c r="MN12" s="17"/>
      <c r="MO12" s="17"/>
      <c r="MP12" s="17"/>
      <c r="MQ12" s="17"/>
      <c r="MR12" s="17"/>
      <c r="MS12" s="17"/>
      <c r="MT12" s="17"/>
      <c r="MU12" s="17"/>
      <c r="MV12" s="17"/>
      <c r="MW12" s="17"/>
      <c r="MX12" s="17"/>
      <c r="MY12" s="17"/>
      <c r="MZ12" s="17"/>
      <c r="NA12" s="17"/>
      <c r="NB12" s="17"/>
      <c r="NC12" s="17"/>
      <c r="ND12" s="17"/>
      <c r="NE12" s="17"/>
      <c r="NF12" s="17"/>
      <c r="NG12" s="17"/>
      <c r="NH12" s="17"/>
      <c r="NI12" s="17"/>
      <c r="NJ12" s="17"/>
      <c r="NK12" s="17"/>
      <c r="NL12" s="17"/>
      <c r="NM12" s="17"/>
      <c r="NN12" s="17"/>
      <c r="NO12" s="17"/>
      <c r="NP12" s="17"/>
      <c r="NQ12" s="17"/>
      <c r="NR12" s="17"/>
      <c r="NS12" s="17"/>
      <c r="NT12" s="17"/>
      <c r="NU12" s="17"/>
      <c r="NV12" s="17"/>
      <c r="NW12" s="17"/>
      <c r="NX12" s="17"/>
      <c r="NY12" s="17"/>
      <c r="NZ12" s="17"/>
      <c r="OA12" s="17"/>
      <c r="OB12" s="17"/>
      <c r="OC12" s="17"/>
      <c r="OD12" s="17"/>
      <c r="OE12" s="17"/>
      <c r="OF12" s="17"/>
      <c r="OG12" s="17"/>
      <c r="OH12" s="17"/>
      <c r="OI12" s="17"/>
      <c r="OJ12" s="17"/>
      <c r="OK12" s="17"/>
      <c r="OL12" s="17"/>
      <c r="OM12" s="17"/>
      <c r="ON12" s="17"/>
      <c r="OO12" s="17"/>
      <c r="OP12" s="17"/>
      <c r="OQ12" s="17"/>
      <c r="OR12" s="17"/>
      <c r="OS12" s="17"/>
      <c r="OT12" s="17"/>
      <c r="OU12" s="17"/>
      <c r="OV12" s="17"/>
      <c r="OW12" s="17"/>
      <c r="OX12" s="17"/>
      <c r="OY12" s="17"/>
      <c r="OZ12" s="17"/>
      <c r="PA12" s="17"/>
      <c r="PB12" s="17"/>
      <c r="PC12" s="17"/>
      <c r="PD12" s="17"/>
      <c r="PE12" s="17"/>
      <c r="PF12" s="17"/>
      <c r="PG12" s="17"/>
      <c r="PH12" s="17"/>
      <c r="PI12" s="17"/>
      <c r="PJ12" s="17"/>
      <c r="PK12" s="17"/>
      <c r="PL12" s="17"/>
      <c r="PM12" s="17"/>
      <c r="PN12" s="17"/>
      <c r="PO12" s="17"/>
      <c r="PP12" s="17"/>
      <c r="PQ12" s="17"/>
      <c r="PR12" s="17"/>
      <c r="PS12" s="17"/>
      <c r="PT12" s="17"/>
      <c r="PU12" s="17"/>
      <c r="PV12" s="17"/>
      <c r="PW12" s="17"/>
      <c r="PX12" s="17"/>
      <c r="PY12" s="17"/>
      <c r="PZ12" s="17"/>
      <c r="QA12" s="17"/>
      <c r="QB12" s="17"/>
      <c r="QC12" s="17"/>
      <c r="QD12" s="17"/>
      <c r="QE12" s="17"/>
      <c r="QF12" s="17"/>
      <c r="QG12" s="17"/>
      <c r="QH12" s="17"/>
      <c r="QI12" s="17"/>
      <c r="QJ12" s="17"/>
      <c r="QK12" s="17"/>
      <c r="QL12" s="17"/>
      <c r="QM12" s="17"/>
      <c r="QN12" s="17"/>
      <c r="QO12" s="17"/>
      <c r="QP12" s="17"/>
      <c r="QQ12" s="17"/>
      <c r="QR12" s="17"/>
      <c r="QS12" s="17"/>
      <c r="QT12" s="17"/>
      <c r="QU12" s="17"/>
      <c r="QV12" s="17"/>
      <c r="QW12" s="17"/>
      <c r="QX12" s="17"/>
      <c r="QY12" s="17"/>
      <c r="QZ12" s="17"/>
      <c r="RA12" s="17"/>
      <c r="RB12" s="17"/>
      <c r="RC12" s="17"/>
      <c r="RD12" s="17"/>
      <c r="RE12" s="17"/>
      <c r="RF12" s="17"/>
      <c r="RG12" s="17"/>
      <c r="RH12" s="17"/>
      <c r="RI12" s="17"/>
      <c r="RJ12" s="17"/>
      <c r="RK12" s="17"/>
      <c r="RL12" s="17"/>
      <c r="RM12" s="17"/>
      <c r="RN12" s="17"/>
      <c r="RO12" s="17"/>
      <c r="RP12" s="17"/>
      <c r="RQ12" s="17"/>
      <c r="RR12" s="17"/>
      <c r="RS12" s="17"/>
      <c r="RT12" s="17"/>
      <c r="RU12" s="17"/>
      <c r="RV12" s="17"/>
      <c r="RW12" s="17"/>
      <c r="RX12" s="17"/>
      <c r="RY12" s="17"/>
      <c r="RZ12" s="17"/>
      <c r="SA12" s="17"/>
      <c r="SB12" s="17"/>
      <c r="SC12" s="17"/>
      <c r="SD12" s="17"/>
      <c r="SE12" s="17"/>
      <c r="SF12" s="17"/>
      <c r="SG12" s="17"/>
      <c r="SH12" s="17"/>
      <c r="SI12" s="17"/>
      <c r="SJ12" s="17"/>
      <c r="SK12" s="17"/>
      <c r="SL12" s="17"/>
      <c r="SM12" s="17"/>
      <c r="SN12" s="17"/>
      <c r="SO12" s="17"/>
      <c r="SP12" s="17"/>
      <c r="SQ12" s="17"/>
      <c r="SR12" s="17"/>
      <c r="SS12" s="17"/>
      <c r="ST12" s="17"/>
      <c r="SU12" s="17"/>
      <c r="SV12" s="17"/>
      <c r="SW12" s="17"/>
      <c r="SX12" s="17"/>
      <c r="SY12" s="17"/>
      <c r="SZ12" s="17"/>
      <c r="TA12" s="17"/>
      <c r="TB12" s="17"/>
      <c r="TC12" s="17"/>
      <c r="TD12" s="17"/>
      <c r="TE12" s="17"/>
      <c r="TF12" s="17"/>
      <c r="TG12" s="17"/>
      <c r="TH12" s="17"/>
      <c r="TI12" s="17"/>
      <c r="TJ12" s="17"/>
      <c r="TK12" s="17"/>
      <c r="TL12" s="17"/>
      <c r="TM12" s="17"/>
      <c r="TN12" s="17"/>
      <c r="TO12" s="17"/>
      <c r="TP12" s="17"/>
      <c r="TQ12" s="17"/>
      <c r="TR12" s="17"/>
      <c r="TS12" s="17"/>
      <c r="TT12" s="17"/>
      <c r="TU12" s="17"/>
      <c r="TV12" s="17"/>
      <c r="TW12" s="17"/>
      <c r="TX12" s="17"/>
      <c r="TY12" s="17"/>
      <c r="TZ12" s="17"/>
      <c r="UA12" s="17"/>
      <c r="UB12" s="17"/>
      <c r="UC12" s="17"/>
      <c r="UD12" s="17"/>
      <c r="UE12" s="17"/>
      <c r="UF12" s="17"/>
      <c r="UG12" s="17"/>
      <c r="UH12" s="17"/>
      <c r="UI12" s="17"/>
      <c r="UJ12" s="17"/>
      <c r="UK12" s="17"/>
      <c r="UL12" s="17"/>
      <c r="UM12" s="17"/>
      <c r="UN12" s="17"/>
      <c r="UO12" s="17"/>
      <c r="UP12" s="17"/>
      <c r="UQ12" s="17"/>
      <c r="UR12" s="17"/>
      <c r="US12" s="17"/>
      <c r="UT12" s="17"/>
      <c r="UU12" s="17"/>
      <c r="UV12" s="17"/>
      <c r="UW12" s="17"/>
      <c r="UX12" s="17"/>
      <c r="UY12" s="17"/>
      <c r="UZ12" s="17"/>
      <c r="VA12" s="17"/>
      <c r="VB12" s="17"/>
      <c r="VC12" s="17"/>
      <c r="VD12" s="17"/>
      <c r="VE12" s="17"/>
      <c r="VF12" s="17"/>
      <c r="VG12" s="17"/>
      <c r="VH12" s="17"/>
      <c r="VI12" s="17"/>
      <c r="VJ12" s="17"/>
      <c r="VK12" s="17"/>
      <c r="VL12" s="17"/>
      <c r="VM12" s="17"/>
      <c r="VN12" s="17"/>
      <c r="VO12" s="17"/>
      <c r="VP12" s="17"/>
      <c r="VQ12" s="17"/>
      <c r="VR12" s="17"/>
      <c r="VS12" s="17"/>
      <c r="VT12" s="17"/>
      <c r="VU12" s="17"/>
      <c r="VV12" s="17"/>
      <c r="VW12" s="17"/>
      <c r="VX12" s="17"/>
      <c r="VY12" s="17"/>
      <c r="VZ12" s="17"/>
      <c r="WA12" s="17"/>
      <c r="WB12" s="17"/>
      <c r="WC12" s="17"/>
      <c r="WD12" s="17"/>
      <c r="WE12" s="17"/>
      <c r="WF12" s="17"/>
      <c r="WG12" s="17"/>
      <c r="WH12" s="17"/>
      <c r="WI12" s="17"/>
      <c r="WJ12" s="17"/>
      <c r="WK12" s="17"/>
      <c r="WL12" s="17"/>
      <c r="WM12" s="17"/>
      <c r="WN12" s="17"/>
      <c r="WO12" s="17"/>
      <c r="WP12" s="17"/>
      <c r="WQ12" s="17"/>
      <c r="WR12" s="17"/>
      <c r="WS12" s="17"/>
      <c r="WT12" s="17"/>
      <c r="WU12" s="17"/>
      <c r="WV12" s="17"/>
      <c r="WW12" s="17"/>
      <c r="WX12" s="17"/>
      <c r="WY12" s="17"/>
      <c r="WZ12" s="17"/>
      <c r="XA12" s="17"/>
      <c r="XB12" s="17"/>
      <c r="XC12" s="17"/>
      <c r="XD12" s="17"/>
      <c r="XE12" s="17"/>
      <c r="XF12" s="17"/>
      <c r="XG12" s="17"/>
      <c r="XH12" s="17"/>
      <c r="XI12" s="17"/>
      <c r="XJ12" s="17"/>
      <c r="XK12" s="17"/>
      <c r="XL12" s="17"/>
      <c r="XM12" s="17"/>
      <c r="XN12" s="17"/>
      <c r="XO12" s="17"/>
      <c r="XP12" s="17"/>
      <c r="XQ12" s="17"/>
      <c r="XR12" s="17"/>
      <c r="XS12" s="17"/>
      <c r="XT12" s="17"/>
      <c r="XU12" s="17"/>
      <c r="XV12" s="17"/>
      <c r="XW12" s="17"/>
      <c r="XX12" s="17"/>
      <c r="XY12" s="17"/>
      <c r="XZ12" s="17"/>
      <c r="YA12" s="17"/>
      <c r="YB12" s="17"/>
      <c r="YC12" s="17"/>
      <c r="YD12" s="17"/>
      <c r="YE12" s="17"/>
      <c r="YF12" s="17"/>
      <c r="YG12" s="17"/>
      <c r="YH12" s="17"/>
      <c r="YI12" s="17"/>
      <c r="YJ12" s="17"/>
      <c r="YK12" s="17"/>
      <c r="YL12" s="17"/>
      <c r="YM12" s="17"/>
      <c r="YN12" s="17"/>
      <c r="YO12" s="17"/>
      <c r="YP12" s="17"/>
      <c r="YQ12" s="17"/>
      <c r="YR12" s="17"/>
      <c r="YS12" s="17"/>
      <c r="YT12" s="17"/>
      <c r="YU12" s="17"/>
      <c r="YV12" s="17"/>
      <c r="YW12" s="17"/>
      <c r="YX12" s="17"/>
      <c r="YY12" s="17"/>
      <c r="YZ12" s="17"/>
      <c r="ZA12" s="17"/>
      <c r="ZB12" s="17"/>
      <c r="ZC12" s="17"/>
      <c r="ZD12" s="17"/>
      <c r="ZE12" s="17"/>
      <c r="ZF12" s="17"/>
      <c r="ZG12" s="17"/>
      <c r="ZH12" s="17"/>
      <c r="ZI12" s="17"/>
      <c r="ZJ12" s="17"/>
      <c r="ZK12" s="17"/>
      <c r="ZL12" s="17"/>
      <c r="ZM12" s="17"/>
      <c r="ZN12" s="17"/>
      <c r="ZO12" s="17"/>
      <c r="ZP12" s="17"/>
      <c r="ZQ12" s="17"/>
      <c r="ZR12" s="17"/>
      <c r="ZS12" s="17"/>
      <c r="ZT12" s="17"/>
      <c r="ZU12" s="17"/>
      <c r="ZV12" s="17"/>
      <c r="ZW12" s="17"/>
      <c r="ZX12" s="17"/>
      <c r="ZY12" s="17"/>
      <c r="ZZ12" s="17"/>
    </row>
    <row r="13" spans="1:702" s="33" customFormat="1" x14ac:dyDescent="0.25">
      <c r="A13" s="30" t="str">
        <f>IF(COUNTA(B13:B13)=0,"", MAX(A$2:A12)+1)</f>
        <v/>
      </c>
      <c r="C13" s="34"/>
      <c r="D13" s="63"/>
      <c r="M13" s="34"/>
      <c r="Q13" s="34"/>
      <c r="U13" s="62"/>
      <c r="V13" s="62"/>
      <c r="W13" s="97"/>
      <c r="Z13" s="30" t="str">
        <f t="shared" si="0"/>
        <v/>
      </c>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c r="EN13" s="17"/>
      <c r="EO13" s="17"/>
      <c r="EP13" s="17"/>
      <c r="EQ13" s="17"/>
      <c r="ER13" s="17"/>
      <c r="ES13" s="17"/>
      <c r="ET13" s="17"/>
      <c r="EU13" s="17"/>
      <c r="EV13" s="17"/>
      <c r="EW13" s="17"/>
      <c r="EX13" s="17"/>
      <c r="EY13" s="17"/>
      <c r="EZ13" s="17"/>
      <c r="FA13" s="17"/>
      <c r="FB13" s="17"/>
      <c r="FC13" s="17"/>
      <c r="FD13" s="17"/>
      <c r="FE13" s="17"/>
      <c r="FF13" s="17"/>
      <c r="FG13" s="17"/>
      <c r="FH13" s="17"/>
      <c r="FI13" s="17"/>
      <c r="FJ13" s="17"/>
      <c r="FK13" s="17"/>
      <c r="FL13" s="17"/>
      <c r="FM13" s="17"/>
      <c r="FN13" s="17"/>
      <c r="FO13" s="17"/>
      <c r="FP13" s="17"/>
      <c r="FQ13" s="17"/>
      <c r="FR13" s="17"/>
      <c r="FS13" s="17"/>
      <c r="FT13" s="17"/>
      <c r="FU13" s="17"/>
      <c r="FV13" s="17"/>
      <c r="FW13" s="17"/>
      <c r="FX13" s="17"/>
      <c r="FY13" s="17"/>
      <c r="FZ13" s="17"/>
      <c r="GA13" s="17"/>
      <c r="GB13" s="17"/>
      <c r="GC13" s="17"/>
      <c r="GD13" s="17"/>
      <c r="GE13" s="17"/>
      <c r="GF13" s="17"/>
      <c r="GG13" s="17"/>
      <c r="GH13" s="17"/>
      <c r="GI13" s="17"/>
      <c r="GJ13" s="17"/>
      <c r="GK13" s="17"/>
      <c r="GL13" s="17"/>
      <c r="GM13" s="17"/>
      <c r="GN13" s="17"/>
      <c r="GO13" s="17"/>
      <c r="GP13" s="17"/>
      <c r="GQ13" s="17"/>
      <c r="GR13" s="17"/>
      <c r="GS13" s="17"/>
      <c r="GT13" s="17"/>
      <c r="GU13" s="17"/>
      <c r="GV13" s="17"/>
      <c r="GW13" s="17"/>
      <c r="GX13" s="17"/>
      <c r="GY13" s="17"/>
      <c r="GZ13" s="17"/>
      <c r="HA13" s="17"/>
      <c r="HB13" s="17"/>
      <c r="HC13" s="17"/>
      <c r="HD13" s="17"/>
      <c r="HE13" s="17"/>
      <c r="HF13" s="17"/>
      <c r="HG13" s="17"/>
      <c r="HH13" s="17"/>
      <c r="HI13" s="17"/>
      <c r="HJ13" s="17"/>
      <c r="HK13" s="17"/>
      <c r="HL13" s="17"/>
      <c r="HM13" s="17"/>
      <c r="HN13" s="17"/>
      <c r="HO13" s="17"/>
      <c r="HP13" s="17"/>
      <c r="HQ13" s="17"/>
      <c r="HR13" s="17"/>
      <c r="HS13" s="17"/>
      <c r="HT13" s="17"/>
      <c r="HU13" s="17"/>
      <c r="HV13" s="17"/>
      <c r="HW13" s="17"/>
      <c r="HX13" s="17"/>
      <c r="HY13" s="17"/>
      <c r="HZ13" s="17"/>
      <c r="IA13" s="17"/>
      <c r="IB13" s="17"/>
      <c r="IC13" s="17"/>
      <c r="ID13" s="17"/>
      <c r="IE13" s="17"/>
      <c r="IF13" s="17"/>
      <c r="IG13" s="17"/>
      <c r="IH13" s="17"/>
      <c r="II13" s="17"/>
      <c r="IJ13" s="17"/>
      <c r="IK13" s="17"/>
      <c r="IL13" s="17"/>
      <c r="IM13" s="17"/>
      <c r="IN13" s="17"/>
      <c r="IO13" s="17"/>
      <c r="IP13" s="17"/>
      <c r="IQ13" s="17"/>
      <c r="IR13" s="17"/>
      <c r="IS13" s="17"/>
      <c r="IT13" s="17"/>
      <c r="IU13" s="17"/>
      <c r="IV13" s="17"/>
      <c r="IW13" s="17"/>
      <c r="IX13" s="17"/>
      <c r="IY13" s="17"/>
      <c r="IZ13" s="17"/>
      <c r="JA13" s="17"/>
      <c r="JB13" s="17"/>
      <c r="JC13" s="17"/>
      <c r="JD13" s="17"/>
      <c r="JE13" s="17"/>
      <c r="JF13" s="17"/>
      <c r="JG13" s="17"/>
      <c r="JH13" s="17"/>
      <c r="JI13" s="17"/>
      <c r="JJ13" s="17"/>
      <c r="JK13" s="17"/>
      <c r="JL13" s="17"/>
      <c r="JM13" s="17"/>
      <c r="JN13" s="17"/>
      <c r="JO13" s="17"/>
      <c r="JP13" s="17"/>
      <c r="JQ13" s="17"/>
      <c r="JR13" s="17"/>
      <c r="JS13" s="17"/>
      <c r="JT13" s="17"/>
      <c r="JU13" s="17"/>
      <c r="JV13" s="17"/>
      <c r="JW13" s="17"/>
      <c r="JX13" s="17"/>
      <c r="JY13" s="17"/>
      <c r="JZ13" s="17"/>
      <c r="KA13" s="17"/>
      <c r="KB13" s="17"/>
      <c r="KC13" s="17"/>
      <c r="KD13" s="17"/>
      <c r="KE13" s="17"/>
      <c r="KF13" s="17"/>
      <c r="KG13" s="17"/>
      <c r="KH13" s="17"/>
      <c r="KI13" s="17"/>
      <c r="KJ13" s="17"/>
      <c r="KK13" s="17"/>
      <c r="KL13" s="17"/>
      <c r="KM13" s="17"/>
      <c r="KN13" s="17"/>
      <c r="KO13" s="17"/>
      <c r="KP13" s="17"/>
      <c r="KQ13" s="17"/>
      <c r="KR13" s="17"/>
      <c r="KS13" s="17"/>
      <c r="KT13" s="17"/>
      <c r="KU13" s="17"/>
      <c r="KV13" s="17"/>
      <c r="KW13" s="17"/>
      <c r="KX13" s="17"/>
      <c r="KY13" s="17"/>
      <c r="KZ13" s="17"/>
      <c r="LA13" s="17"/>
      <c r="LB13" s="17"/>
      <c r="LC13" s="17"/>
      <c r="LD13" s="17"/>
      <c r="LE13" s="17"/>
      <c r="LF13" s="17"/>
      <c r="LG13" s="17"/>
      <c r="LH13" s="17"/>
      <c r="LI13" s="17"/>
      <c r="LJ13" s="17"/>
      <c r="LK13" s="17"/>
      <c r="LL13" s="17"/>
      <c r="LM13" s="17"/>
      <c r="LN13" s="17"/>
      <c r="LO13" s="17"/>
      <c r="LP13" s="17"/>
      <c r="LQ13" s="17"/>
      <c r="LR13" s="17"/>
      <c r="LS13" s="17"/>
      <c r="LT13" s="17"/>
      <c r="LU13" s="17"/>
      <c r="LV13" s="17"/>
      <c r="LW13" s="17"/>
      <c r="LX13" s="17"/>
      <c r="LY13" s="17"/>
      <c r="LZ13" s="17"/>
      <c r="MA13" s="17"/>
      <c r="MB13" s="17"/>
      <c r="MC13" s="17"/>
      <c r="MD13" s="17"/>
      <c r="ME13" s="17"/>
      <c r="MF13" s="17"/>
      <c r="MG13" s="17"/>
      <c r="MH13" s="17"/>
      <c r="MI13" s="17"/>
      <c r="MJ13" s="17"/>
      <c r="MK13" s="17"/>
      <c r="ML13" s="17"/>
      <c r="MM13" s="17"/>
      <c r="MN13" s="17"/>
      <c r="MO13" s="17"/>
      <c r="MP13" s="17"/>
      <c r="MQ13" s="17"/>
      <c r="MR13" s="17"/>
      <c r="MS13" s="17"/>
      <c r="MT13" s="17"/>
      <c r="MU13" s="17"/>
      <c r="MV13" s="17"/>
      <c r="MW13" s="17"/>
      <c r="MX13" s="17"/>
      <c r="MY13" s="17"/>
      <c r="MZ13" s="17"/>
      <c r="NA13" s="17"/>
      <c r="NB13" s="17"/>
      <c r="NC13" s="17"/>
      <c r="ND13" s="17"/>
      <c r="NE13" s="17"/>
      <c r="NF13" s="17"/>
      <c r="NG13" s="17"/>
      <c r="NH13" s="17"/>
      <c r="NI13" s="17"/>
      <c r="NJ13" s="17"/>
      <c r="NK13" s="17"/>
      <c r="NL13" s="17"/>
      <c r="NM13" s="17"/>
      <c r="NN13" s="17"/>
      <c r="NO13" s="17"/>
      <c r="NP13" s="17"/>
      <c r="NQ13" s="17"/>
      <c r="NR13" s="17"/>
      <c r="NS13" s="17"/>
      <c r="NT13" s="17"/>
      <c r="NU13" s="17"/>
      <c r="NV13" s="17"/>
      <c r="NW13" s="17"/>
      <c r="NX13" s="17"/>
      <c r="NY13" s="17"/>
      <c r="NZ13" s="17"/>
      <c r="OA13" s="17"/>
      <c r="OB13" s="17"/>
      <c r="OC13" s="17"/>
      <c r="OD13" s="17"/>
      <c r="OE13" s="17"/>
      <c r="OF13" s="17"/>
      <c r="OG13" s="17"/>
      <c r="OH13" s="17"/>
      <c r="OI13" s="17"/>
      <c r="OJ13" s="17"/>
      <c r="OK13" s="17"/>
      <c r="OL13" s="17"/>
      <c r="OM13" s="17"/>
      <c r="ON13" s="17"/>
      <c r="OO13" s="17"/>
      <c r="OP13" s="17"/>
      <c r="OQ13" s="17"/>
      <c r="OR13" s="17"/>
      <c r="OS13" s="17"/>
      <c r="OT13" s="17"/>
      <c r="OU13" s="17"/>
      <c r="OV13" s="17"/>
      <c r="OW13" s="17"/>
      <c r="OX13" s="17"/>
      <c r="OY13" s="17"/>
      <c r="OZ13" s="17"/>
      <c r="PA13" s="17"/>
      <c r="PB13" s="17"/>
      <c r="PC13" s="17"/>
      <c r="PD13" s="17"/>
      <c r="PE13" s="17"/>
      <c r="PF13" s="17"/>
      <c r="PG13" s="17"/>
      <c r="PH13" s="17"/>
      <c r="PI13" s="17"/>
      <c r="PJ13" s="17"/>
      <c r="PK13" s="17"/>
      <c r="PL13" s="17"/>
      <c r="PM13" s="17"/>
      <c r="PN13" s="17"/>
      <c r="PO13" s="17"/>
      <c r="PP13" s="17"/>
      <c r="PQ13" s="17"/>
      <c r="PR13" s="17"/>
      <c r="PS13" s="17"/>
      <c r="PT13" s="17"/>
      <c r="PU13" s="17"/>
      <c r="PV13" s="17"/>
      <c r="PW13" s="17"/>
      <c r="PX13" s="17"/>
      <c r="PY13" s="17"/>
      <c r="PZ13" s="17"/>
      <c r="QA13" s="17"/>
      <c r="QB13" s="17"/>
      <c r="QC13" s="17"/>
      <c r="QD13" s="17"/>
      <c r="QE13" s="17"/>
      <c r="QF13" s="17"/>
      <c r="QG13" s="17"/>
      <c r="QH13" s="17"/>
      <c r="QI13" s="17"/>
      <c r="QJ13" s="17"/>
      <c r="QK13" s="17"/>
      <c r="QL13" s="17"/>
      <c r="QM13" s="17"/>
      <c r="QN13" s="17"/>
      <c r="QO13" s="17"/>
      <c r="QP13" s="17"/>
      <c r="QQ13" s="17"/>
      <c r="QR13" s="17"/>
      <c r="QS13" s="17"/>
      <c r="QT13" s="17"/>
      <c r="QU13" s="17"/>
      <c r="QV13" s="17"/>
      <c r="QW13" s="17"/>
      <c r="QX13" s="17"/>
      <c r="QY13" s="17"/>
      <c r="QZ13" s="17"/>
      <c r="RA13" s="17"/>
      <c r="RB13" s="17"/>
      <c r="RC13" s="17"/>
      <c r="RD13" s="17"/>
      <c r="RE13" s="17"/>
      <c r="RF13" s="17"/>
      <c r="RG13" s="17"/>
      <c r="RH13" s="17"/>
      <c r="RI13" s="17"/>
      <c r="RJ13" s="17"/>
      <c r="RK13" s="17"/>
      <c r="RL13" s="17"/>
      <c r="RM13" s="17"/>
      <c r="RN13" s="17"/>
      <c r="RO13" s="17"/>
      <c r="RP13" s="17"/>
      <c r="RQ13" s="17"/>
      <c r="RR13" s="17"/>
      <c r="RS13" s="17"/>
      <c r="RT13" s="17"/>
      <c r="RU13" s="17"/>
      <c r="RV13" s="17"/>
      <c r="RW13" s="17"/>
      <c r="RX13" s="17"/>
      <c r="RY13" s="17"/>
      <c r="RZ13" s="17"/>
      <c r="SA13" s="17"/>
      <c r="SB13" s="17"/>
      <c r="SC13" s="17"/>
      <c r="SD13" s="17"/>
      <c r="SE13" s="17"/>
      <c r="SF13" s="17"/>
      <c r="SG13" s="17"/>
      <c r="SH13" s="17"/>
      <c r="SI13" s="17"/>
      <c r="SJ13" s="17"/>
      <c r="SK13" s="17"/>
      <c r="SL13" s="17"/>
      <c r="SM13" s="17"/>
      <c r="SN13" s="17"/>
      <c r="SO13" s="17"/>
      <c r="SP13" s="17"/>
      <c r="SQ13" s="17"/>
      <c r="SR13" s="17"/>
      <c r="SS13" s="17"/>
      <c r="ST13" s="17"/>
      <c r="SU13" s="17"/>
      <c r="SV13" s="17"/>
      <c r="SW13" s="17"/>
      <c r="SX13" s="17"/>
      <c r="SY13" s="17"/>
      <c r="SZ13" s="17"/>
      <c r="TA13" s="17"/>
      <c r="TB13" s="17"/>
      <c r="TC13" s="17"/>
      <c r="TD13" s="17"/>
      <c r="TE13" s="17"/>
      <c r="TF13" s="17"/>
      <c r="TG13" s="17"/>
      <c r="TH13" s="17"/>
      <c r="TI13" s="17"/>
      <c r="TJ13" s="17"/>
      <c r="TK13" s="17"/>
      <c r="TL13" s="17"/>
      <c r="TM13" s="17"/>
      <c r="TN13" s="17"/>
      <c r="TO13" s="17"/>
      <c r="TP13" s="17"/>
      <c r="TQ13" s="17"/>
      <c r="TR13" s="17"/>
      <c r="TS13" s="17"/>
      <c r="TT13" s="17"/>
      <c r="TU13" s="17"/>
      <c r="TV13" s="17"/>
      <c r="TW13" s="17"/>
      <c r="TX13" s="17"/>
      <c r="TY13" s="17"/>
      <c r="TZ13" s="17"/>
      <c r="UA13" s="17"/>
      <c r="UB13" s="17"/>
      <c r="UC13" s="17"/>
      <c r="UD13" s="17"/>
      <c r="UE13" s="17"/>
      <c r="UF13" s="17"/>
      <c r="UG13" s="17"/>
      <c r="UH13" s="17"/>
      <c r="UI13" s="17"/>
      <c r="UJ13" s="17"/>
      <c r="UK13" s="17"/>
      <c r="UL13" s="17"/>
      <c r="UM13" s="17"/>
      <c r="UN13" s="17"/>
      <c r="UO13" s="17"/>
      <c r="UP13" s="17"/>
      <c r="UQ13" s="17"/>
      <c r="UR13" s="17"/>
      <c r="US13" s="17"/>
      <c r="UT13" s="17"/>
      <c r="UU13" s="17"/>
      <c r="UV13" s="17"/>
      <c r="UW13" s="17"/>
      <c r="UX13" s="17"/>
      <c r="UY13" s="17"/>
      <c r="UZ13" s="17"/>
      <c r="VA13" s="17"/>
      <c r="VB13" s="17"/>
      <c r="VC13" s="17"/>
      <c r="VD13" s="17"/>
      <c r="VE13" s="17"/>
      <c r="VF13" s="17"/>
      <c r="VG13" s="17"/>
      <c r="VH13" s="17"/>
      <c r="VI13" s="17"/>
      <c r="VJ13" s="17"/>
      <c r="VK13" s="17"/>
      <c r="VL13" s="17"/>
      <c r="VM13" s="17"/>
      <c r="VN13" s="17"/>
      <c r="VO13" s="17"/>
      <c r="VP13" s="17"/>
      <c r="VQ13" s="17"/>
      <c r="VR13" s="17"/>
      <c r="VS13" s="17"/>
      <c r="VT13" s="17"/>
      <c r="VU13" s="17"/>
      <c r="VV13" s="17"/>
      <c r="VW13" s="17"/>
      <c r="VX13" s="17"/>
      <c r="VY13" s="17"/>
      <c r="VZ13" s="17"/>
      <c r="WA13" s="17"/>
      <c r="WB13" s="17"/>
      <c r="WC13" s="17"/>
      <c r="WD13" s="17"/>
      <c r="WE13" s="17"/>
      <c r="WF13" s="17"/>
      <c r="WG13" s="17"/>
      <c r="WH13" s="17"/>
      <c r="WI13" s="17"/>
      <c r="WJ13" s="17"/>
      <c r="WK13" s="17"/>
      <c r="WL13" s="17"/>
      <c r="WM13" s="17"/>
      <c r="WN13" s="17"/>
      <c r="WO13" s="17"/>
      <c r="WP13" s="17"/>
      <c r="WQ13" s="17"/>
      <c r="WR13" s="17"/>
      <c r="WS13" s="17"/>
      <c r="WT13" s="17"/>
      <c r="WU13" s="17"/>
      <c r="WV13" s="17"/>
      <c r="WW13" s="17"/>
      <c r="WX13" s="17"/>
      <c r="WY13" s="17"/>
      <c r="WZ13" s="17"/>
      <c r="XA13" s="17"/>
      <c r="XB13" s="17"/>
      <c r="XC13" s="17"/>
      <c r="XD13" s="17"/>
      <c r="XE13" s="17"/>
      <c r="XF13" s="17"/>
      <c r="XG13" s="17"/>
      <c r="XH13" s="17"/>
      <c r="XI13" s="17"/>
      <c r="XJ13" s="17"/>
      <c r="XK13" s="17"/>
      <c r="XL13" s="17"/>
      <c r="XM13" s="17"/>
      <c r="XN13" s="17"/>
      <c r="XO13" s="17"/>
      <c r="XP13" s="17"/>
      <c r="XQ13" s="17"/>
      <c r="XR13" s="17"/>
      <c r="XS13" s="17"/>
      <c r="XT13" s="17"/>
      <c r="XU13" s="17"/>
      <c r="XV13" s="17"/>
      <c r="XW13" s="17"/>
      <c r="XX13" s="17"/>
      <c r="XY13" s="17"/>
      <c r="XZ13" s="17"/>
      <c r="YA13" s="17"/>
      <c r="YB13" s="17"/>
      <c r="YC13" s="17"/>
      <c r="YD13" s="17"/>
      <c r="YE13" s="17"/>
      <c r="YF13" s="17"/>
      <c r="YG13" s="17"/>
      <c r="YH13" s="17"/>
      <c r="YI13" s="17"/>
      <c r="YJ13" s="17"/>
      <c r="YK13" s="17"/>
      <c r="YL13" s="17"/>
      <c r="YM13" s="17"/>
      <c r="YN13" s="17"/>
      <c r="YO13" s="17"/>
      <c r="YP13" s="17"/>
      <c r="YQ13" s="17"/>
      <c r="YR13" s="17"/>
      <c r="YS13" s="17"/>
      <c r="YT13" s="17"/>
      <c r="YU13" s="17"/>
      <c r="YV13" s="17"/>
      <c r="YW13" s="17"/>
      <c r="YX13" s="17"/>
      <c r="YY13" s="17"/>
      <c r="YZ13" s="17"/>
      <c r="ZA13" s="17"/>
      <c r="ZB13" s="17"/>
      <c r="ZC13" s="17"/>
      <c r="ZD13" s="17"/>
      <c r="ZE13" s="17"/>
      <c r="ZF13" s="17"/>
      <c r="ZG13" s="17"/>
      <c r="ZH13" s="17"/>
      <c r="ZI13" s="17"/>
      <c r="ZJ13" s="17"/>
      <c r="ZK13" s="17"/>
      <c r="ZL13" s="17"/>
      <c r="ZM13" s="17"/>
      <c r="ZN13" s="17"/>
      <c r="ZO13" s="17"/>
      <c r="ZP13" s="17"/>
      <c r="ZQ13" s="17"/>
      <c r="ZR13" s="17"/>
      <c r="ZS13" s="17"/>
      <c r="ZT13" s="17"/>
      <c r="ZU13" s="17"/>
      <c r="ZV13" s="17"/>
      <c r="ZW13" s="17"/>
      <c r="ZX13" s="17"/>
      <c r="ZY13" s="17"/>
      <c r="ZZ13" s="17"/>
    </row>
    <row r="14" spans="1:702" s="33" customFormat="1" x14ac:dyDescent="0.25">
      <c r="A14" s="30" t="str">
        <f>IF(COUNTA(B14:B14)=0,"", MAX(A$2:A13)+1)</f>
        <v/>
      </c>
      <c r="C14" s="34"/>
      <c r="D14" s="63"/>
      <c r="M14" s="34"/>
      <c r="Q14" s="34"/>
      <c r="U14" s="17"/>
      <c r="V14" s="62"/>
      <c r="W14" s="97"/>
      <c r="Z14" s="30" t="str">
        <f t="shared" si="0"/>
        <v/>
      </c>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c r="EC14" s="17"/>
      <c r="ED14" s="17"/>
      <c r="EE14" s="17"/>
      <c r="EF14" s="17"/>
      <c r="EG14" s="17"/>
      <c r="EH14" s="17"/>
      <c r="EI14" s="17"/>
      <c r="EJ14" s="17"/>
      <c r="EK14" s="17"/>
      <c r="EL14" s="17"/>
      <c r="EM14" s="17"/>
      <c r="EN14" s="17"/>
      <c r="EO14" s="17"/>
      <c r="EP14" s="17"/>
      <c r="EQ14" s="17"/>
      <c r="ER14" s="17"/>
      <c r="ES14" s="17"/>
      <c r="ET14" s="17"/>
      <c r="EU14" s="17"/>
      <c r="EV14" s="17"/>
      <c r="EW14" s="17"/>
      <c r="EX14" s="17"/>
      <c r="EY14" s="17"/>
      <c r="EZ14" s="17"/>
      <c r="FA14" s="17"/>
      <c r="FB14" s="17"/>
      <c r="FC14" s="17"/>
      <c r="FD14" s="17"/>
      <c r="FE14" s="17"/>
      <c r="FF14" s="17"/>
      <c r="FG14" s="17"/>
      <c r="FH14" s="17"/>
      <c r="FI14" s="17"/>
      <c r="FJ14" s="17"/>
      <c r="FK14" s="17"/>
      <c r="FL14" s="17"/>
      <c r="FM14" s="17"/>
      <c r="FN14" s="17"/>
      <c r="FO14" s="17"/>
      <c r="FP14" s="17"/>
      <c r="FQ14" s="17"/>
      <c r="FR14" s="17"/>
      <c r="FS14" s="17"/>
      <c r="FT14" s="17"/>
      <c r="FU14" s="17"/>
      <c r="FV14" s="17"/>
      <c r="FW14" s="17"/>
      <c r="FX14" s="17"/>
      <c r="FY14" s="17"/>
      <c r="FZ14" s="17"/>
      <c r="GA14" s="17"/>
      <c r="GB14" s="17"/>
      <c r="GC14" s="17"/>
      <c r="GD14" s="17"/>
      <c r="GE14" s="17"/>
      <c r="GF14" s="17"/>
      <c r="GG14" s="17"/>
      <c r="GH14" s="17"/>
      <c r="GI14" s="17"/>
      <c r="GJ14" s="17"/>
      <c r="GK14" s="17"/>
      <c r="GL14" s="17"/>
      <c r="GM14" s="17"/>
      <c r="GN14" s="17"/>
      <c r="GO14" s="17"/>
      <c r="GP14" s="17"/>
      <c r="GQ14" s="17"/>
      <c r="GR14" s="17"/>
      <c r="GS14" s="17"/>
      <c r="GT14" s="17"/>
      <c r="GU14" s="17"/>
      <c r="GV14" s="17"/>
      <c r="GW14" s="17"/>
      <c r="GX14" s="17"/>
      <c r="GY14" s="17"/>
      <c r="GZ14" s="17"/>
      <c r="HA14" s="17"/>
      <c r="HB14" s="17"/>
      <c r="HC14" s="17"/>
      <c r="HD14" s="17"/>
      <c r="HE14" s="17"/>
      <c r="HF14" s="17"/>
      <c r="HG14" s="17"/>
      <c r="HH14" s="17"/>
      <c r="HI14" s="17"/>
      <c r="HJ14" s="17"/>
      <c r="HK14" s="17"/>
      <c r="HL14" s="17"/>
      <c r="HM14" s="17"/>
      <c r="HN14" s="17"/>
      <c r="HO14" s="17"/>
      <c r="HP14" s="17"/>
      <c r="HQ14" s="17"/>
      <c r="HR14" s="17"/>
      <c r="HS14" s="17"/>
      <c r="HT14" s="17"/>
      <c r="HU14" s="17"/>
      <c r="HV14" s="17"/>
      <c r="HW14" s="17"/>
      <c r="HX14" s="17"/>
      <c r="HY14" s="17"/>
      <c r="HZ14" s="17"/>
      <c r="IA14" s="17"/>
      <c r="IB14" s="17"/>
      <c r="IC14" s="17"/>
      <c r="ID14" s="17"/>
      <c r="IE14" s="17"/>
      <c r="IF14" s="17"/>
      <c r="IG14" s="17"/>
      <c r="IH14" s="17"/>
      <c r="II14" s="17"/>
      <c r="IJ14" s="17"/>
      <c r="IK14" s="17"/>
      <c r="IL14" s="17"/>
      <c r="IM14" s="17"/>
      <c r="IN14" s="17"/>
      <c r="IO14" s="17"/>
      <c r="IP14" s="17"/>
      <c r="IQ14" s="17"/>
      <c r="IR14" s="17"/>
      <c r="IS14" s="17"/>
      <c r="IT14" s="17"/>
      <c r="IU14" s="17"/>
      <c r="IV14" s="17"/>
      <c r="IW14" s="17"/>
      <c r="IX14" s="17"/>
      <c r="IY14" s="17"/>
      <c r="IZ14" s="17"/>
      <c r="JA14" s="17"/>
      <c r="JB14" s="17"/>
      <c r="JC14" s="17"/>
      <c r="JD14" s="17"/>
      <c r="JE14" s="17"/>
      <c r="JF14" s="17"/>
      <c r="JG14" s="17"/>
      <c r="JH14" s="17"/>
      <c r="JI14" s="17"/>
      <c r="JJ14" s="17"/>
      <c r="JK14" s="17"/>
      <c r="JL14" s="17"/>
      <c r="JM14" s="17"/>
      <c r="JN14" s="17"/>
      <c r="JO14" s="17"/>
      <c r="JP14" s="17"/>
      <c r="JQ14" s="17"/>
      <c r="JR14" s="17"/>
      <c r="JS14" s="17"/>
      <c r="JT14" s="17"/>
      <c r="JU14" s="17"/>
      <c r="JV14" s="17"/>
      <c r="JW14" s="17"/>
      <c r="JX14" s="17"/>
      <c r="JY14" s="17"/>
      <c r="JZ14" s="17"/>
      <c r="KA14" s="17"/>
      <c r="KB14" s="17"/>
      <c r="KC14" s="17"/>
      <c r="KD14" s="17"/>
      <c r="KE14" s="17"/>
      <c r="KF14" s="17"/>
      <c r="KG14" s="17"/>
      <c r="KH14" s="17"/>
      <c r="KI14" s="17"/>
      <c r="KJ14" s="17"/>
      <c r="KK14" s="17"/>
      <c r="KL14" s="17"/>
      <c r="KM14" s="17"/>
      <c r="KN14" s="17"/>
      <c r="KO14" s="17"/>
      <c r="KP14" s="17"/>
      <c r="KQ14" s="17"/>
      <c r="KR14" s="17"/>
      <c r="KS14" s="17"/>
      <c r="KT14" s="17"/>
      <c r="KU14" s="17"/>
      <c r="KV14" s="17"/>
      <c r="KW14" s="17"/>
      <c r="KX14" s="17"/>
      <c r="KY14" s="17"/>
      <c r="KZ14" s="17"/>
      <c r="LA14" s="17"/>
      <c r="LB14" s="17"/>
      <c r="LC14" s="17"/>
      <c r="LD14" s="17"/>
      <c r="LE14" s="17"/>
      <c r="LF14" s="17"/>
      <c r="LG14" s="17"/>
      <c r="LH14" s="17"/>
      <c r="LI14" s="17"/>
      <c r="LJ14" s="17"/>
      <c r="LK14" s="17"/>
      <c r="LL14" s="17"/>
      <c r="LM14" s="17"/>
      <c r="LN14" s="17"/>
      <c r="LO14" s="17"/>
      <c r="LP14" s="17"/>
      <c r="LQ14" s="17"/>
      <c r="LR14" s="17"/>
      <c r="LS14" s="17"/>
      <c r="LT14" s="17"/>
      <c r="LU14" s="17"/>
      <c r="LV14" s="17"/>
      <c r="LW14" s="17"/>
      <c r="LX14" s="17"/>
      <c r="LY14" s="17"/>
      <c r="LZ14" s="17"/>
      <c r="MA14" s="17"/>
      <c r="MB14" s="17"/>
      <c r="MC14" s="17"/>
      <c r="MD14" s="17"/>
      <c r="ME14" s="17"/>
      <c r="MF14" s="17"/>
      <c r="MG14" s="17"/>
      <c r="MH14" s="17"/>
      <c r="MI14" s="17"/>
      <c r="MJ14" s="17"/>
      <c r="MK14" s="17"/>
      <c r="ML14" s="17"/>
      <c r="MM14" s="17"/>
      <c r="MN14" s="17"/>
      <c r="MO14" s="17"/>
      <c r="MP14" s="17"/>
      <c r="MQ14" s="17"/>
      <c r="MR14" s="17"/>
      <c r="MS14" s="17"/>
      <c r="MT14" s="17"/>
      <c r="MU14" s="17"/>
      <c r="MV14" s="17"/>
      <c r="MW14" s="17"/>
      <c r="MX14" s="17"/>
      <c r="MY14" s="17"/>
      <c r="MZ14" s="17"/>
      <c r="NA14" s="17"/>
      <c r="NB14" s="17"/>
      <c r="NC14" s="17"/>
      <c r="ND14" s="17"/>
      <c r="NE14" s="17"/>
      <c r="NF14" s="17"/>
      <c r="NG14" s="17"/>
      <c r="NH14" s="17"/>
      <c r="NI14" s="17"/>
      <c r="NJ14" s="17"/>
      <c r="NK14" s="17"/>
      <c r="NL14" s="17"/>
      <c r="NM14" s="17"/>
      <c r="NN14" s="17"/>
      <c r="NO14" s="17"/>
      <c r="NP14" s="17"/>
      <c r="NQ14" s="17"/>
      <c r="NR14" s="17"/>
      <c r="NS14" s="17"/>
      <c r="NT14" s="17"/>
      <c r="NU14" s="17"/>
      <c r="NV14" s="17"/>
      <c r="NW14" s="17"/>
      <c r="NX14" s="17"/>
      <c r="NY14" s="17"/>
      <c r="NZ14" s="17"/>
      <c r="OA14" s="17"/>
      <c r="OB14" s="17"/>
      <c r="OC14" s="17"/>
      <c r="OD14" s="17"/>
      <c r="OE14" s="17"/>
      <c r="OF14" s="17"/>
      <c r="OG14" s="17"/>
      <c r="OH14" s="17"/>
      <c r="OI14" s="17"/>
      <c r="OJ14" s="17"/>
      <c r="OK14" s="17"/>
      <c r="OL14" s="17"/>
      <c r="OM14" s="17"/>
      <c r="ON14" s="17"/>
      <c r="OO14" s="17"/>
      <c r="OP14" s="17"/>
      <c r="OQ14" s="17"/>
      <c r="OR14" s="17"/>
      <c r="OS14" s="17"/>
      <c r="OT14" s="17"/>
      <c r="OU14" s="17"/>
      <c r="OV14" s="17"/>
      <c r="OW14" s="17"/>
      <c r="OX14" s="17"/>
      <c r="OY14" s="17"/>
      <c r="OZ14" s="17"/>
      <c r="PA14" s="17"/>
      <c r="PB14" s="17"/>
      <c r="PC14" s="17"/>
      <c r="PD14" s="17"/>
      <c r="PE14" s="17"/>
      <c r="PF14" s="17"/>
      <c r="PG14" s="17"/>
      <c r="PH14" s="17"/>
      <c r="PI14" s="17"/>
      <c r="PJ14" s="17"/>
      <c r="PK14" s="17"/>
      <c r="PL14" s="17"/>
      <c r="PM14" s="17"/>
      <c r="PN14" s="17"/>
      <c r="PO14" s="17"/>
      <c r="PP14" s="17"/>
      <c r="PQ14" s="17"/>
      <c r="PR14" s="17"/>
      <c r="PS14" s="17"/>
      <c r="PT14" s="17"/>
      <c r="PU14" s="17"/>
      <c r="PV14" s="17"/>
      <c r="PW14" s="17"/>
      <c r="PX14" s="17"/>
      <c r="PY14" s="17"/>
      <c r="PZ14" s="17"/>
      <c r="QA14" s="17"/>
      <c r="QB14" s="17"/>
      <c r="QC14" s="17"/>
      <c r="QD14" s="17"/>
      <c r="QE14" s="17"/>
      <c r="QF14" s="17"/>
      <c r="QG14" s="17"/>
      <c r="QH14" s="17"/>
      <c r="QI14" s="17"/>
      <c r="QJ14" s="17"/>
      <c r="QK14" s="17"/>
      <c r="QL14" s="17"/>
      <c r="QM14" s="17"/>
      <c r="QN14" s="17"/>
      <c r="QO14" s="17"/>
      <c r="QP14" s="17"/>
      <c r="QQ14" s="17"/>
      <c r="QR14" s="17"/>
      <c r="QS14" s="17"/>
      <c r="QT14" s="17"/>
      <c r="QU14" s="17"/>
      <c r="QV14" s="17"/>
      <c r="QW14" s="17"/>
      <c r="QX14" s="17"/>
      <c r="QY14" s="17"/>
      <c r="QZ14" s="17"/>
      <c r="RA14" s="17"/>
      <c r="RB14" s="17"/>
      <c r="RC14" s="17"/>
      <c r="RD14" s="17"/>
      <c r="RE14" s="17"/>
      <c r="RF14" s="17"/>
      <c r="RG14" s="17"/>
      <c r="RH14" s="17"/>
      <c r="RI14" s="17"/>
      <c r="RJ14" s="17"/>
      <c r="RK14" s="17"/>
      <c r="RL14" s="17"/>
      <c r="RM14" s="17"/>
      <c r="RN14" s="17"/>
      <c r="RO14" s="17"/>
      <c r="RP14" s="17"/>
      <c r="RQ14" s="17"/>
      <c r="RR14" s="17"/>
      <c r="RS14" s="17"/>
      <c r="RT14" s="17"/>
      <c r="RU14" s="17"/>
      <c r="RV14" s="17"/>
      <c r="RW14" s="17"/>
      <c r="RX14" s="17"/>
      <c r="RY14" s="17"/>
      <c r="RZ14" s="17"/>
      <c r="SA14" s="17"/>
      <c r="SB14" s="17"/>
      <c r="SC14" s="17"/>
      <c r="SD14" s="17"/>
      <c r="SE14" s="17"/>
      <c r="SF14" s="17"/>
      <c r="SG14" s="17"/>
      <c r="SH14" s="17"/>
      <c r="SI14" s="17"/>
      <c r="SJ14" s="17"/>
      <c r="SK14" s="17"/>
      <c r="SL14" s="17"/>
      <c r="SM14" s="17"/>
      <c r="SN14" s="17"/>
      <c r="SO14" s="17"/>
      <c r="SP14" s="17"/>
      <c r="SQ14" s="17"/>
      <c r="SR14" s="17"/>
      <c r="SS14" s="17"/>
      <c r="ST14" s="17"/>
      <c r="SU14" s="17"/>
      <c r="SV14" s="17"/>
      <c r="SW14" s="17"/>
      <c r="SX14" s="17"/>
      <c r="SY14" s="17"/>
      <c r="SZ14" s="17"/>
      <c r="TA14" s="17"/>
      <c r="TB14" s="17"/>
      <c r="TC14" s="17"/>
      <c r="TD14" s="17"/>
      <c r="TE14" s="17"/>
      <c r="TF14" s="17"/>
      <c r="TG14" s="17"/>
      <c r="TH14" s="17"/>
      <c r="TI14" s="17"/>
      <c r="TJ14" s="17"/>
      <c r="TK14" s="17"/>
      <c r="TL14" s="17"/>
      <c r="TM14" s="17"/>
      <c r="TN14" s="17"/>
      <c r="TO14" s="17"/>
      <c r="TP14" s="17"/>
      <c r="TQ14" s="17"/>
      <c r="TR14" s="17"/>
      <c r="TS14" s="17"/>
      <c r="TT14" s="17"/>
      <c r="TU14" s="17"/>
      <c r="TV14" s="17"/>
      <c r="TW14" s="17"/>
      <c r="TX14" s="17"/>
      <c r="TY14" s="17"/>
      <c r="TZ14" s="17"/>
      <c r="UA14" s="17"/>
      <c r="UB14" s="17"/>
      <c r="UC14" s="17"/>
      <c r="UD14" s="17"/>
      <c r="UE14" s="17"/>
      <c r="UF14" s="17"/>
      <c r="UG14" s="17"/>
      <c r="UH14" s="17"/>
      <c r="UI14" s="17"/>
      <c r="UJ14" s="17"/>
      <c r="UK14" s="17"/>
      <c r="UL14" s="17"/>
      <c r="UM14" s="17"/>
      <c r="UN14" s="17"/>
      <c r="UO14" s="17"/>
      <c r="UP14" s="17"/>
      <c r="UQ14" s="17"/>
      <c r="UR14" s="17"/>
      <c r="US14" s="17"/>
      <c r="UT14" s="17"/>
      <c r="UU14" s="17"/>
      <c r="UV14" s="17"/>
      <c r="UW14" s="17"/>
      <c r="UX14" s="17"/>
      <c r="UY14" s="17"/>
      <c r="UZ14" s="17"/>
      <c r="VA14" s="17"/>
      <c r="VB14" s="17"/>
      <c r="VC14" s="17"/>
      <c r="VD14" s="17"/>
      <c r="VE14" s="17"/>
      <c r="VF14" s="17"/>
      <c r="VG14" s="17"/>
      <c r="VH14" s="17"/>
      <c r="VI14" s="17"/>
      <c r="VJ14" s="17"/>
      <c r="VK14" s="17"/>
      <c r="VL14" s="17"/>
      <c r="VM14" s="17"/>
      <c r="VN14" s="17"/>
      <c r="VO14" s="17"/>
      <c r="VP14" s="17"/>
      <c r="VQ14" s="17"/>
      <c r="VR14" s="17"/>
      <c r="VS14" s="17"/>
      <c r="VT14" s="17"/>
      <c r="VU14" s="17"/>
      <c r="VV14" s="17"/>
      <c r="VW14" s="17"/>
      <c r="VX14" s="17"/>
      <c r="VY14" s="17"/>
      <c r="VZ14" s="17"/>
      <c r="WA14" s="17"/>
      <c r="WB14" s="17"/>
      <c r="WC14" s="17"/>
      <c r="WD14" s="17"/>
      <c r="WE14" s="17"/>
      <c r="WF14" s="17"/>
      <c r="WG14" s="17"/>
      <c r="WH14" s="17"/>
      <c r="WI14" s="17"/>
      <c r="WJ14" s="17"/>
      <c r="WK14" s="17"/>
      <c r="WL14" s="17"/>
      <c r="WM14" s="17"/>
      <c r="WN14" s="17"/>
      <c r="WO14" s="17"/>
      <c r="WP14" s="17"/>
      <c r="WQ14" s="17"/>
      <c r="WR14" s="17"/>
      <c r="WS14" s="17"/>
      <c r="WT14" s="17"/>
      <c r="WU14" s="17"/>
      <c r="WV14" s="17"/>
      <c r="WW14" s="17"/>
      <c r="WX14" s="17"/>
      <c r="WY14" s="17"/>
      <c r="WZ14" s="17"/>
      <c r="XA14" s="17"/>
      <c r="XB14" s="17"/>
      <c r="XC14" s="17"/>
      <c r="XD14" s="17"/>
      <c r="XE14" s="17"/>
      <c r="XF14" s="17"/>
      <c r="XG14" s="17"/>
      <c r="XH14" s="17"/>
      <c r="XI14" s="17"/>
      <c r="XJ14" s="17"/>
      <c r="XK14" s="17"/>
      <c r="XL14" s="17"/>
      <c r="XM14" s="17"/>
      <c r="XN14" s="17"/>
      <c r="XO14" s="17"/>
      <c r="XP14" s="17"/>
      <c r="XQ14" s="17"/>
      <c r="XR14" s="17"/>
      <c r="XS14" s="17"/>
      <c r="XT14" s="17"/>
      <c r="XU14" s="17"/>
      <c r="XV14" s="17"/>
      <c r="XW14" s="17"/>
      <c r="XX14" s="17"/>
      <c r="XY14" s="17"/>
      <c r="XZ14" s="17"/>
      <c r="YA14" s="17"/>
      <c r="YB14" s="17"/>
      <c r="YC14" s="17"/>
      <c r="YD14" s="17"/>
      <c r="YE14" s="17"/>
      <c r="YF14" s="17"/>
      <c r="YG14" s="17"/>
      <c r="YH14" s="17"/>
      <c r="YI14" s="17"/>
      <c r="YJ14" s="17"/>
      <c r="YK14" s="17"/>
      <c r="YL14" s="17"/>
      <c r="YM14" s="17"/>
      <c r="YN14" s="17"/>
      <c r="YO14" s="17"/>
      <c r="YP14" s="17"/>
      <c r="YQ14" s="17"/>
      <c r="YR14" s="17"/>
      <c r="YS14" s="17"/>
      <c r="YT14" s="17"/>
      <c r="YU14" s="17"/>
      <c r="YV14" s="17"/>
      <c r="YW14" s="17"/>
      <c r="YX14" s="17"/>
      <c r="YY14" s="17"/>
      <c r="YZ14" s="17"/>
      <c r="ZA14" s="17"/>
      <c r="ZB14" s="17"/>
      <c r="ZC14" s="17"/>
      <c r="ZD14" s="17"/>
      <c r="ZE14" s="17"/>
      <c r="ZF14" s="17"/>
      <c r="ZG14" s="17"/>
      <c r="ZH14" s="17"/>
      <c r="ZI14" s="17"/>
      <c r="ZJ14" s="17"/>
      <c r="ZK14" s="17"/>
      <c r="ZL14" s="17"/>
      <c r="ZM14" s="17"/>
      <c r="ZN14" s="17"/>
      <c r="ZO14" s="17"/>
      <c r="ZP14" s="17"/>
      <c r="ZQ14" s="17"/>
      <c r="ZR14" s="17"/>
      <c r="ZS14" s="17"/>
      <c r="ZT14" s="17"/>
      <c r="ZU14" s="17"/>
      <c r="ZV14" s="17"/>
      <c r="ZW14" s="17"/>
      <c r="ZX14" s="17"/>
      <c r="ZY14" s="17"/>
      <c r="ZZ14" s="17"/>
    </row>
    <row r="15" spans="1:702" s="33" customFormat="1" x14ac:dyDescent="0.25">
      <c r="A15" s="30" t="str">
        <f>IF(COUNTA(B15:B15)=0,"", MAX(A$2:A14)+1)</f>
        <v/>
      </c>
      <c r="C15" s="34"/>
      <c r="D15" s="63"/>
      <c r="M15" s="34"/>
      <c r="Q15" s="34"/>
      <c r="U15" s="17"/>
      <c r="V15" s="62"/>
      <c r="W15" s="97"/>
      <c r="Z15" s="30" t="str">
        <f t="shared" si="0"/>
        <v/>
      </c>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c r="EC15" s="17"/>
      <c r="ED15" s="17"/>
      <c r="EE15" s="17"/>
      <c r="EF15" s="17"/>
      <c r="EG15" s="17"/>
      <c r="EH15" s="17"/>
      <c r="EI15" s="17"/>
      <c r="EJ15" s="17"/>
      <c r="EK15" s="17"/>
      <c r="EL15" s="17"/>
      <c r="EM15" s="17"/>
      <c r="EN15" s="17"/>
      <c r="EO15" s="17"/>
      <c r="EP15" s="17"/>
      <c r="EQ15" s="17"/>
      <c r="ER15" s="17"/>
      <c r="ES15" s="17"/>
      <c r="ET15" s="17"/>
      <c r="EU15" s="17"/>
      <c r="EV15" s="17"/>
      <c r="EW15" s="17"/>
      <c r="EX15" s="17"/>
      <c r="EY15" s="17"/>
      <c r="EZ15" s="17"/>
      <c r="FA15" s="17"/>
      <c r="FB15" s="17"/>
      <c r="FC15" s="17"/>
      <c r="FD15" s="17"/>
      <c r="FE15" s="17"/>
      <c r="FF15" s="17"/>
      <c r="FG15" s="17"/>
      <c r="FH15" s="17"/>
      <c r="FI15" s="17"/>
      <c r="FJ15" s="17"/>
      <c r="FK15" s="17"/>
      <c r="FL15" s="17"/>
      <c r="FM15" s="17"/>
      <c r="FN15" s="17"/>
      <c r="FO15" s="17"/>
      <c r="FP15" s="17"/>
      <c r="FQ15" s="17"/>
      <c r="FR15" s="17"/>
      <c r="FS15" s="17"/>
      <c r="FT15" s="17"/>
      <c r="FU15" s="17"/>
      <c r="FV15" s="17"/>
      <c r="FW15" s="17"/>
      <c r="FX15" s="17"/>
      <c r="FY15" s="17"/>
      <c r="FZ15" s="17"/>
      <c r="GA15" s="17"/>
      <c r="GB15" s="17"/>
      <c r="GC15" s="17"/>
      <c r="GD15" s="17"/>
      <c r="GE15" s="17"/>
      <c r="GF15" s="17"/>
      <c r="GG15" s="17"/>
      <c r="GH15" s="17"/>
      <c r="GI15" s="17"/>
      <c r="GJ15" s="17"/>
      <c r="GK15" s="17"/>
      <c r="GL15" s="17"/>
      <c r="GM15" s="17"/>
      <c r="GN15" s="17"/>
      <c r="GO15" s="17"/>
      <c r="GP15" s="17"/>
      <c r="GQ15" s="17"/>
      <c r="GR15" s="17"/>
      <c r="GS15" s="17"/>
      <c r="GT15" s="17"/>
      <c r="GU15" s="17"/>
      <c r="GV15" s="17"/>
      <c r="GW15" s="17"/>
      <c r="GX15" s="17"/>
      <c r="GY15" s="17"/>
      <c r="GZ15" s="17"/>
      <c r="HA15" s="17"/>
      <c r="HB15" s="17"/>
      <c r="HC15" s="17"/>
      <c r="HD15" s="17"/>
      <c r="HE15" s="17"/>
      <c r="HF15" s="17"/>
      <c r="HG15" s="17"/>
      <c r="HH15" s="17"/>
      <c r="HI15" s="17"/>
      <c r="HJ15" s="17"/>
      <c r="HK15" s="17"/>
      <c r="HL15" s="17"/>
      <c r="HM15" s="17"/>
      <c r="HN15" s="17"/>
      <c r="HO15" s="17"/>
      <c r="HP15" s="17"/>
      <c r="HQ15" s="17"/>
      <c r="HR15" s="17"/>
      <c r="HS15" s="17"/>
      <c r="HT15" s="17"/>
      <c r="HU15" s="17"/>
      <c r="HV15" s="17"/>
      <c r="HW15" s="17"/>
      <c r="HX15" s="17"/>
      <c r="HY15" s="17"/>
      <c r="HZ15" s="17"/>
      <c r="IA15" s="17"/>
      <c r="IB15" s="17"/>
      <c r="IC15" s="17"/>
      <c r="ID15" s="17"/>
      <c r="IE15" s="17"/>
      <c r="IF15" s="17"/>
      <c r="IG15" s="17"/>
      <c r="IH15" s="17"/>
      <c r="II15" s="17"/>
      <c r="IJ15" s="17"/>
      <c r="IK15" s="17"/>
      <c r="IL15" s="17"/>
      <c r="IM15" s="17"/>
      <c r="IN15" s="17"/>
      <c r="IO15" s="17"/>
      <c r="IP15" s="17"/>
      <c r="IQ15" s="17"/>
      <c r="IR15" s="17"/>
      <c r="IS15" s="17"/>
      <c r="IT15" s="17"/>
      <c r="IU15" s="17"/>
      <c r="IV15" s="17"/>
      <c r="IW15" s="17"/>
      <c r="IX15" s="17"/>
      <c r="IY15" s="17"/>
      <c r="IZ15" s="17"/>
      <c r="JA15" s="17"/>
      <c r="JB15" s="17"/>
      <c r="JC15" s="17"/>
      <c r="JD15" s="17"/>
      <c r="JE15" s="17"/>
      <c r="JF15" s="17"/>
      <c r="JG15" s="17"/>
      <c r="JH15" s="17"/>
      <c r="JI15" s="17"/>
      <c r="JJ15" s="17"/>
      <c r="JK15" s="17"/>
      <c r="JL15" s="17"/>
      <c r="JM15" s="17"/>
      <c r="JN15" s="17"/>
      <c r="JO15" s="17"/>
      <c r="JP15" s="17"/>
      <c r="JQ15" s="17"/>
      <c r="JR15" s="17"/>
      <c r="JS15" s="17"/>
      <c r="JT15" s="17"/>
      <c r="JU15" s="17"/>
      <c r="JV15" s="17"/>
      <c r="JW15" s="17"/>
      <c r="JX15" s="17"/>
      <c r="JY15" s="17"/>
      <c r="JZ15" s="17"/>
      <c r="KA15" s="17"/>
      <c r="KB15" s="17"/>
      <c r="KC15" s="17"/>
      <c r="KD15" s="17"/>
      <c r="KE15" s="17"/>
      <c r="KF15" s="17"/>
      <c r="KG15" s="17"/>
      <c r="KH15" s="17"/>
      <c r="KI15" s="17"/>
      <c r="KJ15" s="17"/>
      <c r="KK15" s="17"/>
      <c r="KL15" s="17"/>
      <c r="KM15" s="17"/>
      <c r="KN15" s="17"/>
      <c r="KO15" s="17"/>
      <c r="KP15" s="17"/>
      <c r="KQ15" s="17"/>
      <c r="KR15" s="17"/>
      <c r="KS15" s="17"/>
      <c r="KT15" s="17"/>
      <c r="KU15" s="17"/>
      <c r="KV15" s="17"/>
      <c r="KW15" s="17"/>
      <c r="KX15" s="17"/>
      <c r="KY15" s="17"/>
      <c r="KZ15" s="17"/>
      <c r="LA15" s="17"/>
      <c r="LB15" s="17"/>
      <c r="LC15" s="17"/>
      <c r="LD15" s="17"/>
      <c r="LE15" s="17"/>
      <c r="LF15" s="17"/>
      <c r="LG15" s="17"/>
      <c r="LH15" s="17"/>
      <c r="LI15" s="17"/>
      <c r="LJ15" s="17"/>
      <c r="LK15" s="17"/>
      <c r="LL15" s="17"/>
      <c r="LM15" s="17"/>
      <c r="LN15" s="17"/>
      <c r="LO15" s="17"/>
      <c r="LP15" s="17"/>
      <c r="LQ15" s="17"/>
      <c r="LR15" s="17"/>
      <c r="LS15" s="17"/>
      <c r="LT15" s="17"/>
      <c r="LU15" s="17"/>
      <c r="LV15" s="17"/>
      <c r="LW15" s="17"/>
      <c r="LX15" s="17"/>
      <c r="LY15" s="17"/>
      <c r="LZ15" s="17"/>
      <c r="MA15" s="17"/>
      <c r="MB15" s="17"/>
      <c r="MC15" s="17"/>
      <c r="MD15" s="17"/>
      <c r="ME15" s="17"/>
      <c r="MF15" s="17"/>
      <c r="MG15" s="17"/>
      <c r="MH15" s="17"/>
      <c r="MI15" s="17"/>
      <c r="MJ15" s="17"/>
      <c r="MK15" s="17"/>
      <c r="ML15" s="17"/>
      <c r="MM15" s="17"/>
      <c r="MN15" s="17"/>
      <c r="MO15" s="17"/>
      <c r="MP15" s="17"/>
      <c r="MQ15" s="17"/>
      <c r="MR15" s="17"/>
      <c r="MS15" s="17"/>
      <c r="MT15" s="17"/>
      <c r="MU15" s="17"/>
      <c r="MV15" s="17"/>
      <c r="MW15" s="17"/>
      <c r="MX15" s="17"/>
      <c r="MY15" s="17"/>
      <c r="MZ15" s="17"/>
      <c r="NA15" s="17"/>
      <c r="NB15" s="17"/>
      <c r="NC15" s="17"/>
      <c r="ND15" s="17"/>
      <c r="NE15" s="17"/>
      <c r="NF15" s="17"/>
      <c r="NG15" s="17"/>
      <c r="NH15" s="17"/>
      <c r="NI15" s="17"/>
      <c r="NJ15" s="17"/>
      <c r="NK15" s="17"/>
      <c r="NL15" s="17"/>
      <c r="NM15" s="17"/>
      <c r="NN15" s="17"/>
      <c r="NO15" s="17"/>
      <c r="NP15" s="17"/>
      <c r="NQ15" s="17"/>
      <c r="NR15" s="17"/>
      <c r="NS15" s="17"/>
      <c r="NT15" s="17"/>
      <c r="NU15" s="17"/>
      <c r="NV15" s="17"/>
      <c r="NW15" s="17"/>
      <c r="NX15" s="17"/>
      <c r="NY15" s="17"/>
      <c r="NZ15" s="17"/>
      <c r="OA15" s="17"/>
      <c r="OB15" s="17"/>
      <c r="OC15" s="17"/>
      <c r="OD15" s="17"/>
      <c r="OE15" s="17"/>
      <c r="OF15" s="17"/>
      <c r="OG15" s="17"/>
      <c r="OH15" s="17"/>
      <c r="OI15" s="17"/>
      <c r="OJ15" s="17"/>
      <c r="OK15" s="17"/>
      <c r="OL15" s="17"/>
      <c r="OM15" s="17"/>
      <c r="ON15" s="17"/>
      <c r="OO15" s="17"/>
      <c r="OP15" s="17"/>
      <c r="OQ15" s="17"/>
      <c r="OR15" s="17"/>
      <c r="OS15" s="17"/>
      <c r="OT15" s="17"/>
      <c r="OU15" s="17"/>
      <c r="OV15" s="17"/>
      <c r="OW15" s="17"/>
      <c r="OX15" s="17"/>
      <c r="OY15" s="17"/>
      <c r="OZ15" s="17"/>
      <c r="PA15" s="17"/>
      <c r="PB15" s="17"/>
      <c r="PC15" s="17"/>
      <c r="PD15" s="17"/>
      <c r="PE15" s="17"/>
      <c r="PF15" s="17"/>
      <c r="PG15" s="17"/>
      <c r="PH15" s="17"/>
      <c r="PI15" s="17"/>
      <c r="PJ15" s="17"/>
      <c r="PK15" s="17"/>
      <c r="PL15" s="17"/>
      <c r="PM15" s="17"/>
      <c r="PN15" s="17"/>
      <c r="PO15" s="17"/>
      <c r="PP15" s="17"/>
      <c r="PQ15" s="17"/>
      <c r="PR15" s="17"/>
      <c r="PS15" s="17"/>
      <c r="PT15" s="17"/>
      <c r="PU15" s="17"/>
      <c r="PV15" s="17"/>
      <c r="PW15" s="17"/>
      <c r="PX15" s="17"/>
      <c r="PY15" s="17"/>
      <c r="PZ15" s="17"/>
      <c r="QA15" s="17"/>
      <c r="QB15" s="17"/>
      <c r="QC15" s="17"/>
      <c r="QD15" s="17"/>
      <c r="QE15" s="17"/>
      <c r="QF15" s="17"/>
      <c r="QG15" s="17"/>
      <c r="QH15" s="17"/>
      <c r="QI15" s="17"/>
      <c r="QJ15" s="17"/>
      <c r="QK15" s="17"/>
      <c r="QL15" s="17"/>
      <c r="QM15" s="17"/>
      <c r="QN15" s="17"/>
      <c r="QO15" s="17"/>
      <c r="QP15" s="17"/>
      <c r="QQ15" s="17"/>
      <c r="QR15" s="17"/>
      <c r="QS15" s="17"/>
      <c r="QT15" s="17"/>
      <c r="QU15" s="17"/>
      <c r="QV15" s="17"/>
      <c r="QW15" s="17"/>
      <c r="QX15" s="17"/>
      <c r="QY15" s="17"/>
      <c r="QZ15" s="17"/>
      <c r="RA15" s="17"/>
      <c r="RB15" s="17"/>
      <c r="RC15" s="17"/>
      <c r="RD15" s="17"/>
      <c r="RE15" s="17"/>
      <c r="RF15" s="17"/>
      <c r="RG15" s="17"/>
      <c r="RH15" s="17"/>
      <c r="RI15" s="17"/>
      <c r="RJ15" s="17"/>
      <c r="RK15" s="17"/>
      <c r="RL15" s="17"/>
      <c r="RM15" s="17"/>
      <c r="RN15" s="17"/>
      <c r="RO15" s="17"/>
      <c r="RP15" s="17"/>
      <c r="RQ15" s="17"/>
      <c r="RR15" s="17"/>
      <c r="RS15" s="17"/>
      <c r="RT15" s="17"/>
      <c r="RU15" s="17"/>
      <c r="RV15" s="17"/>
      <c r="RW15" s="17"/>
      <c r="RX15" s="17"/>
      <c r="RY15" s="17"/>
      <c r="RZ15" s="17"/>
      <c r="SA15" s="17"/>
      <c r="SB15" s="17"/>
      <c r="SC15" s="17"/>
      <c r="SD15" s="17"/>
      <c r="SE15" s="17"/>
      <c r="SF15" s="17"/>
      <c r="SG15" s="17"/>
      <c r="SH15" s="17"/>
      <c r="SI15" s="17"/>
      <c r="SJ15" s="17"/>
      <c r="SK15" s="17"/>
      <c r="SL15" s="17"/>
      <c r="SM15" s="17"/>
      <c r="SN15" s="17"/>
      <c r="SO15" s="17"/>
      <c r="SP15" s="17"/>
      <c r="SQ15" s="17"/>
      <c r="SR15" s="17"/>
      <c r="SS15" s="17"/>
      <c r="ST15" s="17"/>
      <c r="SU15" s="17"/>
      <c r="SV15" s="17"/>
      <c r="SW15" s="17"/>
      <c r="SX15" s="17"/>
      <c r="SY15" s="17"/>
      <c r="SZ15" s="17"/>
      <c r="TA15" s="17"/>
      <c r="TB15" s="17"/>
      <c r="TC15" s="17"/>
      <c r="TD15" s="17"/>
      <c r="TE15" s="17"/>
      <c r="TF15" s="17"/>
      <c r="TG15" s="17"/>
      <c r="TH15" s="17"/>
      <c r="TI15" s="17"/>
      <c r="TJ15" s="17"/>
      <c r="TK15" s="17"/>
      <c r="TL15" s="17"/>
      <c r="TM15" s="17"/>
      <c r="TN15" s="17"/>
      <c r="TO15" s="17"/>
      <c r="TP15" s="17"/>
      <c r="TQ15" s="17"/>
      <c r="TR15" s="17"/>
      <c r="TS15" s="17"/>
      <c r="TT15" s="17"/>
      <c r="TU15" s="17"/>
      <c r="TV15" s="17"/>
      <c r="TW15" s="17"/>
      <c r="TX15" s="17"/>
      <c r="TY15" s="17"/>
      <c r="TZ15" s="17"/>
      <c r="UA15" s="17"/>
      <c r="UB15" s="17"/>
      <c r="UC15" s="17"/>
      <c r="UD15" s="17"/>
      <c r="UE15" s="17"/>
      <c r="UF15" s="17"/>
      <c r="UG15" s="17"/>
      <c r="UH15" s="17"/>
      <c r="UI15" s="17"/>
      <c r="UJ15" s="17"/>
      <c r="UK15" s="17"/>
      <c r="UL15" s="17"/>
      <c r="UM15" s="17"/>
      <c r="UN15" s="17"/>
      <c r="UO15" s="17"/>
      <c r="UP15" s="17"/>
      <c r="UQ15" s="17"/>
      <c r="UR15" s="17"/>
      <c r="US15" s="17"/>
      <c r="UT15" s="17"/>
      <c r="UU15" s="17"/>
      <c r="UV15" s="17"/>
      <c r="UW15" s="17"/>
      <c r="UX15" s="17"/>
      <c r="UY15" s="17"/>
      <c r="UZ15" s="17"/>
      <c r="VA15" s="17"/>
      <c r="VB15" s="17"/>
      <c r="VC15" s="17"/>
      <c r="VD15" s="17"/>
      <c r="VE15" s="17"/>
      <c r="VF15" s="17"/>
      <c r="VG15" s="17"/>
      <c r="VH15" s="17"/>
      <c r="VI15" s="17"/>
      <c r="VJ15" s="17"/>
      <c r="VK15" s="17"/>
      <c r="VL15" s="17"/>
      <c r="VM15" s="17"/>
      <c r="VN15" s="17"/>
      <c r="VO15" s="17"/>
      <c r="VP15" s="17"/>
      <c r="VQ15" s="17"/>
      <c r="VR15" s="17"/>
      <c r="VS15" s="17"/>
      <c r="VT15" s="17"/>
      <c r="VU15" s="17"/>
      <c r="VV15" s="17"/>
      <c r="VW15" s="17"/>
      <c r="VX15" s="17"/>
      <c r="VY15" s="17"/>
      <c r="VZ15" s="17"/>
      <c r="WA15" s="17"/>
      <c r="WB15" s="17"/>
      <c r="WC15" s="17"/>
      <c r="WD15" s="17"/>
      <c r="WE15" s="17"/>
      <c r="WF15" s="17"/>
      <c r="WG15" s="17"/>
      <c r="WH15" s="17"/>
      <c r="WI15" s="17"/>
      <c r="WJ15" s="17"/>
      <c r="WK15" s="17"/>
      <c r="WL15" s="17"/>
      <c r="WM15" s="17"/>
      <c r="WN15" s="17"/>
      <c r="WO15" s="17"/>
      <c r="WP15" s="17"/>
      <c r="WQ15" s="17"/>
      <c r="WR15" s="17"/>
      <c r="WS15" s="17"/>
      <c r="WT15" s="17"/>
      <c r="WU15" s="17"/>
      <c r="WV15" s="17"/>
      <c r="WW15" s="17"/>
      <c r="WX15" s="17"/>
      <c r="WY15" s="17"/>
      <c r="WZ15" s="17"/>
      <c r="XA15" s="17"/>
      <c r="XB15" s="17"/>
      <c r="XC15" s="17"/>
      <c r="XD15" s="17"/>
      <c r="XE15" s="17"/>
      <c r="XF15" s="17"/>
      <c r="XG15" s="17"/>
      <c r="XH15" s="17"/>
      <c r="XI15" s="17"/>
      <c r="XJ15" s="17"/>
      <c r="XK15" s="17"/>
      <c r="XL15" s="17"/>
      <c r="XM15" s="17"/>
      <c r="XN15" s="17"/>
      <c r="XO15" s="17"/>
      <c r="XP15" s="17"/>
      <c r="XQ15" s="17"/>
      <c r="XR15" s="17"/>
      <c r="XS15" s="17"/>
      <c r="XT15" s="17"/>
      <c r="XU15" s="17"/>
      <c r="XV15" s="17"/>
      <c r="XW15" s="17"/>
      <c r="XX15" s="17"/>
      <c r="XY15" s="17"/>
      <c r="XZ15" s="17"/>
      <c r="YA15" s="17"/>
      <c r="YB15" s="17"/>
      <c r="YC15" s="17"/>
      <c r="YD15" s="17"/>
      <c r="YE15" s="17"/>
      <c r="YF15" s="17"/>
      <c r="YG15" s="17"/>
      <c r="YH15" s="17"/>
      <c r="YI15" s="17"/>
      <c r="YJ15" s="17"/>
      <c r="YK15" s="17"/>
      <c r="YL15" s="17"/>
      <c r="YM15" s="17"/>
      <c r="YN15" s="17"/>
      <c r="YO15" s="17"/>
      <c r="YP15" s="17"/>
      <c r="YQ15" s="17"/>
      <c r="YR15" s="17"/>
      <c r="YS15" s="17"/>
      <c r="YT15" s="17"/>
      <c r="YU15" s="17"/>
      <c r="YV15" s="17"/>
      <c r="YW15" s="17"/>
      <c r="YX15" s="17"/>
      <c r="YY15" s="17"/>
      <c r="YZ15" s="17"/>
      <c r="ZA15" s="17"/>
      <c r="ZB15" s="17"/>
      <c r="ZC15" s="17"/>
      <c r="ZD15" s="17"/>
      <c r="ZE15" s="17"/>
      <c r="ZF15" s="17"/>
      <c r="ZG15" s="17"/>
      <c r="ZH15" s="17"/>
      <c r="ZI15" s="17"/>
      <c r="ZJ15" s="17"/>
      <c r="ZK15" s="17"/>
      <c r="ZL15" s="17"/>
      <c r="ZM15" s="17"/>
      <c r="ZN15" s="17"/>
      <c r="ZO15" s="17"/>
      <c r="ZP15" s="17"/>
      <c r="ZQ15" s="17"/>
      <c r="ZR15" s="17"/>
      <c r="ZS15" s="17"/>
      <c r="ZT15" s="17"/>
      <c r="ZU15" s="17"/>
      <c r="ZV15" s="17"/>
      <c r="ZW15" s="17"/>
      <c r="ZX15" s="17"/>
      <c r="ZY15" s="17"/>
      <c r="ZZ15" s="17"/>
    </row>
    <row r="16" spans="1:702" s="33" customFormat="1" x14ac:dyDescent="0.25">
      <c r="A16" s="30" t="str">
        <f>IF(COUNTA(B16:B16)=0,"", MAX(A$2:A15)+1)</f>
        <v/>
      </c>
      <c r="C16" s="34"/>
      <c r="D16" s="63"/>
      <c r="M16" s="34"/>
      <c r="Q16" s="34"/>
      <c r="U16" s="17"/>
      <c r="V16" s="62"/>
      <c r="W16" s="97"/>
      <c r="Z16" s="30" t="str">
        <f t="shared" si="0"/>
        <v/>
      </c>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c r="EC16" s="17"/>
      <c r="ED16" s="17"/>
      <c r="EE16" s="17"/>
      <c r="EF16" s="17"/>
      <c r="EG16" s="17"/>
      <c r="EH16" s="17"/>
      <c r="EI16" s="17"/>
      <c r="EJ16" s="17"/>
      <c r="EK16" s="17"/>
      <c r="EL16" s="17"/>
      <c r="EM16" s="17"/>
      <c r="EN16" s="17"/>
      <c r="EO16" s="17"/>
      <c r="EP16" s="17"/>
      <c r="EQ16" s="17"/>
      <c r="ER16" s="17"/>
      <c r="ES16" s="17"/>
      <c r="ET16" s="17"/>
      <c r="EU16" s="17"/>
      <c r="EV16" s="17"/>
      <c r="EW16" s="17"/>
      <c r="EX16" s="17"/>
      <c r="EY16" s="17"/>
      <c r="EZ16" s="17"/>
      <c r="FA16" s="17"/>
      <c r="FB16" s="17"/>
      <c r="FC16" s="17"/>
      <c r="FD16" s="17"/>
      <c r="FE16" s="17"/>
      <c r="FF16" s="17"/>
      <c r="FG16" s="17"/>
      <c r="FH16" s="17"/>
      <c r="FI16" s="17"/>
      <c r="FJ16" s="17"/>
      <c r="FK16" s="17"/>
      <c r="FL16" s="17"/>
      <c r="FM16" s="17"/>
      <c r="FN16" s="17"/>
      <c r="FO16" s="17"/>
      <c r="FP16" s="17"/>
      <c r="FQ16" s="17"/>
      <c r="FR16" s="17"/>
      <c r="FS16" s="17"/>
      <c r="FT16" s="17"/>
      <c r="FU16" s="17"/>
      <c r="FV16" s="17"/>
      <c r="FW16" s="17"/>
      <c r="FX16" s="17"/>
      <c r="FY16" s="17"/>
      <c r="FZ16" s="17"/>
      <c r="GA16" s="17"/>
      <c r="GB16" s="17"/>
      <c r="GC16" s="17"/>
      <c r="GD16" s="17"/>
      <c r="GE16" s="17"/>
      <c r="GF16" s="17"/>
      <c r="GG16" s="17"/>
      <c r="GH16" s="17"/>
      <c r="GI16" s="17"/>
      <c r="GJ16" s="17"/>
      <c r="GK16" s="17"/>
      <c r="GL16" s="17"/>
      <c r="GM16" s="17"/>
      <c r="GN16" s="17"/>
      <c r="GO16" s="17"/>
      <c r="GP16" s="17"/>
      <c r="GQ16" s="17"/>
      <c r="GR16" s="17"/>
      <c r="GS16" s="17"/>
      <c r="GT16" s="17"/>
      <c r="GU16" s="17"/>
      <c r="GV16" s="17"/>
      <c r="GW16" s="17"/>
      <c r="GX16" s="17"/>
      <c r="GY16" s="17"/>
      <c r="GZ16" s="17"/>
      <c r="HA16" s="17"/>
      <c r="HB16" s="17"/>
      <c r="HC16" s="17"/>
      <c r="HD16" s="17"/>
      <c r="HE16" s="17"/>
      <c r="HF16" s="17"/>
      <c r="HG16" s="17"/>
      <c r="HH16" s="17"/>
      <c r="HI16" s="17"/>
      <c r="HJ16" s="17"/>
      <c r="HK16" s="17"/>
      <c r="HL16" s="17"/>
      <c r="HM16" s="17"/>
      <c r="HN16" s="17"/>
      <c r="HO16" s="17"/>
      <c r="HP16" s="17"/>
      <c r="HQ16" s="17"/>
      <c r="HR16" s="17"/>
      <c r="HS16" s="17"/>
      <c r="HT16" s="17"/>
      <c r="HU16" s="17"/>
      <c r="HV16" s="17"/>
      <c r="HW16" s="17"/>
      <c r="HX16" s="17"/>
      <c r="HY16" s="17"/>
      <c r="HZ16" s="17"/>
      <c r="IA16" s="17"/>
      <c r="IB16" s="17"/>
      <c r="IC16" s="17"/>
      <c r="ID16" s="17"/>
      <c r="IE16" s="17"/>
      <c r="IF16" s="17"/>
      <c r="IG16" s="17"/>
      <c r="IH16" s="17"/>
      <c r="II16" s="17"/>
      <c r="IJ16" s="17"/>
      <c r="IK16" s="17"/>
      <c r="IL16" s="17"/>
      <c r="IM16" s="17"/>
      <c r="IN16" s="17"/>
      <c r="IO16" s="17"/>
      <c r="IP16" s="17"/>
      <c r="IQ16" s="17"/>
      <c r="IR16" s="17"/>
      <c r="IS16" s="17"/>
      <c r="IT16" s="17"/>
      <c r="IU16" s="17"/>
      <c r="IV16" s="17"/>
      <c r="IW16" s="17"/>
      <c r="IX16" s="17"/>
      <c r="IY16" s="17"/>
      <c r="IZ16" s="17"/>
      <c r="JA16" s="17"/>
      <c r="JB16" s="17"/>
      <c r="JC16" s="17"/>
      <c r="JD16" s="17"/>
      <c r="JE16" s="17"/>
      <c r="JF16" s="17"/>
      <c r="JG16" s="17"/>
      <c r="JH16" s="17"/>
      <c r="JI16" s="17"/>
      <c r="JJ16" s="17"/>
      <c r="JK16" s="17"/>
      <c r="JL16" s="17"/>
      <c r="JM16" s="17"/>
      <c r="JN16" s="17"/>
      <c r="JO16" s="17"/>
      <c r="JP16" s="17"/>
      <c r="JQ16" s="17"/>
      <c r="JR16" s="17"/>
      <c r="JS16" s="17"/>
      <c r="JT16" s="17"/>
      <c r="JU16" s="17"/>
      <c r="JV16" s="17"/>
      <c r="JW16" s="17"/>
      <c r="JX16" s="17"/>
      <c r="JY16" s="17"/>
      <c r="JZ16" s="17"/>
      <c r="KA16" s="17"/>
      <c r="KB16" s="17"/>
      <c r="KC16" s="17"/>
      <c r="KD16" s="17"/>
      <c r="KE16" s="17"/>
      <c r="KF16" s="17"/>
      <c r="KG16" s="17"/>
      <c r="KH16" s="17"/>
      <c r="KI16" s="17"/>
      <c r="KJ16" s="17"/>
      <c r="KK16" s="17"/>
      <c r="KL16" s="17"/>
      <c r="KM16" s="17"/>
      <c r="KN16" s="17"/>
      <c r="KO16" s="17"/>
      <c r="KP16" s="17"/>
      <c r="KQ16" s="17"/>
      <c r="KR16" s="17"/>
      <c r="KS16" s="17"/>
      <c r="KT16" s="17"/>
      <c r="KU16" s="17"/>
      <c r="KV16" s="17"/>
      <c r="KW16" s="17"/>
      <c r="KX16" s="17"/>
      <c r="KY16" s="17"/>
      <c r="KZ16" s="17"/>
      <c r="LA16" s="17"/>
      <c r="LB16" s="17"/>
      <c r="LC16" s="17"/>
      <c r="LD16" s="17"/>
      <c r="LE16" s="17"/>
      <c r="LF16" s="17"/>
      <c r="LG16" s="17"/>
      <c r="LH16" s="17"/>
      <c r="LI16" s="17"/>
      <c r="LJ16" s="17"/>
      <c r="LK16" s="17"/>
      <c r="LL16" s="17"/>
      <c r="LM16" s="17"/>
      <c r="LN16" s="17"/>
      <c r="LO16" s="17"/>
      <c r="LP16" s="17"/>
      <c r="LQ16" s="17"/>
      <c r="LR16" s="17"/>
      <c r="LS16" s="17"/>
      <c r="LT16" s="17"/>
      <c r="LU16" s="17"/>
      <c r="LV16" s="17"/>
      <c r="LW16" s="17"/>
      <c r="LX16" s="17"/>
      <c r="LY16" s="17"/>
      <c r="LZ16" s="17"/>
      <c r="MA16" s="17"/>
      <c r="MB16" s="17"/>
      <c r="MC16" s="17"/>
      <c r="MD16" s="17"/>
      <c r="ME16" s="17"/>
      <c r="MF16" s="17"/>
      <c r="MG16" s="17"/>
      <c r="MH16" s="17"/>
      <c r="MI16" s="17"/>
      <c r="MJ16" s="17"/>
      <c r="MK16" s="17"/>
      <c r="ML16" s="17"/>
      <c r="MM16" s="17"/>
      <c r="MN16" s="17"/>
      <c r="MO16" s="17"/>
      <c r="MP16" s="17"/>
      <c r="MQ16" s="17"/>
      <c r="MR16" s="17"/>
      <c r="MS16" s="17"/>
      <c r="MT16" s="17"/>
      <c r="MU16" s="17"/>
      <c r="MV16" s="17"/>
      <c r="MW16" s="17"/>
      <c r="MX16" s="17"/>
      <c r="MY16" s="17"/>
      <c r="MZ16" s="17"/>
      <c r="NA16" s="17"/>
      <c r="NB16" s="17"/>
      <c r="NC16" s="17"/>
      <c r="ND16" s="17"/>
      <c r="NE16" s="17"/>
      <c r="NF16" s="17"/>
      <c r="NG16" s="17"/>
      <c r="NH16" s="17"/>
      <c r="NI16" s="17"/>
      <c r="NJ16" s="17"/>
      <c r="NK16" s="17"/>
      <c r="NL16" s="17"/>
      <c r="NM16" s="17"/>
      <c r="NN16" s="17"/>
      <c r="NO16" s="17"/>
      <c r="NP16" s="17"/>
      <c r="NQ16" s="17"/>
      <c r="NR16" s="17"/>
      <c r="NS16" s="17"/>
      <c r="NT16" s="17"/>
      <c r="NU16" s="17"/>
      <c r="NV16" s="17"/>
      <c r="NW16" s="17"/>
      <c r="NX16" s="17"/>
      <c r="NY16" s="17"/>
      <c r="NZ16" s="17"/>
      <c r="OA16" s="17"/>
      <c r="OB16" s="17"/>
      <c r="OC16" s="17"/>
      <c r="OD16" s="17"/>
      <c r="OE16" s="17"/>
      <c r="OF16" s="17"/>
      <c r="OG16" s="17"/>
      <c r="OH16" s="17"/>
      <c r="OI16" s="17"/>
      <c r="OJ16" s="17"/>
      <c r="OK16" s="17"/>
      <c r="OL16" s="17"/>
      <c r="OM16" s="17"/>
      <c r="ON16" s="17"/>
      <c r="OO16" s="17"/>
      <c r="OP16" s="17"/>
      <c r="OQ16" s="17"/>
      <c r="OR16" s="17"/>
      <c r="OS16" s="17"/>
      <c r="OT16" s="17"/>
      <c r="OU16" s="17"/>
      <c r="OV16" s="17"/>
      <c r="OW16" s="17"/>
      <c r="OX16" s="17"/>
      <c r="OY16" s="17"/>
      <c r="OZ16" s="17"/>
      <c r="PA16" s="17"/>
      <c r="PB16" s="17"/>
      <c r="PC16" s="17"/>
      <c r="PD16" s="17"/>
      <c r="PE16" s="17"/>
      <c r="PF16" s="17"/>
      <c r="PG16" s="17"/>
      <c r="PH16" s="17"/>
      <c r="PI16" s="17"/>
      <c r="PJ16" s="17"/>
      <c r="PK16" s="17"/>
      <c r="PL16" s="17"/>
      <c r="PM16" s="17"/>
      <c r="PN16" s="17"/>
      <c r="PO16" s="17"/>
      <c r="PP16" s="17"/>
      <c r="PQ16" s="17"/>
      <c r="PR16" s="17"/>
      <c r="PS16" s="17"/>
      <c r="PT16" s="17"/>
      <c r="PU16" s="17"/>
      <c r="PV16" s="17"/>
      <c r="PW16" s="17"/>
      <c r="PX16" s="17"/>
      <c r="PY16" s="17"/>
      <c r="PZ16" s="17"/>
      <c r="QA16" s="17"/>
      <c r="QB16" s="17"/>
      <c r="QC16" s="17"/>
      <c r="QD16" s="17"/>
      <c r="QE16" s="17"/>
      <c r="QF16" s="17"/>
      <c r="QG16" s="17"/>
      <c r="QH16" s="17"/>
      <c r="QI16" s="17"/>
      <c r="QJ16" s="17"/>
      <c r="QK16" s="17"/>
      <c r="QL16" s="17"/>
      <c r="QM16" s="17"/>
      <c r="QN16" s="17"/>
      <c r="QO16" s="17"/>
      <c r="QP16" s="17"/>
      <c r="QQ16" s="17"/>
      <c r="QR16" s="17"/>
      <c r="QS16" s="17"/>
      <c r="QT16" s="17"/>
      <c r="QU16" s="17"/>
      <c r="QV16" s="17"/>
      <c r="QW16" s="17"/>
      <c r="QX16" s="17"/>
      <c r="QY16" s="17"/>
      <c r="QZ16" s="17"/>
      <c r="RA16" s="17"/>
      <c r="RB16" s="17"/>
      <c r="RC16" s="17"/>
      <c r="RD16" s="17"/>
      <c r="RE16" s="17"/>
      <c r="RF16" s="17"/>
      <c r="RG16" s="17"/>
      <c r="RH16" s="17"/>
      <c r="RI16" s="17"/>
      <c r="RJ16" s="17"/>
      <c r="RK16" s="17"/>
      <c r="RL16" s="17"/>
      <c r="RM16" s="17"/>
      <c r="RN16" s="17"/>
      <c r="RO16" s="17"/>
      <c r="RP16" s="17"/>
      <c r="RQ16" s="17"/>
      <c r="RR16" s="17"/>
      <c r="RS16" s="17"/>
      <c r="RT16" s="17"/>
      <c r="RU16" s="17"/>
      <c r="RV16" s="17"/>
      <c r="RW16" s="17"/>
      <c r="RX16" s="17"/>
      <c r="RY16" s="17"/>
      <c r="RZ16" s="17"/>
      <c r="SA16" s="17"/>
      <c r="SB16" s="17"/>
      <c r="SC16" s="17"/>
      <c r="SD16" s="17"/>
      <c r="SE16" s="17"/>
      <c r="SF16" s="17"/>
      <c r="SG16" s="17"/>
      <c r="SH16" s="17"/>
      <c r="SI16" s="17"/>
      <c r="SJ16" s="17"/>
      <c r="SK16" s="17"/>
      <c r="SL16" s="17"/>
      <c r="SM16" s="17"/>
      <c r="SN16" s="17"/>
      <c r="SO16" s="17"/>
      <c r="SP16" s="17"/>
      <c r="SQ16" s="17"/>
      <c r="SR16" s="17"/>
      <c r="SS16" s="17"/>
      <c r="ST16" s="17"/>
      <c r="SU16" s="17"/>
      <c r="SV16" s="17"/>
      <c r="SW16" s="17"/>
      <c r="SX16" s="17"/>
      <c r="SY16" s="17"/>
      <c r="SZ16" s="17"/>
      <c r="TA16" s="17"/>
      <c r="TB16" s="17"/>
      <c r="TC16" s="17"/>
      <c r="TD16" s="17"/>
      <c r="TE16" s="17"/>
      <c r="TF16" s="17"/>
      <c r="TG16" s="17"/>
      <c r="TH16" s="17"/>
      <c r="TI16" s="17"/>
      <c r="TJ16" s="17"/>
      <c r="TK16" s="17"/>
      <c r="TL16" s="17"/>
      <c r="TM16" s="17"/>
      <c r="TN16" s="17"/>
      <c r="TO16" s="17"/>
      <c r="TP16" s="17"/>
      <c r="TQ16" s="17"/>
      <c r="TR16" s="17"/>
      <c r="TS16" s="17"/>
      <c r="TT16" s="17"/>
      <c r="TU16" s="17"/>
      <c r="TV16" s="17"/>
      <c r="TW16" s="17"/>
      <c r="TX16" s="17"/>
      <c r="TY16" s="17"/>
      <c r="TZ16" s="17"/>
      <c r="UA16" s="17"/>
      <c r="UB16" s="17"/>
      <c r="UC16" s="17"/>
      <c r="UD16" s="17"/>
      <c r="UE16" s="17"/>
      <c r="UF16" s="17"/>
      <c r="UG16" s="17"/>
      <c r="UH16" s="17"/>
      <c r="UI16" s="17"/>
      <c r="UJ16" s="17"/>
      <c r="UK16" s="17"/>
      <c r="UL16" s="17"/>
      <c r="UM16" s="17"/>
      <c r="UN16" s="17"/>
      <c r="UO16" s="17"/>
      <c r="UP16" s="17"/>
      <c r="UQ16" s="17"/>
      <c r="UR16" s="17"/>
      <c r="US16" s="17"/>
      <c r="UT16" s="17"/>
      <c r="UU16" s="17"/>
      <c r="UV16" s="17"/>
      <c r="UW16" s="17"/>
      <c r="UX16" s="17"/>
      <c r="UY16" s="17"/>
      <c r="UZ16" s="17"/>
      <c r="VA16" s="17"/>
      <c r="VB16" s="17"/>
      <c r="VC16" s="17"/>
      <c r="VD16" s="17"/>
      <c r="VE16" s="17"/>
      <c r="VF16" s="17"/>
      <c r="VG16" s="17"/>
      <c r="VH16" s="17"/>
      <c r="VI16" s="17"/>
      <c r="VJ16" s="17"/>
      <c r="VK16" s="17"/>
      <c r="VL16" s="17"/>
      <c r="VM16" s="17"/>
      <c r="VN16" s="17"/>
      <c r="VO16" s="17"/>
      <c r="VP16" s="17"/>
      <c r="VQ16" s="17"/>
      <c r="VR16" s="17"/>
      <c r="VS16" s="17"/>
      <c r="VT16" s="17"/>
      <c r="VU16" s="17"/>
      <c r="VV16" s="17"/>
      <c r="VW16" s="17"/>
      <c r="VX16" s="17"/>
      <c r="VY16" s="17"/>
      <c r="VZ16" s="17"/>
      <c r="WA16" s="17"/>
      <c r="WB16" s="17"/>
      <c r="WC16" s="17"/>
      <c r="WD16" s="17"/>
      <c r="WE16" s="17"/>
      <c r="WF16" s="17"/>
      <c r="WG16" s="17"/>
      <c r="WH16" s="17"/>
      <c r="WI16" s="17"/>
      <c r="WJ16" s="17"/>
      <c r="WK16" s="17"/>
      <c r="WL16" s="17"/>
      <c r="WM16" s="17"/>
      <c r="WN16" s="17"/>
      <c r="WO16" s="17"/>
      <c r="WP16" s="17"/>
      <c r="WQ16" s="17"/>
      <c r="WR16" s="17"/>
      <c r="WS16" s="17"/>
      <c r="WT16" s="17"/>
      <c r="WU16" s="17"/>
      <c r="WV16" s="17"/>
      <c r="WW16" s="17"/>
      <c r="WX16" s="17"/>
      <c r="WY16" s="17"/>
      <c r="WZ16" s="17"/>
      <c r="XA16" s="17"/>
      <c r="XB16" s="17"/>
      <c r="XC16" s="17"/>
      <c r="XD16" s="17"/>
      <c r="XE16" s="17"/>
      <c r="XF16" s="17"/>
      <c r="XG16" s="17"/>
      <c r="XH16" s="17"/>
      <c r="XI16" s="17"/>
      <c r="XJ16" s="17"/>
      <c r="XK16" s="17"/>
      <c r="XL16" s="17"/>
      <c r="XM16" s="17"/>
      <c r="XN16" s="17"/>
      <c r="XO16" s="17"/>
      <c r="XP16" s="17"/>
      <c r="XQ16" s="17"/>
      <c r="XR16" s="17"/>
      <c r="XS16" s="17"/>
      <c r="XT16" s="17"/>
      <c r="XU16" s="17"/>
      <c r="XV16" s="17"/>
      <c r="XW16" s="17"/>
      <c r="XX16" s="17"/>
      <c r="XY16" s="17"/>
      <c r="XZ16" s="17"/>
      <c r="YA16" s="17"/>
      <c r="YB16" s="17"/>
      <c r="YC16" s="17"/>
      <c r="YD16" s="17"/>
      <c r="YE16" s="17"/>
      <c r="YF16" s="17"/>
      <c r="YG16" s="17"/>
      <c r="YH16" s="17"/>
      <c r="YI16" s="17"/>
      <c r="YJ16" s="17"/>
      <c r="YK16" s="17"/>
      <c r="YL16" s="17"/>
      <c r="YM16" s="17"/>
      <c r="YN16" s="17"/>
      <c r="YO16" s="17"/>
      <c r="YP16" s="17"/>
      <c r="YQ16" s="17"/>
      <c r="YR16" s="17"/>
      <c r="YS16" s="17"/>
      <c r="YT16" s="17"/>
      <c r="YU16" s="17"/>
      <c r="YV16" s="17"/>
      <c r="YW16" s="17"/>
      <c r="YX16" s="17"/>
      <c r="YY16" s="17"/>
      <c r="YZ16" s="17"/>
      <c r="ZA16" s="17"/>
      <c r="ZB16" s="17"/>
      <c r="ZC16" s="17"/>
      <c r="ZD16" s="17"/>
      <c r="ZE16" s="17"/>
      <c r="ZF16" s="17"/>
      <c r="ZG16" s="17"/>
      <c r="ZH16" s="17"/>
      <c r="ZI16" s="17"/>
      <c r="ZJ16" s="17"/>
      <c r="ZK16" s="17"/>
      <c r="ZL16" s="17"/>
      <c r="ZM16" s="17"/>
      <c r="ZN16" s="17"/>
      <c r="ZO16" s="17"/>
      <c r="ZP16" s="17"/>
      <c r="ZQ16" s="17"/>
      <c r="ZR16" s="17"/>
      <c r="ZS16" s="17"/>
      <c r="ZT16" s="17"/>
      <c r="ZU16" s="17"/>
      <c r="ZV16" s="17"/>
      <c r="ZW16" s="17"/>
      <c r="ZX16" s="17"/>
      <c r="ZY16" s="17"/>
      <c r="ZZ16" s="17"/>
    </row>
    <row r="17" spans="1:702" s="33" customFormat="1" x14ac:dyDescent="0.25">
      <c r="A17" s="30" t="str">
        <f>IF(COUNTA(B17:B17)=0,"", MAX(A$2:A16)+1)</f>
        <v/>
      </c>
      <c r="C17" s="34"/>
      <c r="D17" s="63"/>
      <c r="M17" s="34"/>
      <c r="Q17" s="34"/>
      <c r="U17" s="17"/>
      <c r="V17" s="62"/>
      <c r="W17" s="97"/>
      <c r="Z17" s="30" t="str">
        <f t="shared" si="0"/>
        <v/>
      </c>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7"/>
      <c r="EY17" s="17"/>
      <c r="EZ17" s="17"/>
      <c r="FA17" s="17"/>
      <c r="FB17" s="17"/>
      <c r="FC17" s="17"/>
      <c r="FD17" s="17"/>
      <c r="FE17" s="17"/>
      <c r="FF17" s="17"/>
      <c r="FG17" s="17"/>
      <c r="FH17" s="17"/>
      <c r="FI17" s="17"/>
      <c r="FJ17" s="17"/>
      <c r="FK17" s="17"/>
      <c r="FL17" s="17"/>
      <c r="FM17" s="17"/>
      <c r="FN17" s="17"/>
      <c r="FO17" s="17"/>
      <c r="FP17" s="17"/>
      <c r="FQ17" s="17"/>
      <c r="FR17" s="17"/>
      <c r="FS17" s="17"/>
      <c r="FT17" s="17"/>
      <c r="FU17" s="17"/>
      <c r="FV17" s="17"/>
      <c r="FW17" s="17"/>
      <c r="FX17" s="17"/>
      <c r="FY17" s="17"/>
      <c r="FZ17" s="17"/>
      <c r="GA17" s="17"/>
      <c r="GB17" s="17"/>
      <c r="GC17" s="17"/>
      <c r="GD17" s="17"/>
      <c r="GE17" s="17"/>
      <c r="GF17" s="17"/>
      <c r="GG17" s="17"/>
      <c r="GH17" s="17"/>
      <c r="GI17" s="17"/>
      <c r="GJ17" s="17"/>
      <c r="GK17" s="17"/>
      <c r="GL17" s="17"/>
      <c r="GM17" s="17"/>
      <c r="GN17" s="17"/>
      <c r="GO17" s="17"/>
      <c r="GP17" s="17"/>
      <c r="GQ17" s="17"/>
      <c r="GR17" s="17"/>
      <c r="GS17" s="17"/>
      <c r="GT17" s="17"/>
      <c r="GU17" s="17"/>
      <c r="GV17" s="17"/>
      <c r="GW17" s="17"/>
      <c r="GX17" s="17"/>
      <c r="GY17" s="17"/>
      <c r="GZ17" s="17"/>
      <c r="HA17" s="17"/>
      <c r="HB17" s="17"/>
      <c r="HC17" s="17"/>
      <c r="HD17" s="17"/>
      <c r="HE17" s="17"/>
      <c r="HF17" s="17"/>
      <c r="HG17" s="17"/>
      <c r="HH17" s="17"/>
      <c r="HI17" s="17"/>
      <c r="HJ17" s="17"/>
      <c r="HK17" s="17"/>
      <c r="HL17" s="17"/>
      <c r="HM17" s="17"/>
      <c r="HN17" s="17"/>
      <c r="HO17" s="17"/>
      <c r="HP17" s="17"/>
      <c r="HQ17" s="17"/>
      <c r="HR17" s="17"/>
      <c r="HS17" s="17"/>
      <c r="HT17" s="17"/>
      <c r="HU17" s="17"/>
      <c r="HV17" s="17"/>
      <c r="HW17" s="17"/>
      <c r="HX17" s="17"/>
      <c r="HY17" s="17"/>
      <c r="HZ17" s="17"/>
      <c r="IA17" s="17"/>
      <c r="IB17" s="17"/>
      <c r="IC17" s="17"/>
      <c r="ID17" s="17"/>
      <c r="IE17" s="17"/>
      <c r="IF17" s="17"/>
      <c r="IG17" s="17"/>
      <c r="IH17" s="17"/>
      <c r="II17" s="17"/>
      <c r="IJ17" s="17"/>
      <c r="IK17" s="17"/>
      <c r="IL17" s="17"/>
      <c r="IM17" s="17"/>
      <c r="IN17" s="17"/>
      <c r="IO17" s="17"/>
      <c r="IP17" s="17"/>
      <c r="IQ17" s="17"/>
      <c r="IR17" s="17"/>
      <c r="IS17" s="17"/>
      <c r="IT17" s="17"/>
      <c r="IU17" s="17"/>
      <c r="IV17" s="17"/>
      <c r="IW17" s="17"/>
      <c r="IX17" s="17"/>
      <c r="IY17" s="17"/>
      <c r="IZ17" s="17"/>
      <c r="JA17" s="17"/>
      <c r="JB17" s="17"/>
      <c r="JC17" s="17"/>
      <c r="JD17" s="17"/>
      <c r="JE17" s="17"/>
      <c r="JF17" s="17"/>
      <c r="JG17" s="17"/>
      <c r="JH17" s="17"/>
      <c r="JI17" s="17"/>
      <c r="JJ17" s="17"/>
      <c r="JK17" s="17"/>
      <c r="JL17" s="17"/>
      <c r="JM17" s="17"/>
      <c r="JN17" s="17"/>
      <c r="JO17" s="17"/>
      <c r="JP17" s="17"/>
      <c r="JQ17" s="17"/>
      <c r="JR17" s="17"/>
      <c r="JS17" s="17"/>
      <c r="JT17" s="17"/>
      <c r="JU17" s="17"/>
      <c r="JV17" s="17"/>
      <c r="JW17" s="17"/>
      <c r="JX17" s="17"/>
      <c r="JY17" s="17"/>
      <c r="JZ17" s="17"/>
      <c r="KA17" s="17"/>
      <c r="KB17" s="17"/>
      <c r="KC17" s="17"/>
      <c r="KD17" s="17"/>
      <c r="KE17" s="17"/>
      <c r="KF17" s="17"/>
      <c r="KG17" s="17"/>
      <c r="KH17" s="17"/>
      <c r="KI17" s="17"/>
      <c r="KJ17" s="17"/>
      <c r="KK17" s="17"/>
      <c r="KL17" s="17"/>
      <c r="KM17" s="17"/>
      <c r="KN17" s="17"/>
      <c r="KO17" s="17"/>
      <c r="KP17" s="17"/>
      <c r="KQ17" s="17"/>
      <c r="KR17" s="17"/>
      <c r="KS17" s="17"/>
      <c r="KT17" s="17"/>
      <c r="KU17" s="17"/>
      <c r="KV17" s="17"/>
      <c r="KW17" s="17"/>
      <c r="KX17" s="17"/>
      <c r="KY17" s="17"/>
      <c r="KZ17" s="17"/>
      <c r="LA17" s="17"/>
      <c r="LB17" s="17"/>
      <c r="LC17" s="17"/>
      <c r="LD17" s="17"/>
      <c r="LE17" s="17"/>
      <c r="LF17" s="17"/>
      <c r="LG17" s="17"/>
      <c r="LH17" s="17"/>
      <c r="LI17" s="17"/>
      <c r="LJ17" s="17"/>
      <c r="LK17" s="17"/>
      <c r="LL17" s="17"/>
      <c r="LM17" s="17"/>
      <c r="LN17" s="17"/>
      <c r="LO17" s="17"/>
      <c r="LP17" s="17"/>
      <c r="LQ17" s="17"/>
      <c r="LR17" s="17"/>
      <c r="LS17" s="17"/>
      <c r="LT17" s="17"/>
      <c r="LU17" s="17"/>
      <c r="LV17" s="17"/>
      <c r="LW17" s="17"/>
      <c r="LX17" s="17"/>
      <c r="LY17" s="17"/>
      <c r="LZ17" s="17"/>
      <c r="MA17" s="17"/>
      <c r="MB17" s="17"/>
      <c r="MC17" s="17"/>
      <c r="MD17" s="17"/>
      <c r="ME17" s="17"/>
      <c r="MF17" s="17"/>
      <c r="MG17" s="17"/>
      <c r="MH17" s="17"/>
      <c r="MI17" s="17"/>
      <c r="MJ17" s="17"/>
      <c r="MK17" s="17"/>
      <c r="ML17" s="17"/>
      <c r="MM17" s="17"/>
      <c r="MN17" s="17"/>
      <c r="MO17" s="17"/>
      <c r="MP17" s="17"/>
      <c r="MQ17" s="17"/>
      <c r="MR17" s="17"/>
      <c r="MS17" s="17"/>
      <c r="MT17" s="17"/>
      <c r="MU17" s="17"/>
      <c r="MV17" s="17"/>
      <c r="MW17" s="17"/>
      <c r="MX17" s="17"/>
      <c r="MY17" s="17"/>
      <c r="MZ17" s="17"/>
      <c r="NA17" s="17"/>
      <c r="NB17" s="17"/>
      <c r="NC17" s="17"/>
      <c r="ND17" s="17"/>
      <c r="NE17" s="17"/>
      <c r="NF17" s="17"/>
      <c r="NG17" s="17"/>
      <c r="NH17" s="17"/>
      <c r="NI17" s="17"/>
      <c r="NJ17" s="17"/>
      <c r="NK17" s="17"/>
      <c r="NL17" s="17"/>
      <c r="NM17" s="17"/>
      <c r="NN17" s="17"/>
      <c r="NO17" s="17"/>
      <c r="NP17" s="17"/>
      <c r="NQ17" s="17"/>
      <c r="NR17" s="17"/>
      <c r="NS17" s="17"/>
      <c r="NT17" s="17"/>
      <c r="NU17" s="17"/>
      <c r="NV17" s="17"/>
      <c r="NW17" s="17"/>
      <c r="NX17" s="17"/>
      <c r="NY17" s="17"/>
      <c r="NZ17" s="17"/>
      <c r="OA17" s="17"/>
      <c r="OB17" s="17"/>
      <c r="OC17" s="17"/>
      <c r="OD17" s="17"/>
      <c r="OE17" s="17"/>
      <c r="OF17" s="17"/>
      <c r="OG17" s="17"/>
      <c r="OH17" s="17"/>
      <c r="OI17" s="17"/>
      <c r="OJ17" s="17"/>
      <c r="OK17" s="17"/>
      <c r="OL17" s="17"/>
      <c r="OM17" s="17"/>
      <c r="ON17" s="17"/>
      <c r="OO17" s="17"/>
      <c r="OP17" s="17"/>
      <c r="OQ17" s="17"/>
      <c r="OR17" s="17"/>
      <c r="OS17" s="17"/>
      <c r="OT17" s="17"/>
      <c r="OU17" s="17"/>
      <c r="OV17" s="17"/>
      <c r="OW17" s="17"/>
      <c r="OX17" s="17"/>
      <c r="OY17" s="17"/>
      <c r="OZ17" s="17"/>
      <c r="PA17" s="17"/>
      <c r="PB17" s="17"/>
      <c r="PC17" s="17"/>
      <c r="PD17" s="17"/>
      <c r="PE17" s="17"/>
      <c r="PF17" s="17"/>
      <c r="PG17" s="17"/>
      <c r="PH17" s="17"/>
      <c r="PI17" s="17"/>
      <c r="PJ17" s="17"/>
      <c r="PK17" s="17"/>
      <c r="PL17" s="17"/>
      <c r="PM17" s="17"/>
      <c r="PN17" s="17"/>
      <c r="PO17" s="17"/>
      <c r="PP17" s="17"/>
      <c r="PQ17" s="17"/>
      <c r="PR17" s="17"/>
      <c r="PS17" s="17"/>
      <c r="PT17" s="17"/>
      <c r="PU17" s="17"/>
      <c r="PV17" s="17"/>
      <c r="PW17" s="17"/>
      <c r="PX17" s="17"/>
      <c r="PY17" s="17"/>
      <c r="PZ17" s="17"/>
      <c r="QA17" s="17"/>
      <c r="QB17" s="17"/>
      <c r="QC17" s="17"/>
      <c r="QD17" s="17"/>
      <c r="QE17" s="17"/>
      <c r="QF17" s="17"/>
      <c r="QG17" s="17"/>
      <c r="QH17" s="17"/>
      <c r="QI17" s="17"/>
      <c r="QJ17" s="17"/>
      <c r="QK17" s="17"/>
      <c r="QL17" s="17"/>
      <c r="QM17" s="17"/>
      <c r="QN17" s="17"/>
      <c r="QO17" s="17"/>
      <c r="QP17" s="17"/>
      <c r="QQ17" s="17"/>
      <c r="QR17" s="17"/>
      <c r="QS17" s="17"/>
      <c r="QT17" s="17"/>
      <c r="QU17" s="17"/>
      <c r="QV17" s="17"/>
      <c r="QW17" s="17"/>
      <c r="QX17" s="17"/>
      <c r="QY17" s="17"/>
      <c r="QZ17" s="17"/>
      <c r="RA17" s="17"/>
      <c r="RB17" s="17"/>
      <c r="RC17" s="17"/>
      <c r="RD17" s="17"/>
      <c r="RE17" s="17"/>
      <c r="RF17" s="17"/>
      <c r="RG17" s="17"/>
      <c r="RH17" s="17"/>
      <c r="RI17" s="17"/>
      <c r="RJ17" s="17"/>
      <c r="RK17" s="17"/>
      <c r="RL17" s="17"/>
      <c r="RM17" s="17"/>
      <c r="RN17" s="17"/>
      <c r="RO17" s="17"/>
      <c r="RP17" s="17"/>
      <c r="RQ17" s="17"/>
      <c r="RR17" s="17"/>
      <c r="RS17" s="17"/>
      <c r="RT17" s="17"/>
      <c r="RU17" s="17"/>
      <c r="RV17" s="17"/>
      <c r="RW17" s="17"/>
      <c r="RX17" s="17"/>
      <c r="RY17" s="17"/>
      <c r="RZ17" s="17"/>
      <c r="SA17" s="17"/>
      <c r="SB17" s="17"/>
      <c r="SC17" s="17"/>
      <c r="SD17" s="17"/>
      <c r="SE17" s="17"/>
      <c r="SF17" s="17"/>
      <c r="SG17" s="17"/>
      <c r="SH17" s="17"/>
      <c r="SI17" s="17"/>
      <c r="SJ17" s="17"/>
      <c r="SK17" s="17"/>
      <c r="SL17" s="17"/>
      <c r="SM17" s="17"/>
      <c r="SN17" s="17"/>
      <c r="SO17" s="17"/>
      <c r="SP17" s="17"/>
      <c r="SQ17" s="17"/>
      <c r="SR17" s="17"/>
      <c r="SS17" s="17"/>
      <c r="ST17" s="17"/>
      <c r="SU17" s="17"/>
      <c r="SV17" s="17"/>
      <c r="SW17" s="17"/>
      <c r="SX17" s="17"/>
      <c r="SY17" s="17"/>
      <c r="SZ17" s="17"/>
      <c r="TA17" s="17"/>
      <c r="TB17" s="17"/>
      <c r="TC17" s="17"/>
      <c r="TD17" s="17"/>
      <c r="TE17" s="17"/>
      <c r="TF17" s="17"/>
      <c r="TG17" s="17"/>
      <c r="TH17" s="17"/>
      <c r="TI17" s="17"/>
      <c r="TJ17" s="17"/>
      <c r="TK17" s="17"/>
      <c r="TL17" s="17"/>
      <c r="TM17" s="17"/>
      <c r="TN17" s="17"/>
      <c r="TO17" s="17"/>
      <c r="TP17" s="17"/>
      <c r="TQ17" s="17"/>
      <c r="TR17" s="17"/>
      <c r="TS17" s="17"/>
      <c r="TT17" s="17"/>
      <c r="TU17" s="17"/>
      <c r="TV17" s="17"/>
      <c r="TW17" s="17"/>
      <c r="TX17" s="17"/>
      <c r="TY17" s="17"/>
      <c r="TZ17" s="17"/>
      <c r="UA17" s="17"/>
      <c r="UB17" s="17"/>
      <c r="UC17" s="17"/>
      <c r="UD17" s="17"/>
      <c r="UE17" s="17"/>
      <c r="UF17" s="17"/>
      <c r="UG17" s="17"/>
      <c r="UH17" s="17"/>
      <c r="UI17" s="17"/>
      <c r="UJ17" s="17"/>
      <c r="UK17" s="17"/>
      <c r="UL17" s="17"/>
      <c r="UM17" s="17"/>
      <c r="UN17" s="17"/>
      <c r="UO17" s="17"/>
      <c r="UP17" s="17"/>
      <c r="UQ17" s="17"/>
      <c r="UR17" s="17"/>
      <c r="US17" s="17"/>
      <c r="UT17" s="17"/>
      <c r="UU17" s="17"/>
      <c r="UV17" s="17"/>
      <c r="UW17" s="17"/>
      <c r="UX17" s="17"/>
      <c r="UY17" s="17"/>
      <c r="UZ17" s="17"/>
      <c r="VA17" s="17"/>
      <c r="VB17" s="17"/>
      <c r="VC17" s="17"/>
      <c r="VD17" s="17"/>
      <c r="VE17" s="17"/>
      <c r="VF17" s="17"/>
      <c r="VG17" s="17"/>
      <c r="VH17" s="17"/>
      <c r="VI17" s="17"/>
      <c r="VJ17" s="17"/>
      <c r="VK17" s="17"/>
      <c r="VL17" s="17"/>
      <c r="VM17" s="17"/>
      <c r="VN17" s="17"/>
      <c r="VO17" s="17"/>
      <c r="VP17" s="17"/>
      <c r="VQ17" s="17"/>
      <c r="VR17" s="17"/>
      <c r="VS17" s="17"/>
      <c r="VT17" s="17"/>
      <c r="VU17" s="17"/>
      <c r="VV17" s="17"/>
      <c r="VW17" s="17"/>
      <c r="VX17" s="17"/>
      <c r="VY17" s="17"/>
      <c r="VZ17" s="17"/>
      <c r="WA17" s="17"/>
      <c r="WB17" s="17"/>
      <c r="WC17" s="17"/>
      <c r="WD17" s="17"/>
      <c r="WE17" s="17"/>
      <c r="WF17" s="17"/>
      <c r="WG17" s="17"/>
      <c r="WH17" s="17"/>
      <c r="WI17" s="17"/>
      <c r="WJ17" s="17"/>
      <c r="WK17" s="17"/>
      <c r="WL17" s="17"/>
      <c r="WM17" s="17"/>
      <c r="WN17" s="17"/>
      <c r="WO17" s="17"/>
      <c r="WP17" s="17"/>
      <c r="WQ17" s="17"/>
      <c r="WR17" s="17"/>
      <c r="WS17" s="17"/>
      <c r="WT17" s="17"/>
      <c r="WU17" s="17"/>
      <c r="WV17" s="17"/>
      <c r="WW17" s="17"/>
      <c r="WX17" s="17"/>
      <c r="WY17" s="17"/>
      <c r="WZ17" s="17"/>
      <c r="XA17" s="17"/>
      <c r="XB17" s="17"/>
      <c r="XC17" s="17"/>
      <c r="XD17" s="17"/>
      <c r="XE17" s="17"/>
      <c r="XF17" s="17"/>
      <c r="XG17" s="17"/>
      <c r="XH17" s="17"/>
      <c r="XI17" s="17"/>
      <c r="XJ17" s="17"/>
      <c r="XK17" s="17"/>
      <c r="XL17" s="17"/>
      <c r="XM17" s="17"/>
      <c r="XN17" s="17"/>
      <c r="XO17" s="17"/>
      <c r="XP17" s="17"/>
      <c r="XQ17" s="17"/>
      <c r="XR17" s="17"/>
      <c r="XS17" s="17"/>
      <c r="XT17" s="17"/>
      <c r="XU17" s="17"/>
      <c r="XV17" s="17"/>
      <c r="XW17" s="17"/>
      <c r="XX17" s="17"/>
      <c r="XY17" s="17"/>
      <c r="XZ17" s="17"/>
      <c r="YA17" s="17"/>
      <c r="YB17" s="17"/>
      <c r="YC17" s="17"/>
      <c r="YD17" s="17"/>
      <c r="YE17" s="17"/>
      <c r="YF17" s="17"/>
      <c r="YG17" s="17"/>
      <c r="YH17" s="17"/>
      <c r="YI17" s="17"/>
      <c r="YJ17" s="17"/>
      <c r="YK17" s="17"/>
      <c r="YL17" s="17"/>
      <c r="YM17" s="17"/>
      <c r="YN17" s="17"/>
      <c r="YO17" s="17"/>
      <c r="YP17" s="17"/>
      <c r="YQ17" s="17"/>
      <c r="YR17" s="17"/>
      <c r="YS17" s="17"/>
      <c r="YT17" s="17"/>
      <c r="YU17" s="17"/>
      <c r="YV17" s="17"/>
      <c r="YW17" s="17"/>
      <c r="YX17" s="17"/>
      <c r="YY17" s="17"/>
      <c r="YZ17" s="17"/>
      <c r="ZA17" s="17"/>
      <c r="ZB17" s="17"/>
      <c r="ZC17" s="17"/>
      <c r="ZD17" s="17"/>
      <c r="ZE17" s="17"/>
      <c r="ZF17" s="17"/>
      <c r="ZG17" s="17"/>
      <c r="ZH17" s="17"/>
      <c r="ZI17" s="17"/>
      <c r="ZJ17" s="17"/>
      <c r="ZK17" s="17"/>
      <c r="ZL17" s="17"/>
      <c r="ZM17" s="17"/>
      <c r="ZN17" s="17"/>
      <c r="ZO17" s="17"/>
      <c r="ZP17" s="17"/>
      <c r="ZQ17" s="17"/>
      <c r="ZR17" s="17"/>
      <c r="ZS17" s="17"/>
      <c r="ZT17" s="17"/>
      <c r="ZU17" s="17"/>
      <c r="ZV17" s="17"/>
      <c r="ZW17" s="17"/>
      <c r="ZX17" s="17"/>
      <c r="ZY17" s="17"/>
      <c r="ZZ17" s="17"/>
    </row>
    <row r="18" spans="1:702" s="33" customFormat="1" x14ac:dyDescent="0.25">
      <c r="A18" s="30" t="str">
        <f>IF(COUNTA(B18:B18)=0,"", MAX(A$2:A17)+1)</f>
        <v/>
      </c>
      <c r="C18" s="34"/>
      <c r="D18" s="63"/>
      <c r="M18" s="34"/>
      <c r="Q18" s="34"/>
      <c r="U18" s="17"/>
      <c r="V18" s="62"/>
      <c r="W18" s="97"/>
      <c r="Z18" s="30" t="str">
        <f t="shared" si="0"/>
        <v/>
      </c>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c r="EN18" s="17"/>
      <c r="EO18" s="17"/>
      <c r="EP18" s="17"/>
      <c r="EQ18" s="17"/>
      <c r="ER18" s="17"/>
      <c r="ES18" s="17"/>
      <c r="ET18" s="17"/>
      <c r="EU18" s="17"/>
      <c r="EV18" s="17"/>
      <c r="EW18" s="17"/>
      <c r="EX18" s="17"/>
      <c r="EY18" s="17"/>
      <c r="EZ18" s="17"/>
      <c r="FA18" s="17"/>
      <c r="FB18" s="17"/>
      <c r="FC18" s="17"/>
      <c r="FD18" s="17"/>
      <c r="FE18" s="17"/>
      <c r="FF18" s="17"/>
      <c r="FG18" s="17"/>
      <c r="FH18" s="17"/>
      <c r="FI18" s="17"/>
      <c r="FJ18" s="17"/>
      <c r="FK18" s="17"/>
      <c r="FL18" s="17"/>
      <c r="FM18" s="17"/>
      <c r="FN18" s="17"/>
      <c r="FO18" s="17"/>
      <c r="FP18" s="17"/>
      <c r="FQ18" s="17"/>
      <c r="FR18" s="17"/>
      <c r="FS18" s="17"/>
      <c r="FT18" s="17"/>
      <c r="FU18" s="17"/>
      <c r="FV18" s="17"/>
      <c r="FW18" s="17"/>
      <c r="FX18" s="17"/>
      <c r="FY18" s="17"/>
      <c r="FZ18" s="17"/>
      <c r="GA18" s="17"/>
      <c r="GB18" s="17"/>
      <c r="GC18" s="17"/>
      <c r="GD18" s="17"/>
      <c r="GE18" s="17"/>
      <c r="GF18" s="17"/>
      <c r="GG18" s="17"/>
      <c r="GH18" s="17"/>
      <c r="GI18" s="17"/>
      <c r="GJ18" s="17"/>
      <c r="GK18" s="17"/>
      <c r="GL18" s="17"/>
      <c r="GM18" s="17"/>
      <c r="GN18" s="17"/>
      <c r="GO18" s="17"/>
      <c r="GP18" s="17"/>
      <c r="GQ18" s="17"/>
      <c r="GR18" s="17"/>
      <c r="GS18" s="17"/>
      <c r="GT18" s="17"/>
      <c r="GU18" s="17"/>
      <c r="GV18" s="17"/>
      <c r="GW18" s="17"/>
      <c r="GX18" s="17"/>
      <c r="GY18" s="17"/>
      <c r="GZ18" s="17"/>
      <c r="HA18" s="17"/>
      <c r="HB18" s="17"/>
      <c r="HC18" s="17"/>
      <c r="HD18" s="17"/>
      <c r="HE18" s="17"/>
      <c r="HF18" s="17"/>
      <c r="HG18" s="17"/>
      <c r="HH18" s="17"/>
      <c r="HI18" s="17"/>
      <c r="HJ18" s="17"/>
      <c r="HK18" s="17"/>
      <c r="HL18" s="17"/>
      <c r="HM18" s="17"/>
      <c r="HN18" s="17"/>
      <c r="HO18" s="17"/>
      <c r="HP18" s="17"/>
      <c r="HQ18" s="17"/>
      <c r="HR18" s="17"/>
      <c r="HS18" s="17"/>
      <c r="HT18" s="17"/>
      <c r="HU18" s="17"/>
      <c r="HV18" s="17"/>
      <c r="HW18" s="17"/>
      <c r="HX18" s="17"/>
      <c r="HY18" s="17"/>
      <c r="HZ18" s="17"/>
      <c r="IA18" s="17"/>
      <c r="IB18" s="17"/>
      <c r="IC18" s="17"/>
      <c r="ID18" s="17"/>
      <c r="IE18" s="17"/>
      <c r="IF18" s="17"/>
      <c r="IG18" s="17"/>
      <c r="IH18" s="17"/>
      <c r="II18" s="17"/>
      <c r="IJ18" s="17"/>
      <c r="IK18" s="17"/>
      <c r="IL18" s="17"/>
      <c r="IM18" s="17"/>
      <c r="IN18" s="17"/>
      <c r="IO18" s="17"/>
      <c r="IP18" s="17"/>
      <c r="IQ18" s="17"/>
      <c r="IR18" s="17"/>
      <c r="IS18" s="17"/>
      <c r="IT18" s="17"/>
      <c r="IU18" s="17"/>
      <c r="IV18" s="17"/>
      <c r="IW18" s="17"/>
      <c r="IX18" s="17"/>
      <c r="IY18" s="17"/>
      <c r="IZ18" s="17"/>
      <c r="JA18" s="17"/>
      <c r="JB18" s="17"/>
      <c r="JC18" s="17"/>
      <c r="JD18" s="17"/>
      <c r="JE18" s="17"/>
      <c r="JF18" s="17"/>
      <c r="JG18" s="17"/>
      <c r="JH18" s="17"/>
      <c r="JI18" s="17"/>
      <c r="JJ18" s="17"/>
      <c r="JK18" s="17"/>
      <c r="JL18" s="17"/>
      <c r="JM18" s="17"/>
      <c r="JN18" s="17"/>
      <c r="JO18" s="17"/>
      <c r="JP18" s="17"/>
      <c r="JQ18" s="17"/>
      <c r="JR18" s="17"/>
      <c r="JS18" s="17"/>
      <c r="JT18" s="17"/>
      <c r="JU18" s="17"/>
      <c r="JV18" s="17"/>
      <c r="JW18" s="17"/>
      <c r="JX18" s="17"/>
      <c r="JY18" s="17"/>
      <c r="JZ18" s="17"/>
      <c r="KA18" s="17"/>
      <c r="KB18" s="17"/>
      <c r="KC18" s="17"/>
      <c r="KD18" s="17"/>
      <c r="KE18" s="17"/>
      <c r="KF18" s="17"/>
      <c r="KG18" s="17"/>
      <c r="KH18" s="17"/>
      <c r="KI18" s="17"/>
      <c r="KJ18" s="17"/>
      <c r="KK18" s="17"/>
      <c r="KL18" s="17"/>
      <c r="KM18" s="17"/>
      <c r="KN18" s="17"/>
      <c r="KO18" s="17"/>
      <c r="KP18" s="17"/>
      <c r="KQ18" s="17"/>
      <c r="KR18" s="17"/>
      <c r="KS18" s="17"/>
      <c r="KT18" s="17"/>
      <c r="KU18" s="17"/>
      <c r="KV18" s="17"/>
      <c r="KW18" s="17"/>
      <c r="KX18" s="17"/>
      <c r="KY18" s="17"/>
      <c r="KZ18" s="17"/>
      <c r="LA18" s="17"/>
      <c r="LB18" s="17"/>
      <c r="LC18" s="17"/>
      <c r="LD18" s="17"/>
      <c r="LE18" s="17"/>
      <c r="LF18" s="17"/>
      <c r="LG18" s="17"/>
      <c r="LH18" s="17"/>
      <c r="LI18" s="17"/>
      <c r="LJ18" s="17"/>
      <c r="LK18" s="17"/>
      <c r="LL18" s="17"/>
      <c r="LM18" s="17"/>
      <c r="LN18" s="17"/>
      <c r="LO18" s="17"/>
      <c r="LP18" s="17"/>
      <c r="LQ18" s="17"/>
      <c r="LR18" s="17"/>
      <c r="LS18" s="17"/>
      <c r="LT18" s="17"/>
      <c r="LU18" s="17"/>
      <c r="LV18" s="17"/>
      <c r="LW18" s="17"/>
      <c r="LX18" s="17"/>
      <c r="LY18" s="17"/>
      <c r="LZ18" s="17"/>
      <c r="MA18" s="17"/>
      <c r="MB18" s="17"/>
      <c r="MC18" s="17"/>
      <c r="MD18" s="17"/>
      <c r="ME18" s="17"/>
      <c r="MF18" s="17"/>
      <c r="MG18" s="17"/>
      <c r="MH18" s="17"/>
      <c r="MI18" s="17"/>
      <c r="MJ18" s="17"/>
      <c r="MK18" s="17"/>
      <c r="ML18" s="17"/>
      <c r="MM18" s="17"/>
      <c r="MN18" s="17"/>
      <c r="MO18" s="17"/>
      <c r="MP18" s="17"/>
      <c r="MQ18" s="17"/>
      <c r="MR18" s="17"/>
      <c r="MS18" s="17"/>
      <c r="MT18" s="17"/>
      <c r="MU18" s="17"/>
      <c r="MV18" s="17"/>
      <c r="MW18" s="17"/>
      <c r="MX18" s="17"/>
      <c r="MY18" s="17"/>
      <c r="MZ18" s="17"/>
      <c r="NA18" s="17"/>
      <c r="NB18" s="17"/>
      <c r="NC18" s="17"/>
      <c r="ND18" s="17"/>
      <c r="NE18" s="17"/>
      <c r="NF18" s="17"/>
      <c r="NG18" s="17"/>
      <c r="NH18" s="17"/>
      <c r="NI18" s="17"/>
      <c r="NJ18" s="17"/>
      <c r="NK18" s="17"/>
      <c r="NL18" s="17"/>
      <c r="NM18" s="17"/>
      <c r="NN18" s="17"/>
      <c r="NO18" s="17"/>
      <c r="NP18" s="17"/>
      <c r="NQ18" s="17"/>
      <c r="NR18" s="17"/>
      <c r="NS18" s="17"/>
      <c r="NT18" s="17"/>
      <c r="NU18" s="17"/>
      <c r="NV18" s="17"/>
      <c r="NW18" s="17"/>
      <c r="NX18" s="17"/>
      <c r="NY18" s="17"/>
      <c r="NZ18" s="17"/>
      <c r="OA18" s="17"/>
      <c r="OB18" s="17"/>
      <c r="OC18" s="17"/>
      <c r="OD18" s="17"/>
      <c r="OE18" s="17"/>
      <c r="OF18" s="17"/>
      <c r="OG18" s="17"/>
      <c r="OH18" s="17"/>
      <c r="OI18" s="17"/>
      <c r="OJ18" s="17"/>
      <c r="OK18" s="17"/>
      <c r="OL18" s="17"/>
      <c r="OM18" s="17"/>
      <c r="ON18" s="17"/>
      <c r="OO18" s="17"/>
      <c r="OP18" s="17"/>
      <c r="OQ18" s="17"/>
      <c r="OR18" s="17"/>
      <c r="OS18" s="17"/>
      <c r="OT18" s="17"/>
      <c r="OU18" s="17"/>
      <c r="OV18" s="17"/>
      <c r="OW18" s="17"/>
      <c r="OX18" s="17"/>
      <c r="OY18" s="17"/>
      <c r="OZ18" s="17"/>
      <c r="PA18" s="17"/>
      <c r="PB18" s="17"/>
      <c r="PC18" s="17"/>
      <c r="PD18" s="17"/>
      <c r="PE18" s="17"/>
      <c r="PF18" s="17"/>
      <c r="PG18" s="17"/>
      <c r="PH18" s="17"/>
      <c r="PI18" s="17"/>
      <c r="PJ18" s="17"/>
      <c r="PK18" s="17"/>
      <c r="PL18" s="17"/>
      <c r="PM18" s="17"/>
      <c r="PN18" s="17"/>
      <c r="PO18" s="17"/>
      <c r="PP18" s="17"/>
      <c r="PQ18" s="17"/>
      <c r="PR18" s="17"/>
      <c r="PS18" s="17"/>
      <c r="PT18" s="17"/>
      <c r="PU18" s="17"/>
      <c r="PV18" s="17"/>
      <c r="PW18" s="17"/>
      <c r="PX18" s="17"/>
      <c r="PY18" s="17"/>
      <c r="PZ18" s="17"/>
      <c r="QA18" s="17"/>
      <c r="QB18" s="17"/>
      <c r="QC18" s="17"/>
      <c r="QD18" s="17"/>
      <c r="QE18" s="17"/>
      <c r="QF18" s="17"/>
      <c r="QG18" s="17"/>
      <c r="QH18" s="17"/>
      <c r="QI18" s="17"/>
      <c r="QJ18" s="17"/>
      <c r="QK18" s="17"/>
      <c r="QL18" s="17"/>
      <c r="QM18" s="17"/>
      <c r="QN18" s="17"/>
      <c r="QO18" s="17"/>
      <c r="QP18" s="17"/>
      <c r="QQ18" s="17"/>
      <c r="QR18" s="17"/>
      <c r="QS18" s="17"/>
      <c r="QT18" s="17"/>
      <c r="QU18" s="17"/>
      <c r="QV18" s="17"/>
      <c r="QW18" s="17"/>
      <c r="QX18" s="17"/>
      <c r="QY18" s="17"/>
      <c r="QZ18" s="17"/>
      <c r="RA18" s="17"/>
      <c r="RB18" s="17"/>
      <c r="RC18" s="17"/>
      <c r="RD18" s="17"/>
      <c r="RE18" s="17"/>
      <c r="RF18" s="17"/>
      <c r="RG18" s="17"/>
      <c r="RH18" s="17"/>
      <c r="RI18" s="17"/>
      <c r="RJ18" s="17"/>
      <c r="RK18" s="17"/>
      <c r="RL18" s="17"/>
      <c r="RM18" s="17"/>
      <c r="RN18" s="17"/>
      <c r="RO18" s="17"/>
      <c r="RP18" s="17"/>
      <c r="RQ18" s="17"/>
      <c r="RR18" s="17"/>
      <c r="RS18" s="17"/>
      <c r="RT18" s="17"/>
      <c r="RU18" s="17"/>
      <c r="RV18" s="17"/>
      <c r="RW18" s="17"/>
      <c r="RX18" s="17"/>
      <c r="RY18" s="17"/>
      <c r="RZ18" s="17"/>
      <c r="SA18" s="17"/>
      <c r="SB18" s="17"/>
      <c r="SC18" s="17"/>
      <c r="SD18" s="17"/>
      <c r="SE18" s="17"/>
      <c r="SF18" s="17"/>
      <c r="SG18" s="17"/>
      <c r="SH18" s="17"/>
      <c r="SI18" s="17"/>
      <c r="SJ18" s="17"/>
      <c r="SK18" s="17"/>
      <c r="SL18" s="17"/>
      <c r="SM18" s="17"/>
      <c r="SN18" s="17"/>
      <c r="SO18" s="17"/>
      <c r="SP18" s="17"/>
      <c r="SQ18" s="17"/>
      <c r="SR18" s="17"/>
      <c r="SS18" s="17"/>
      <c r="ST18" s="17"/>
      <c r="SU18" s="17"/>
      <c r="SV18" s="17"/>
      <c r="SW18" s="17"/>
      <c r="SX18" s="17"/>
      <c r="SY18" s="17"/>
      <c r="SZ18" s="17"/>
      <c r="TA18" s="17"/>
      <c r="TB18" s="17"/>
      <c r="TC18" s="17"/>
      <c r="TD18" s="17"/>
      <c r="TE18" s="17"/>
      <c r="TF18" s="17"/>
      <c r="TG18" s="17"/>
      <c r="TH18" s="17"/>
      <c r="TI18" s="17"/>
      <c r="TJ18" s="17"/>
      <c r="TK18" s="17"/>
      <c r="TL18" s="17"/>
      <c r="TM18" s="17"/>
      <c r="TN18" s="17"/>
      <c r="TO18" s="17"/>
      <c r="TP18" s="17"/>
      <c r="TQ18" s="17"/>
      <c r="TR18" s="17"/>
      <c r="TS18" s="17"/>
      <c r="TT18" s="17"/>
      <c r="TU18" s="17"/>
      <c r="TV18" s="17"/>
      <c r="TW18" s="17"/>
      <c r="TX18" s="17"/>
      <c r="TY18" s="17"/>
      <c r="TZ18" s="17"/>
      <c r="UA18" s="17"/>
      <c r="UB18" s="17"/>
      <c r="UC18" s="17"/>
      <c r="UD18" s="17"/>
      <c r="UE18" s="17"/>
      <c r="UF18" s="17"/>
      <c r="UG18" s="17"/>
      <c r="UH18" s="17"/>
      <c r="UI18" s="17"/>
      <c r="UJ18" s="17"/>
      <c r="UK18" s="17"/>
      <c r="UL18" s="17"/>
      <c r="UM18" s="17"/>
      <c r="UN18" s="17"/>
      <c r="UO18" s="17"/>
      <c r="UP18" s="17"/>
      <c r="UQ18" s="17"/>
      <c r="UR18" s="17"/>
      <c r="US18" s="17"/>
      <c r="UT18" s="17"/>
      <c r="UU18" s="17"/>
      <c r="UV18" s="17"/>
      <c r="UW18" s="17"/>
      <c r="UX18" s="17"/>
      <c r="UY18" s="17"/>
      <c r="UZ18" s="17"/>
      <c r="VA18" s="17"/>
      <c r="VB18" s="17"/>
      <c r="VC18" s="17"/>
      <c r="VD18" s="17"/>
      <c r="VE18" s="17"/>
      <c r="VF18" s="17"/>
      <c r="VG18" s="17"/>
      <c r="VH18" s="17"/>
      <c r="VI18" s="17"/>
      <c r="VJ18" s="17"/>
      <c r="VK18" s="17"/>
      <c r="VL18" s="17"/>
      <c r="VM18" s="17"/>
      <c r="VN18" s="17"/>
      <c r="VO18" s="17"/>
      <c r="VP18" s="17"/>
      <c r="VQ18" s="17"/>
      <c r="VR18" s="17"/>
      <c r="VS18" s="17"/>
      <c r="VT18" s="17"/>
      <c r="VU18" s="17"/>
      <c r="VV18" s="17"/>
      <c r="VW18" s="17"/>
      <c r="VX18" s="17"/>
      <c r="VY18" s="17"/>
      <c r="VZ18" s="17"/>
      <c r="WA18" s="17"/>
      <c r="WB18" s="17"/>
      <c r="WC18" s="17"/>
      <c r="WD18" s="17"/>
      <c r="WE18" s="17"/>
      <c r="WF18" s="17"/>
      <c r="WG18" s="17"/>
      <c r="WH18" s="17"/>
      <c r="WI18" s="17"/>
      <c r="WJ18" s="17"/>
      <c r="WK18" s="17"/>
      <c r="WL18" s="17"/>
      <c r="WM18" s="17"/>
      <c r="WN18" s="17"/>
      <c r="WO18" s="17"/>
      <c r="WP18" s="17"/>
      <c r="WQ18" s="17"/>
      <c r="WR18" s="17"/>
      <c r="WS18" s="17"/>
      <c r="WT18" s="17"/>
      <c r="WU18" s="17"/>
      <c r="WV18" s="17"/>
      <c r="WW18" s="17"/>
      <c r="WX18" s="17"/>
      <c r="WY18" s="17"/>
      <c r="WZ18" s="17"/>
      <c r="XA18" s="17"/>
      <c r="XB18" s="17"/>
      <c r="XC18" s="17"/>
      <c r="XD18" s="17"/>
      <c r="XE18" s="17"/>
      <c r="XF18" s="17"/>
      <c r="XG18" s="17"/>
      <c r="XH18" s="17"/>
      <c r="XI18" s="17"/>
      <c r="XJ18" s="17"/>
      <c r="XK18" s="17"/>
      <c r="XL18" s="17"/>
      <c r="XM18" s="17"/>
      <c r="XN18" s="17"/>
      <c r="XO18" s="17"/>
      <c r="XP18" s="17"/>
      <c r="XQ18" s="17"/>
      <c r="XR18" s="17"/>
      <c r="XS18" s="17"/>
      <c r="XT18" s="17"/>
      <c r="XU18" s="17"/>
      <c r="XV18" s="17"/>
      <c r="XW18" s="17"/>
      <c r="XX18" s="17"/>
      <c r="XY18" s="17"/>
      <c r="XZ18" s="17"/>
      <c r="YA18" s="17"/>
      <c r="YB18" s="17"/>
      <c r="YC18" s="17"/>
      <c r="YD18" s="17"/>
      <c r="YE18" s="17"/>
      <c r="YF18" s="17"/>
      <c r="YG18" s="17"/>
      <c r="YH18" s="17"/>
      <c r="YI18" s="17"/>
      <c r="YJ18" s="17"/>
      <c r="YK18" s="17"/>
      <c r="YL18" s="17"/>
      <c r="YM18" s="17"/>
      <c r="YN18" s="17"/>
      <c r="YO18" s="17"/>
      <c r="YP18" s="17"/>
      <c r="YQ18" s="17"/>
      <c r="YR18" s="17"/>
      <c r="YS18" s="17"/>
      <c r="YT18" s="17"/>
      <c r="YU18" s="17"/>
      <c r="YV18" s="17"/>
      <c r="YW18" s="17"/>
      <c r="YX18" s="17"/>
      <c r="YY18" s="17"/>
      <c r="YZ18" s="17"/>
      <c r="ZA18" s="17"/>
      <c r="ZB18" s="17"/>
      <c r="ZC18" s="17"/>
      <c r="ZD18" s="17"/>
      <c r="ZE18" s="17"/>
      <c r="ZF18" s="17"/>
      <c r="ZG18" s="17"/>
      <c r="ZH18" s="17"/>
      <c r="ZI18" s="17"/>
      <c r="ZJ18" s="17"/>
      <c r="ZK18" s="17"/>
      <c r="ZL18" s="17"/>
      <c r="ZM18" s="17"/>
      <c r="ZN18" s="17"/>
      <c r="ZO18" s="17"/>
      <c r="ZP18" s="17"/>
      <c r="ZQ18" s="17"/>
      <c r="ZR18" s="17"/>
      <c r="ZS18" s="17"/>
      <c r="ZT18" s="17"/>
      <c r="ZU18" s="17"/>
      <c r="ZV18" s="17"/>
      <c r="ZW18" s="17"/>
      <c r="ZX18" s="17"/>
      <c r="ZY18" s="17"/>
      <c r="ZZ18" s="17"/>
    </row>
    <row r="19" spans="1:702" s="33" customFormat="1" x14ac:dyDescent="0.25">
      <c r="A19" s="30" t="str">
        <f>IF(COUNTA(B19:B19)=0,"", MAX(A$2:A18)+1)</f>
        <v/>
      </c>
      <c r="C19" s="34"/>
      <c r="D19" s="63"/>
      <c r="M19" s="34"/>
      <c r="Q19" s="34"/>
      <c r="U19" s="17"/>
      <c r="V19" s="62"/>
      <c r="W19" s="97"/>
      <c r="Z19" s="30" t="str">
        <f t="shared" si="0"/>
        <v/>
      </c>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c r="EN19" s="17"/>
      <c r="EO19" s="17"/>
      <c r="EP19" s="17"/>
      <c r="EQ19" s="17"/>
      <c r="ER19" s="17"/>
      <c r="ES19" s="17"/>
      <c r="ET19" s="17"/>
      <c r="EU19" s="17"/>
      <c r="EV19" s="17"/>
      <c r="EW19" s="17"/>
      <c r="EX19" s="17"/>
      <c r="EY19" s="17"/>
      <c r="EZ19" s="17"/>
      <c r="FA19" s="17"/>
      <c r="FB19" s="17"/>
      <c r="FC19" s="17"/>
      <c r="FD19" s="17"/>
      <c r="FE19" s="17"/>
      <c r="FF19" s="17"/>
      <c r="FG19" s="17"/>
      <c r="FH19" s="17"/>
      <c r="FI19" s="17"/>
      <c r="FJ19" s="17"/>
      <c r="FK19" s="17"/>
      <c r="FL19" s="17"/>
      <c r="FM19" s="17"/>
      <c r="FN19" s="17"/>
      <c r="FO19" s="17"/>
      <c r="FP19" s="17"/>
      <c r="FQ19" s="17"/>
      <c r="FR19" s="17"/>
      <c r="FS19" s="17"/>
      <c r="FT19" s="17"/>
      <c r="FU19" s="17"/>
      <c r="FV19" s="17"/>
      <c r="FW19" s="17"/>
      <c r="FX19" s="17"/>
      <c r="FY19" s="17"/>
      <c r="FZ19" s="17"/>
      <c r="GA19" s="17"/>
      <c r="GB19" s="17"/>
      <c r="GC19" s="17"/>
      <c r="GD19" s="17"/>
      <c r="GE19" s="17"/>
      <c r="GF19" s="17"/>
      <c r="GG19" s="17"/>
      <c r="GH19" s="17"/>
      <c r="GI19" s="17"/>
      <c r="GJ19" s="17"/>
      <c r="GK19" s="17"/>
      <c r="GL19" s="17"/>
      <c r="GM19" s="17"/>
      <c r="GN19" s="17"/>
      <c r="GO19" s="17"/>
      <c r="GP19" s="17"/>
      <c r="GQ19" s="17"/>
      <c r="GR19" s="17"/>
      <c r="GS19" s="17"/>
      <c r="GT19" s="17"/>
      <c r="GU19" s="17"/>
      <c r="GV19" s="17"/>
      <c r="GW19" s="17"/>
      <c r="GX19" s="17"/>
      <c r="GY19" s="17"/>
      <c r="GZ19" s="17"/>
      <c r="HA19" s="17"/>
      <c r="HB19" s="17"/>
      <c r="HC19" s="17"/>
      <c r="HD19" s="17"/>
      <c r="HE19" s="17"/>
      <c r="HF19" s="17"/>
      <c r="HG19" s="17"/>
      <c r="HH19" s="17"/>
      <c r="HI19" s="17"/>
      <c r="HJ19" s="17"/>
      <c r="HK19" s="17"/>
      <c r="HL19" s="17"/>
      <c r="HM19" s="17"/>
      <c r="HN19" s="17"/>
      <c r="HO19" s="17"/>
      <c r="HP19" s="17"/>
      <c r="HQ19" s="17"/>
      <c r="HR19" s="17"/>
      <c r="HS19" s="17"/>
      <c r="HT19" s="17"/>
      <c r="HU19" s="17"/>
      <c r="HV19" s="17"/>
      <c r="HW19" s="17"/>
      <c r="HX19" s="17"/>
      <c r="HY19" s="17"/>
      <c r="HZ19" s="17"/>
      <c r="IA19" s="17"/>
      <c r="IB19" s="17"/>
      <c r="IC19" s="17"/>
      <c r="ID19" s="17"/>
      <c r="IE19" s="17"/>
      <c r="IF19" s="17"/>
      <c r="IG19" s="17"/>
      <c r="IH19" s="17"/>
      <c r="II19" s="17"/>
      <c r="IJ19" s="17"/>
      <c r="IK19" s="17"/>
      <c r="IL19" s="17"/>
      <c r="IM19" s="17"/>
      <c r="IN19" s="17"/>
      <c r="IO19" s="17"/>
      <c r="IP19" s="17"/>
      <c r="IQ19" s="17"/>
      <c r="IR19" s="17"/>
      <c r="IS19" s="17"/>
      <c r="IT19" s="17"/>
      <c r="IU19" s="17"/>
      <c r="IV19" s="17"/>
      <c r="IW19" s="17"/>
      <c r="IX19" s="17"/>
      <c r="IY19" s="17"/>
      <c r="IZ19" s="17"/>
      <c r="JA19" s="17"/>
      <c r="JB19" s="17"/>
      <c r="JC19" s="17"/>
      <c r="JD19" s="17"/>
      <c r="JE19" s="17"/>
      <c r="JF19" s="17"/>
      <c r="JG19" s="17"/>
      <c r="JH19" s="17"/>
      <c r="JI19" s="17"/>
      <c r="JJ19" s="17"/>
      <c r="JK19" s="17"/>
      <c r="JL19" s="17"/>
      <c r="JM19" s="17"/>
      <c r="JN19" s="17"/>
      <c r="JO19" s="17"/>
      <c r="JP19" s="17"/>
      <c r="JQ19" s="17"/>
      <c r="JR19" s="17"/>
      <c r="JS19" s="17"/>
      <c r="JT19" s="17"/>
      <c r="JU19" s="17"/>
      <c r="JV19" s="17"/>
      <c r="JW19" s="17"/>
      <c r="JX19" s="17"/>
      <c r="JY19" s="17"/>
      <c r="JZ19" s="17"/>
      <c r="KA19" s="17"/>
      <c r="KB19" s="17"/>
      <c r="KC19" s="17"/>
      <c r="KD19" s="17"/>
      <c r="KE19" s="17"/>
      <c r="KF19" s="17"/>
      <c r="KG19" s="17"/>
      <c r="KH19" s="17"/>
      <c r="KI19" s="17"/>
      <c r="KJ19" s="17"/>
      <c r="KK19" s="17"/>
      <c r="KL19" s="17"/>
      <c r="KM19" s="17"/>
      <c r="KN19" s="17"/>
      <c r="KO19" s="17"/>
      <c r="KP19" s="17"/>
      <c r="KQ19" s="17"/>
      <c r="KR19" s="17"/>
      <c r="KS19" s="17"/>
      <c r="KT19" s="17"/>
      <c r="KU19" s="17"/>
      <c r="KV19" s="17"/>
      <c r="KW19" s="17"/>
      <c r="KX19" s="17"/>
      <c r="KY19" s="17"/>
      <c r="KZ19" s="17"/>
      <c r="LA19" s="17"/>
      <c r="LB19" s="17"/>
      <c r="LC19" s="17"/>
      <c r="LD19" s="17"/>
      <c r="LE19" s="17"/>
      <c r="LF19" s="17"/>
      <c r="LG19" s="17"/>
      <c r="LH19" s="17"/>
      <c r="LI19" s="17"/>
      <c r="LJ19" s="17"/>
      <c r="LK19" s="17"/>
      <c r="LL19" s="17"/>
      <c r="LM19" s="17"/>
      <c r="LN19" s="17"/>
      <c r="LO19" s="17"/>
      <c r="LP19" s="17"/>
      <c r="LQ19" s="17"/>
      <c r="LR19" s="17"/>
      <c r="LS19" s="17"/>
      <c r="LT19" s="17"/>
      <c r="LU19" s="17"/>
      <c r="LV19" s="17"/>
      <c r="LW19" s="17"/>
      <c r="LX19" s="17"/>
      <c r="LY19" s="17"/>
      <c r="LZ19" s="17"/>
      <c r="MA19" s="17"/>
      <c r="MB19" s="17"/>
      <c r="MC19" s="17"/>
      <c r="MD19" s="17"/>
      <c r="ME19" s="17"/>
      <c r="MF19" s="17"/>
      <c r="MG19" s="17"/>
      <c r="MH19" s="17"/>
      <c r="MI19" s="17"/>
      <c r="MJ19" s="17"/>
      <c r="MK19" s="17"/>
      <c r="ML19" s="17"/>
      <c r="MM19" s="17"/>
      <c r="MN19" s="17"/>
      <c r="MO19" s="17"/>
      <c r="MP19" s="17"/>
      <c r="MQ19" s="17"/>
      <c r="MR19" s="17"/>
      <c r="MS19" s="17"/>
      <c r="MT19" s="17"/>
      <c r="MU19" s="17"/>
      <c r="MV19" s="17"/>
      <c r="MW19" s="17"/>
      <c r="MX19" s="17"/>
      <c r="MY19" s="17"/>
      <c r="MZ19" s="17"/>
      <c r="NA19" s="17"/>
      <c r="NB19" s="17"/>
      <c r="NC19" s="17"/>
      <c r="ND19" s="17"/>
      <c r="NE19" s="17"/>
      <c r="NF19" s="17"/>
      <c r="NG19" s="17"/>
      <c r="NH19" s="17"/>
      <c r="NI19" s="17"/>
      <c r="NJ19" s="17"/>
      <c r="NK19" s="17"/>
      <c r="NL19" s="17"/>
      <c r="NM19" s="17"/>
      <c r="NN19" s="17"/>
      <c r="NO19" s="17"/>
      <c r="NP19" s="17"/>
      <c r="NQ19" s="17"/>
      <c r="NR19" s="17"/>
      <c r="NS19" s="17"/>
      <c r="NT19" s="17"/>
      <c r="NU19" s="17"/>
      <c r="NV19" s="17"/>
      <c r="NW19" s="17"/>
      <c r="NX19" s="17"/>
      <c r="NY19" s="17"/>
      <c r="NZ19" s="17"/>
      <c r="OA19" s="17"/>
      <c r="OB19" s="17"/>
      <c r="OC19" s="17"/>
      <c r="OD19" s="17"/>
      <c r="OE19" s="17"/>
      <c r="OF19" s="17"/>
      <c r="OG19" s="17"/>
      <c r="OH19" s="17"/>
      <c r="OI19" s="17"/>
      <c r="OJ19" s="17"/>
      <c r="OK19" s="17"/>
      <c r="OL19" s="17"/>
      <c r="OM19" s="17"/>
      <c r="ON19" s="17"/>
      <c r="OO19" s="17"/>
      <c r="OP19" s="17"/>
      <c r="OQ19" s="17"/>
      <c r="OR19" s="17"/>
      <c r="OS19" s="17"/>
      <c r="OT19" s="17"/>
      <c r="OU19" s="17"/>
      <c r="OV19" s="17"/>
      <c r="OW19" s="17"/>
      <c r="OX19" s="17"/>
      <c r="OY19" s="17"/>
      <c r="OZ19" s="17"/>
      <c r="PA19" s="17"/>
      <c r="PB19" s="17"/>
      <c r="PC19" s="17"/>
      <c r="PD19" s="17"/>
      <c r="PE19" s="17"/>
      <c r="PF19" s="17"/>
      <c r="PG19" s="17"/>
      <c r="PH19" s="17"/>
      <c r="PI19" s="17"/>
      <c r="PJ19" s="17"/>
      <c r="PK19" s="17"/>
      <c r="PL19" s="17"/>
      <c r="PM19" s="17"/>
      <c r="PN19" s="17"/>
      <c r="PO19" s="17"/>
      <c r="PP19" s="17"/>
      <c r="PQ19" s="17"/>
      <c r="PR19" s="17"/>
      <c r="PS19" s="17"/>
      <c r="PT19" s="17"/>
      <c r="PU19" s="17"/>
      <c r="PV19" s="17"/>
      <c r="PW19" s="17"/>
      <c r="PX19" s="17"/>
      <c r="PY19" s="17"/>
      <c r="PZ19" s="17"/>
      <c r="QA19" s="17"/>
      <c r="QB19" s="17"/>
      <c r="QC19" s="17"/>
      <c r="QD19" s="17"/>
      <c r="QE19" s="17"/>
      <c r="QF19" s="17"/>
      <c r="QG19" s="17"/>
      <c r="QH19" s="17"/>
      <c r="QI19" s="17"/>
      <c r="QJ19" s="17"/>
      <c r="QK19" s="17"/>
      <c r="QL19" s="17"/>
      <c r="QM19" s="17"/>
      <c r="QN19" s="17"/>
      <c r="QO19" s="17"/>
      <c r="QP19" s="17"/>
      <c r="QQ19" s="17"/>
      <c r="QR19" s="17"/>
      <c r="QS19" s="17"/>
      <c r="QT19" s="17"/>
      <c r="QU19" s="17"/>
      <c r="QV19" s="17"/>
      <c r="QW19" s="17"/>
      <c r="QX19" s="17"/>
      <c r="QY19" s="17"/>
      <c r="QZ19" s="17"/>
      <c r="RA19" s="17"/>
      <c r="RB19" s="17"/>
      <c r="RC19" s="17"/>
      <c r="RD19" s="17"/>
      <c r="RE19" s="17"/>
      <c r="RF19" s="17"/>
      <c r="RG19" s="17"/>
      <c r="RH19" s="17"/>
      <c r="RI19" s="17"/>
      <c r="RJ19" s="17"/>
      <c r="RK19" s="17"/>
      <c r="RL19" s="17"/>
      <c r="RM19" s="17"/>
      <c r="RN19" s="17"/>
      <c r="RO19" s="17"/>
      <c r="RP19" s="17"/>
      <c r="RQ19" s="17"/>
      <c r="RR19" s="17"/>
      <c r="RS19" s="17"/>
      <c r="RT19" s="17"/>
      <c r="RU19" s="17"/>
      <c r="RV19" s="17"/>
      <c r="RW19" s="17"/>
      <c r="RX19" s="17"/>
      <c r="RY19" s="17"/>
      <c r="RZ19" s="17"/>
      <c r="SA19" s="17"/>
      <c r="SB19" s="17"/>
      <c r="SC19" s="17"/>
      <c r="SD19" s="17"/>
      <c r="SE19" s="17"/>
      <c r="SF19" s="17"/>
      <c r="SG19" s="17"/>
      <c r="SH19" s="17"/>
      <c r="SI19" s="17"/>
      <c r="SJ19" s="17"/>
      <c r="SK19" s="17"/>
      <c r="SL19" s="17"/>
      <c r="SM19" s="17"/>
      <c r="SN19" s="17"/>
      <c r="SO19" s="17"/>
      <c r="SP19" s="17"/>
      <c r="SQ19" s="17"/>
      <c r="SR19" s="17"/>
      <c r="SS19" s="17"/>
      <c r="ST19" s="17"/>
      <c r="SU19" s="17"/>
      <c r="SV19" s="17"/>
      <c r="SW19" s="17"/>
      <c r="SX19" s="17"/>
      <c r="SY19" s="17"/>
      <c r="SZ19" s="17"/>
      <c r="TA19" s="17"/>
      <c r="TB19" s="17"/>
      <c r="TC19" s="17"/>
      <c r="TD19" s="17"/>
      <c r="TE19" s="17"/>
      <c r="TF19" s="17"/>
      <c r="TG19" s="17"/>
      <c r="TH19" s="17"/>
      <c r="TI19" s="17"/>
      <c r="TJ19" s="17"/>
      <c r="TK19" s="17"/>
      <c r="TL19" s="17"/>
      <c r="TM19" s="17"/>
      <c r="TN19" s="17"/>
      <c r="TO19" s="17"/>
      <c r="TP19" s="17"/>
      <c r="TQ19" s="17"/>
      <c r="TR19" s="17"/>
      <c r="TS19" s="17"/>
      <c r="TT19" s="17"/>
      <c r="TU19" s="17"/>
      <c r="TV19" s="17"/>
      <c r="TW19" s="17"/>
      <c r="TX19" s="17"/>
      <c r="TY19" s="17"/>
      <c r="TZ19" s="17"/>
      <c r="UA19" s="17"/>
      <c r="UB19" s="17"/>
      <c r="UC19" s="17"/>
      <c r="UD19" s="17"/>
      <c r="UE19" s="17"/>
      <c r="UF19" s="17"/>
      <c r="UG19" s="17"/>
      <c r="UH19" s="17"/>
      <c r="UI19" s="17"/>
      <c r="UJ19" s="17"/>
      <c r="UK19" s="17"/>
      <c r="UL19" s="17"/>
      <c r="UM19" s="17"/>
      <c r="UN19" s="17"/>
      <c r="UO19" s="17"/>
      <c r="UP19" s="17"/>
      <c r="UQ19" s="17"/>
      <c r="UR19" s="17"/>
      <c r="US19" s="17"/>
      <c r="UT19" s="17"/>
      <c r="UU19" s="17"/>
      <c r="UV19" s="17"/>
      <c r="UW19" s="17"/>
      <c r="UX19" s="17"/>
      <c r="UY19" s="17"/>
      <c r="UZ19" s="17"/>
      <c r="VA19" s="17"/>
      <c r="VB19" s="17"/>
      <c r="VC19" s="17"/>
      <c r="VD19" s="17"/>
      <c r="VE19" s="17"/>
      <c r="VF19" s="17"/>
      <c r="VG19" s="17"/>
      <c r="VH19" s="17"/>
      <c r="VI19" s="17"/>
      <c r="VJ19" s="17"/>
      <c r="VK19" s="17"/>
      <c r="VL19" s="17"/>
      <c r="VM19" s="17"/>
      <c r="VN19" s="17"/>
      <c r="VO19" s="17"/>
      <c r="VP19" s="17"/>
      <c r="VQ19" s="17"/>
      <c r="VR19" s="17"/>
      <c r="VS19" s="17"/>
      <c r="VT19" s="17"/>
      <c r="VU19" s="17"/>
      <c r="VV19" s="17"/>
      <c r="VW19" s="17"/>
      <c r="VX19" s="17"/>
      <c r="VY19" s="17"/>
      <c r="VZ19" s="17"/>
      <c r="WA19" s="17"/>
      <c r="WB19" s="17"/>
      <c r="WC19" s="17"/>
      <c r="WD19" s="17"/>
      <c r="WE19" s="17"/>
      <c r="WF19" s="17"/>
      <c r="WG19" s="17"/>
      <c r="WH19" s="17"/>
      <c r="WI19" s="17"/>
      <c r="WJ19" s="17"/>
      <c r="WK19" s="17"/>
      <c r="WL19" s="17"/>
      <c r="WM19" s="17"/>
      <c r="WN19" s="17"/>
      <c r="WO19" s="17"/>
      <c r="WP19" s="17"/>
      <c r="WQ19" s="17"/>
      <c r="WR19" s="17"/>
      <c r="WS19" s="17"/>
      <c r="WT19" s="17"/>
      <c r="WU19" s="17"/>
      <c r="WV19" s="17"/>
      <c r="WW19" s="17"/>
      <c r="WX19" s="17"/>
      <c r="WY19" s="17"/>
      <c r="WZ19" s="17"/>
      <c r="XA19" s="17"/>
      <c r="XB19" s="17"/>
      <c r="XC19" s="17"/>
      <c r="XD19" s="17"/>
      <c r="XE19" s="17"/>
      <c r="XF19" s="17"/>
      <c r="XG19" s="17"/>
      <c r="XH19" s="17"/>
      <c r="XI19" s="17"/>
      <c r="XJ19" s="17"/>
      <c r="XK19" s="17"/>
      <c r="XL19" s="17"/>
      <c r="XM19" s="17"/>
      <c r="XN19" s="17"/>
      <c r="XO19" s="17"/>
      <c r="XP19" s="17"/>
      <c r="XQ19" s="17"/>
      <c r="XR19" s="17"/>
      <c r="XS19" s="17"/>
      <c r="XT19" s="17"/>
      <c r="XU19" s="17"/>
      <c r="XV19" s="17"/>
      <c r="XW19" s="17"/>
      <c r="XX19" s="17"/>
      <c r="XY19" s="17"/>
      <c r="XZ19" s="17"/>
      <c r="YA19" s="17"/>
      <c r="YB19" s="17"/>
      <c r="YC19" s="17"/>
      <c r="YD19" s="17"/>
      <c r="YE19" s="17"/>
      <c r="YF19" s="17"/>
      <c r="YG19" s="17"/>
      <c r="YH19" s="17"/>
      <c r="YI19" s="17"/>
      <c r="YJ19" s="17"/>
      <c r="YK19" s="17"/>
      <c r="YL19" s="17"/>
      <c r="YM19" s="17"/>
      <c r="YN19" s="17"/>
      <c r="YO19" s="17"/>
      <c r="YP19" s="17"/>
      <c r="YQ19" s="17"/>
      <c r="YR19" s="17"/>
      <c r="YS19" s="17"/>
      <c r="YT19" s="17"/>
      <c r="YU19" s="17"/>
      <c r="YV19" s="17"/>
      <c r="YW19" s="17"/>
      <c r="YX19" s="17"/>
      <c r="YY19" s="17"/>
      <c r="YZ19" s="17"/>
      <c r="ZA19" s="17"/>
      <c r="ZB19" s="17"/>
      <c r="ZC19" s="17"/>
      <c r="ZD19" s="17"/>
      <c r="ZE19" s="17"/>
      <c r="ZF19" s="17"/>
      <c r="ZG19" s="17"/>
      <c r="ZH19" s="17"/>
      <c r="ZI19" s="17"/>
      <c r="ZJ19" s="17"/>
      <c r="ZK19" s="17"/>
      <c r="ZL19" s="17"/>
      <c r="ZM19" s="17"/>
      <c r="ZN19" s="17"/>
      <c r="ZO19" s="17"/>
      <c r="ZP19" s="17"/>
      <c r="ZQ19" s="17"/>
      <c r="ZR19" s="17"/>
      <c r="ZS19" s="17"/>
      <c r="ZT19" s="17"/>
      <c r="ZU19" s="17"/>
      <c r="ZV19" s="17"/>
      <c r="ZW19" s="17"/>
      <c r="ZX19" s="17"/>
      <c r="ZY19" s="17"/>
      <c r="ZZ19" s="17"/>
    </row>
    <row r="20" spans="1:702" s="33" customFormat="1" x14ac:dyDescent="0.25">
      <c r="A20" s="30" t="str">
        <f>IF(COUNTA(B20:B20)=0,"", MAX(A$2:A19)+1)</f>
        <v/>
      </c>
      <c r="C20" s="34"/>
      <c r="D20" s="63"/>
      <c r="M20" s="34"/>
      <c r="Q20" s="34"/>
      <c r="U20" s="17"/>
      <c r="V20" s="62"/>
      <c r="W20" s="97"/>
      <c r="Z20" s="30" t="str">
        <f t="shared" si="0"/>
        <v/>
      </c>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c r="EC20" s="17"/>
      <c r="ED20" s="17"/>
      <c r="EE20" s="17"/>
      <c r="EF20" s="17"/>
      <c r="EG20" s="17"/>
      <c r="EH20" s="17"/>
      <c r="EI20" s="17"/>
      <c r="EJ20" s="17"/>
      <c r="EK20" s="17"/>
      <c r="EL20" s="17"/>
      <c r="EM20" s="17"/>
      <c r="EN20" s="17"/>
      <c r="EO20" s="17"/>
      <c r="EP20" s="17"/>
      <c r="EQ20" s="17"/>
      <c r="ER20" s="17"/>
      <c r="ES20" s="17"/>
      <c r="ET20" s="17"/>
      <c r="EU20" s="17"/>
      <c r="EV20" s="17"/>
      <c r="EW20" s="17"/>
      <c r="EX20" s="17"/>
      <c r="EY20" s="17"/>
      <c r="EZ20" s="17"/>
      <c r="FA20" s="17"/>
      <c r="FB20" s="17"/>
      <c r="FC20" s="17"/>
      <c r="FD20" s="17"/>
      <c r="FE20" s="17"/>
      <c r="FF20" s="17"/>
      <c r="FG20" s="17"/>
      <c r="FH20" s="17"/>
      <c r="FI20" s="17"/>
      <c r="FJ20" s="17"/>
      <c r="FK20" s="17"/>
      <c r="FL20" s="17"/>
      <c r="FM20" s="17"/>
      <c r="FN20" s="17"/>
      <c r="FO20" s="17"/>
      <c r="FP20" s="17"/>
      <c r="FQ20" s="17"/>
      <c r="FR20" s="17"/>
      <c r="FS20" s="17"/>
      <c r="FT20" s="17"/>
      <c r="FU20" s="17"/>
      <c r="FV20" s="17"/>
      <c r="FW20" s="17"/>
      <c r="FX20" s="17"/>
      <c r="FY20" s="17"/>
      <c r="FZ20" s="17"/>
      <c r="GA20" s="17"/>
      <c r="GB20" s="17"/>
      <c r="GC20" s="17"/>
      <c r="GD20" s="17"/>
      <c r="GE20" s="17"/>
      <c r="GF20" s="17"/>
      <c r="GG20" s="17"/>
      <c r="GH20" s="17"/>
      <c r="GI20" s="17"/>
      <c r="GJ20" s="17"/>
      <c r="GK20" s="17"/>
      <c r="GL20" s="17"/>
      <c r="GM20" s="17"/>
      <c r="GN20" s="17"/>
      <c r="GO20" s="17"/>
      <c r="GP20" s="17"/>
      <c r="GQ20" s="17"/>
      <c r="GR20" s="17"/>
      <c r="GS20" s="17"/>
      <c r="GT20" s="17"/>
      <c r="GU20" s="17"/>
      <c r="GV20" s="17"/>
      <c r="GW20" s="17"/>
      <c r="GX20" s="17"/>
      <c r="GY20" s="17"/>
      <c r="GZ20" s="17"/>
      <c r="HA20" s="17"/>
      <c r="HB20" s="17"/>
      <c r="HC20" s="17"/>
      <c r="HD20" s="17"/>
      <c r="HE20" s="17"/>
      <c r="HF20" s="17"/>
      <c r="HG20" s="17"/>
      <c r="HH20" s="17"/>
      <c r="HI20" s="17"/>
      <c r="HJ20" s="17"/>
      <c r="HK20" s="17"/>
      <c r="HL20" s="17"/>
      <c r="HM20" s="17"/>
      <c r="HN20" s="17"/>
      <c r="HO20" s="17"/>
      <c r="HP20" s="17"/>
      <c r="HQ20" s="17"/>
      <c r="HR20" s="17"/>
      <c r="HS20" s="17"/>
      <c r="HT20" s="17"/>
      <c r="HU20" s="17"/>
      <c r="HV20" s="17"/>
      <c r="HW20" s="17"/>
      <c r="HX20" s="17"/>
      <c r="HY20" s="17"/>
      <c r="HZ20" s="17"/>
      <c r="IA20" s="17"/>
      <c r="IB20" s="17"/>
      <c r="IC20" s="17"/>
      <c r="ID20" s="17"/>
      <c r="IE20" s="17"/>
      <c r="IF20" s="17"/>
      <c r="IG20" s="17"/>
      <c r="IH20" s="17"/>
      <c r="II20" s="17"/>
      <c r="IJ20" s="17"/>
      <c r="IK20" s="17"/>
      <c r="IL20" s="17"/>
      <c r="IM20" s="17"/>
      <c r="IN20" s="17"/>
      <c r="IO20" s="17"/>
      <c r="IP20" s="17"/>
      <c r="IQ20" s="17"/>
      <c r="IR20" s="17"/>
      <c r="IS20" s="17"/>
      <c r="IT20" s="17"/>
      <c r="IU20" s="17"/>
      <c r="IV20" s="17"/>
      <c r="IW20" s="17"/>
      <c r="IX20" s="17"/>
      <c r="IY20" s="17"/>
      <c r="IZ20" s="17"/>
      <c r="JA20" s="17"/>
      <c r="JB20" s="17"/>
      <c r="JC20" s="17"/>
      <c r="JD20" s="17"/>
      <c r="JE20" s="17"/>
      <c r="JF20" s="17"/>
      <c r="JG20" s="17"/>
      <c r="JH20" s="17"/>
      <c r="JI20" s="17"/>
      <c r="JJ20" s="17"/>
      <c r="JK20" s="17"/>
      <c r="JL20" s="17"/>
      <c r="JM20" s="17"/>
      <c r="JN20" s="17"/>
      <c r="JO20" s="17"/>
      <c r="JP20" s="17"/>
      <c r="JQ20" s="17"/>
      <c r="JR20" s="17"/>
      <c r="JS20" s="17"/>
      <c r="JT20" s="17"/>
      <c r="JU20" s="17"/>
      <c r="JV20" s="17"/>
      <c r="JW20" s="17"/>
      <c r="JX20" s="17"/>
      <c r="JY20" s="17"/>
      <c r="JZ20" s="17"/>
      <c r="KA20" s="17"/>
      <c r="KB20" s="17"/>
      <c r="KC20" s="17"/>
      <c r="KD20" s="17"/>
      <c r="KE20" s="17"/>
      <c r="KF20" s="17"/>
      <c r="KG20" s="17"/>
      <c r="KH20" s="17"/>
      <c r="KI20" s="17"/>
      <c r="KJ20" s="17"/>
      <c r="KK20" s="17"/>
      <c r="KL20" s="17"/>
      <c r="KM20" s="17"/>
      <c r="KN20" s="17"/>
      <c r="KO20" s="17"/>
      <c r="KP20" s="17"/>
      <c r="KQ20" s="17"/>
      <c r="KR20" s="17"/>
      <c r="KS20" s="17"/>
      <c r="KT20" s="17"/>
      <c r="KU20" s="17"/>
      <c r="KV20" s="17"/>
      <c r="KW20" s="17"/>
      <c r="KX20" s="17"/>
      <c r="KY20" s="17"/>
      <c r="KZ20" s="17"/>
      <c r="LA20" s="17"/>
      <c r="LB20" s="17"/>
      <c r="LC20" s="17"/>
      <c r="LD20" s="17"/>
      <c r="LE20" s="17"/>
      <c r="LF20" s="17"/>
      <c r="LG20" s="17"/>
      <c r="LH20" s="17"/>
      <c r="LI20" s="17"/>
      <c r="LJ20" s="17"/>
      <c r="LK20" s="17"/>
      <c r="LL20" s="17"/>
      <c r="LM20" s="17"/>
      <c r="LN20" s="17"/>
      <c r="LO20" s="17"/>
      <c r="LP20" s="17"/>
      <c r="LQ20" s="17"/>
      <c r="LR20" s="17"/>
      <c r="LS20" s="17"/>
      <c r="LT20" s="17"/>
      <c r="LU20" s="17"/>
      <c r="LV20" s="17"/>
      <c r="LW20" s="17"/>
      <c r="LX20" s="17"/>
      <c r="LY20" s="17"/>
      <c r="LZ20" s="17"/>
      <c r="MA20" s="17"/>
      <c r="MB20" s="17"/>
      <c r="MC20" s="17"/>
      <c r="MD20" s="17"/>
      <c r="ME20" s="17"/>
      <c r="MF20" s="17"/>
      <c r="MG20" s="17"/>
      <c r="MH20" s="17"/>
      <c r="MI20" s="17"/>
      <c r="MJ20" s="17"/>
      <c r="MK20" s="17"/>
      <c r="ML20" s="17"/>
      <c r="MM20" s="17"/>
      <c r="MN20" s="17"/>
      <c r="MO20" s="17"/>
      <c r="MP20" s="17"/>
      <c r="MQ20" s="17"/>
      <c r="MR20" s="17"/>
      <c r="MS20" s="17"/>
      <c r="MT20" s="17"/>
      <c r="MU20" s="17"/>
      <c r="MV20" s="17"/>
      <c r="MW20" s="17"/>
      <c r="MX20" s="17"/>
      <c r="MY20" s="17"/>
      <c r="MZ20" s="17"/>
      <c r="NA20" s="17"/>
      <c r="NB20" s="17"/>
      <c r="NC20" s="17"/>
      <c r="ND20" s="17"/>
      <c r="NE20" s="17"/>
      <c r="NF20" s="17"/>
      <c r="NG20" s="17"/>
      <c r="NH20" s="17"/>
      <c r="NI20" s="17"/>
      <c r="NJ20" s="17"/>
      <c r="NK20" s="17"/>
      <c r="NL20" s="17"/>
      <c r="NM20" s="17"/>
      <c r="NN20" s="17"/>
      <c r="NO20" s="17"/>
      <c r="NP20" s="17"/>
      <c r="NQ20" s="17"/>
      <c r="NR20" s="17"/>
      <c r="NS20" s="17"/>
      <c r="NT20" s="17"/>
      <c r="NU20" s="17"/>
      <c r="NV20" s="17"/>
      <c r="NW20" s="17"/>
      <c r="NX20" s="17"/>
      <c r="NY20" s="17"/>
      <c r="NZ20" s="17"/>
      <c r="OA20" s="17"/>
      <c r="OB20" s="17"/>
      <c r="OC20" s="17"/>
      <c r="OD20" s="17"/>
      <c r="OE20" s="17"/>
      <c r="OF20" s="17"/>
      <c r="OG20" s="17"/>
      <c r="OH20" s="17"/>
      <c r="OI20" s="17"/>
      <c r="OJ20" s="17"/>
      <c r="OK20" s="17"/>
      <c r="OL20" s="17"/>
      <c r="OM20" s="17"/>
      <c r="ON20" s="17"/>
      <c r="OO20" s="17"/>
      <c r="OP20" s="17"/>
      <c r="OQ20" s="17"/>
      <c r="OR20" s="17"/>
      <c r="OS20" s="17"/>
      <c r="OT20" s="17"/>
      <c r="OU20" s="17"/>
      <c r="OV20" s="17"/>
      <c r="OW20" s="17"/>
      <c r="OX20" s="17"/>
      <c r="OY20" s="17"/>
      <c r="OZ20" s="17"/>
      <c r="PA20" s="17"/>
      <c r="PB20" s="17"/>
      <c r="PC20" s="17"/>
      <c r="PD20" s="17"/>
      <c r="PE20" s="17"/>
      <c r="PF20" s="17"/>
      <c r="PG20" s="17"/>
      <c r="PH20" s="17"/>
      <c r="PI20" s="17"/>
      <c r="PJ20" s="17"/>
      <c r="PK20" s="17"/>
      <c r="PL20" s="17"/>
      <c r="PM20" s="17"/>
      <c r="PN20" s="17"/>
      <c r="PO20" s="17"/>
      <c r="PP20" s="17"/>
      <c r="PQ20" s="17"/>
      <c r="PR20" s="17"/>
      <c r="PS20" s="17"/>
      <c r="PT20" s="17"/>
      <c r="PU20" s="17"/>
      <c r="PV20" s="17"/>
      <c r="PW20" s="17"/>
      <c r="PX20" s="17"/>
      <c r="PY20" s="17"/>
      <c r="PZ20" s="17"/>
      <c r="QA20" s="17"/>
      <c r="QB20" s="17"/>
      <c r="QC20" s="17"/>
      <c r="QD20" s="17"/>
      <c r="QE20" s="17"/>
      <c r="QF20" s="17"/>
      <c r="QG20" s="17"/>
      <c r="QH20" s="17"/>
      <c r="QI20" s="17"/>
      <c r="QJ20" s="17"/>
      <c r="QK20" s="17"/>
      <c r="QL20" s="17"/>
      <c r="QM20" s="17"/>
      <c r="QN20" s="17"/>
      <c r="QO20" s="17"/>
      <c r="QP20" s="17"/>
      <c r="QQ20" s="17"/>
      <c r="QR20" s="17"/>
      <c r="QS20" s="17"/>
      <c r="QT20" s="17"/>
      <c r="QU20" s="17"/>
      <c r="QV20" s="17"/>
      <c r="QW20" s="17"/>
      <c r="QX20" s="17"/>
      <c r="QY20" s="17"/>
      <c r="QZ20" s="17"/>
      <c r="RA20" s="17"/>
      <c r="RB20" s="17"/>
      <c r="RC20" s="17"/>
      <c r="RD20" s="17"/>
      <c r="RE20" s="17"/>
      <c r="RF20" s="17"/>
      <c r="RG20" s="17"/>
      <c r="RH20" s="17"/>
      <c r="RI20" s="17"/>
      <c r="RJ20" s="17"/>
      <c r="RK20" s="17"/>
      <c r="RL20" s="17"/>
      <c r="RM20" s="17"/>
      <c r="RN20" s="17"/>
      <c r="RO20" s="17"/>
      <c r="RP20" s="17"/>
      <c r="RQ20" s="17"/>
      <c r="RR20" s="17"/>
      <c r="RS20" s="17"/>
      <c r="RT20" s="17"/>
      <c r="RU20" s="17"/>
      <c r="RV20" s="17"/>
      <c r="RW20" s="17"/>
      <c r="RX20" s="17"/>
      <c r="RY20" s="17"/>
      <c r="RZ20" s="17"/>
      <c r="SA20" s="17"/>
      <c r="SB20" s="17"/>
      <c r="SC20" s="17"/>
      <c r="SD20" s="17"/>
      <c r="SE20" s="17"/>
      <c r="SF20" s="17"/>
      <c r="SG20" s="17"/>
      <c r="SH20" s="17"/>
      <c r="SI20" s="17"/>
      <c r="SJ20" s="17"/>
      <c r="SK20" s="17"/>
      <c r="SL20" s="17"/>
      <c r="SM20" s="17"/>
      <c r="SN20" s="17"/>
      <c r="SO20" s="17"/>
      <c r="SP20" s="17"/>
      <c r="SQ20" s="17"/>
      <c r="SR20" s="17"/>
      <c r="SS20" s="17"/>
      <c r="ST20" s="17"/>
      <c r="SU20" s="17"/>
      <c r="SV20" s="17"/>
      <c r="SW20" s="17"/>
      <c r="SX20" s="17"/>
      <c r="SY20" s="17"/>
      <c r="SZ20" s="17"/>
      <c r="TA20" s="17"/>
      <c r="TB20" s="17"/>
      <c r="TC20" s="17"/>
      <c r="TD20" s="17"/>
      <c r="TE20" s="17"/>
      <c r="TF20" s="17"/>
      <c r="TG20" s="17"/>
      <c r="TH20" s="17"/>
      <c r="TI20" s="17"/>
      <c r="TJ20" s="17"/>
      <c r="TK20" s="17"/>
      <c r="TL20" s="17"/>
      <c r="TM20" s="17"/>
      <c r="TN20" s="17"/>
      <c r="TO20" s="17"/>
      <c r="TP20" s="17"/>
      <c r="TQ20" s="17"/>
      <c r="TR20" s="17"/>
      <c r="TS20" s="17"/>
      <c r="TT20" s="17"/>
      <c r="TU20" s="17"/>
      <c r="TV20" s="17"/>
      <c r="TW20" s="17"/>
      <c r="TX20" s="17"/>
      <c r="TY20" s="17"/>
      <c r="TZ20" s="17"/>
      <c r="UA20" s="17"/>
      <c r="UB20" s="17"/>
      <c r="UC20" s="17"/>
      <c r="UD20" s="17"/>
      <c r="UE20" s="17"/>
      <c r="UF20" s="17"/>
      <c r="UG20" s="17"/>
      <c r="UH20" s="17"/>
      <c r="UI20" s="17"/>
      <c r="UJ20" s="17"/>
      <c r="UK20" s="17"/>
      <c r="UL20" s="17"/>
      <c r="UM20" s="17"/>
      <c r="UN20" s="17"/>
      <c r="UO20" s="17"/>
      <c r="UP20" s="17"/>
      <c r="UQ20" s="17"/>
      <c r="UR20" s="17"/>
      <c r="US20" s="17"/>
      <c r="UT20" s="17"/>
      <c r="UU20" s="17"/>
      <c r="UV20" s="17"/>
      <c r="UW20" s="17"/>
      <c r="UX20" s="17"/>
      <c r="UY20" s="17"/>
      <c r="UZ20" s="17"/>
      <c r="VA20" s="17"/>
      <c r="VB20" s="17"/>
      <c r="VC20" s="17"/>
      <c r="VD20" s="17"/>
      <c r="VE20" s="17"/>
      <c r="VF20" s="17"/>
      <c r="VG20" s="17"/>
      <c r="VH20" s="17"/>
      <c r="VI20" s="17"/>
      <c r="VJ20" s="17"/>
      <c r="VK20" s="17"/>
      <c r="VL20" s="17"/>
      <c r="VM20" s="17"/>
      <c r="VN20" s="17"/>
      <c r="VO20" s="17"/>
      <c r="VP20" s="17"/>
      <c r="VQ20" s="17"/>
      <c r="VR20" s="17"/>
      <c r="VS20" s="17"/>
      <c r="VT20" s="17"/>
      <c r="VU20" s="17"/>
      <c r="VV20" s="17"/>
      <c r="VW20" s="17"/>
      <c r="VX20" s="17"/>
      <c r="VY20" s="17"/>
      <c r="VZ20" s="17"/>
      <c r="WA20" s="17"/>
      <c r="WB20" s="17"/>
      <c r="WC20" s="17"/>
      <c r="WD20" s="17"/>
      <c r="WE20" s="17"/>
      <c r="WF20" s="17"/>
      <c r="WG20" s="17"/>
      <c r="WH20" s="17"/>
      <c r="WI20" s="17"/>
      <c r="WJ20" s="17"/>
      <c r="WK20" s="17"/>
      <c r="WL20" s="17"/>
      <c r="WM20" s="17"/>
      <c r="WN20" s="17"/>
      <c r="WO20" s="17"/>
      <c r="WP20" s="17"/>
      <c r="WQ20" s="17"/>
      <c r="WR20" s="17"/>
      <c r="WS20" s="17"/>
      <c r="WT20" s="17"/>
      <c r="WU20" s="17"/>
      <c r="WV20" s="17"/>
      <c r="WW20" s="17"/>
      <c r="WX20" s="17"/>
      <c r="WY20" s="17"/>
      <c r="WZ20" s="17"/>
      <c r="XA20" s="17"/>
      <c r="XB20" s="17"/>
      <c r="XC20" s="17"/>
      <c r="XD20" s="17"/>
      <c r="XE20" s="17"/>
      <c r="XF20" s="17"/>
      <c r="XG20" s="17"/>
      <c r="XH20" s="17"/>
      <c r="XI20" s="17"/>
      <c r="XJ20" s="17"/>
      <c r="XK20" s="17"/>
      <c r="XL20" s="17"/>
      <c r="XM20" s="17"/>
      <c r="XN20" s="17"/>
      <c r="XO20" s="17"/>
      <c r="XP20" s="17"/>
      <c r="XQ20" s="17"/>
      <c r="XR20" s="17"/>
      <c r="XS20" s="17"/>
      <c r="XT20" s="17"/>
      <c r="XU20" s="17"/>
      <c r="XV20" s="17"/>
      <c r="XW20" s="17"/>
      <c r="XX20" s="17"/>
      <c r="XY20" s="17"/>
      <c r="XZ20" s="17"/>
      <c r="YA20" s="17"/>
      <c r="YB20" s="17"/>
      <c r="YC20" s="17"/>
      <c r="YD20" s="17"/>
      <c r="YE20" s="17"/>
      <c r="YF20" s="17"/>
      <c r="YG20" s="17"/>
      <c r="YH20" s="17"/>
      <c r="YI20" s="17"/>
      <c r="YJ20" s="17"/>
      <c r="YK20" s="17"/>
      <c r="YL20" s="17"/>
      <c r="YM20" s="17"/>
      <c r="YN20" s="17"/>
      <c r="YO20" s="17"/>
      <c r="YP20" s="17"/>
      <c r="YQ20" s="17"/>
      <c r="YR20" s="17"/>
      <c r="YS20" s="17"/>
      <c r="YT20" s="17"/>
      <c r="YU20" s="17"/>
      <c r="YV20" s="17"/>
      <c r="YW20" s="17"/>
      <c r="YX20" s="17"/>
      <c r="YY20" s="17"/>
      <c r="YZ20" s="17"/>
      <c r="ZA20" s="17"/>
      <c r="ZB20" s="17"/>
      <c r="ZC20" s="17"/>
      <c r="ZD20" s="17"/>
      <c r="ZE20" s="17"/>
      <c r="ZF20" s="17"/>
      <c r="ZG20" s="17"/>
      <c r="ZH20" s="17"/>
      <c r="ZI20" s="17"/>
      <c r="ZJ20" s="17"/>
      <c r="ZK20" s="17"/>
      <c r="ZL20" s="17"/>
      <c r="ZM20" s="17"/>
      <c r="ZN20" s="17"/>
      <c r="ZO20" s="17"/>
      <c r="ZP20" s="17"/>
      <c r="ZQ20" s="17"/>
      <c r="ZR20" s="17"/>
      <c r="ZS20" s="17"/>
      <c r="ZT20" s="17"/>
      <c r="ZU20" s="17"/>
      <c r="ZV20" s="17"/>
      <c r="ZW20" s="17"/>
      <c r="ZX20" s="17"/>
      <c r="ZY20" s="17"/>
      <c r="ZZ20" s="17"/>
    </row>
    <row r="21" spans="1:702" s="33" customFormat="1" x14ac:dyDescent="0.25">
      <c r="A21" s="30" t="str">
        <f>IF(COUNTA(B21:B21)=0,"", MAX(A$2:A20)+1)</f>
        <v/>
      </c>
      <c r="C21" s="34"/>
      <c r="D21" s="63"/>
      <c r="M21" s="34"/>
      <c r="Q21" s="34"/>
      <c r="U21" s="17"/>
      <c r="V21" s="62"/>
      <c r="W21" s="97"/>
      <c r="Z21" s="30" t="str">
        <f t="shared" si="0"/>
        <v/>
      </c>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c r="EN21" s="17"/>
      <c r="EO21" s="17"/>
      <c r="EP21" s="17"/>
      <c r="EQ21" s="17"/>
      <c r="ER21" s="17"/>
      <c r="ES21" s="17"/>
      <c r="ET21" s="17"/>
      <c r="EU21" s="17"/>
      <c r="EV21" s="17"/>
      <c r="EW21" s="17"/>
      <c r="EX21" s="17"/>
      <c r="EY21" s="17"/>
      <c r="EZ21" s="17"/>
      <c r="FA21" s="17"/>
      <c r="FB21" s="17"/>
      <c r="FC21" s="17"/>
      <c r="FD21" s="17"/>
      <c r="FE21" s="17"/>
      <c r="FF21" s="17"/>
      <c r="FG21" s="17"/>
      <c r="FH21" s="17"/>
      <c r="FI21" s="17"/>
      <c r="FJ21" s="17"/>
      <c r="FK21" s="17"/>
      <c r="FL21" s="17"/>
      <c r="FM21" s="17"/>
      <c r="FN21" s="17"/>
      <c r="FO21" s="17"/>
      <c r="FP21" s="17"/>
      <c r="FQ21" s="17"/>
      <c r="FR21" s="17"/>
      <c r="FS21" s="17"/>
      <c r="FT21" s="17"/>
      <c r="FU21" s="17"/>
      <c r="FV21" s="17"/>
      <c r="FW21" s="17"/>
      <c r="FX21" s="17"/>
      <c r="FY21" s="17"/>
      <c r="FZ21" s="17"/>
      <c r="GA21" s="17"/>
      <c r="GB21" s="17"/>
      <c r="GC21" s="17"/>
      <c r="GD21" s="17"/>
      <c r="GE21" s="17"/>
      <c r="GF21" s="17"/>
      <c r="GG21" s="17"/>
      <c r="GH21" s="17"/>
      <c r="GI21" s="17"/>
      <c r="GJ21" s="17"/>
      <c r="GK21" s="17"/>
      <c r="GL21" s="17"/>
      <c r="GM21" s="17"/>
      <c r="GN21" s="17"/>
      <c r="GO21" s="17"/>
      <c r="GP21" s="17"/>
      <c r="GQ21" s="17"/>
      <c r="GR21" s="17"/>
      <c r="GS21" s="17"/>
      <c r="GT21" s="17"/>
      <c r="GU21" s="17"/>
      <c r="GV21" s="17"/>
      <c r="GW21" s="17"/>
      <c r="GX21" s="17"/>
      <c r="GY21" s="17"/>
      <c r="GZ21" s="17"/>
      <c r="HA21" s="17"/>
      <c r="HB21" s="17"/>
      <c r="HC21" s="17"/>
      <c r="HD21" s="17"/>
      <c r="HE21" s="17"/>
      <c r="HF21" s="17"/>
      <c r="HG21" s="17"/>
      <c r="HH21" s="17"/>
      <c r="HI21" s="17"/>
      <c r="HJ21" s="17"/>
      <c r="HK21" s="17"/>
      <c r="HL21" s="17"/>
      <c r="HM21" s="17"/>
      <c r="HN21" s="17"/>
      <c r="HO21" s="17"/>
      <c r="HP21" s="17"/>
      <c r="HQ21" s="17"/>
      <c r="HR21" s="17"/>
      <c r="HS21" s="17"/>
      <c r="HT21" s="17"/>
      <c r="HU21" s="17"/>
      <c r="HV21" s="17"/>
      <c r="HW21" s="17"/>
      <c r="HX21" s="17"/>
      <c r="HY21" s="17"/>
      <c r="HZ21" s="17"/>
      <c r="IA21" s="17"/>
      <c r="IB21" s="17"/>
      <c r="IC21" s="17"/>
      <c r="ID21" s="17"/>
      <c r="IE21" s="17"/>
      <c r="IF21" s="17"/>
      <c r="IG21" s="17"/>
      <c r="IH21" s="17"/>
      <c r="II21" s="17"/>
      <c r="IJ21" s="17"/>
      <c r="IK21" s="17"/>
      <c r="IL21" s="17"/>
      <c r="IM21" s="17"/>
      <c r="IN21" s="17"/>
      <c r="IO21" s="17"/>
      <c r="IP21" s="17"/>
      <c r="IQ21" s="17"/>
      <c r="IR21" s="17"/>
      <c r="IS21" s="17"/>
      <c r="IT21" s="17"/>
      <c r="IU21" s="17"/>
      <c r="IV21" s="17"/>
      <c r="IW21" s="17"/>
      <c r="IX21" s="17"/>
      <c r="IY21" s="17"/>
      <c r="IZ21" s="17"/>
      <c r="JA21" s="17"/>
      <c r="JB21" s="17"/>
      <c r="JC21" s="17"/>
      <c r="JD21" s="17"/>
      <c r="JE21" s="17"/>
      <c r="JF21" s="17"/>
      <c r="JG21" s="17"/>
      <c r="JH21" s="17"/>
      <c r="JI21" s="17"/>
      <c r="JJ21" s="17"/>
      <c r="JK21" s="17"/>
      <c r="JL21" s="17"/>
      <c r="JM21" s="17"/>
      <c r="JN21" s="17"/>
      <c r="JO21" s="17"/>
      <c r="JP21" s="17"/>
      <c r="JQ21" s="17"/>
      <c r="JR21" s="17"/>
      <c r="JS21" s="17"/>
      <c r="JT21" s="17"/>
      <c r="JU21" s="17"/>
      <c r="JV21" s="17"/>
      <c r="JW21" s="17"/>
      <c r="JX21" s="17"/>
      <c r="JY21" s="17"/>
      <c r="JZ21" s="17"/>
      <c r="KA21" s="17"/>
      <c r="KB21" s="17"/>
      <c r="KC21" s="17"/>
      <c r="KD21" s="17"/>
      <c r="KE21" s="17"/>
      <c r="KF21" s="17"/>
      <c r="KG21" s="17"/>
      <c r="KH21" s="17"/>
      <c r="KI21" s="17"/>
      <c r="KJ21" s="17"/>
      <c r="KK21" s="17"/>
      <c r="KL21" s="17"/>
      <c r="KM21" s="17"/>
      <c r="KN21" s="17"/>
      <c r="KO21" s="17"/>
      <c r="KP21" s="17"/>
      <c r="KQ21" s="17"/>
      <c r="KR21" s="17"/>
      <c r="KS21" s="17"/>
      <c r="KT21" s="17"/>
      <c r="KU21" s="17"/>
      <c r="KV21" s="17"/>
      <c r="KW21" s="17"/>
      <c r="KX21" s="17"/>
      <c r="KY21" s="17"/>
      <c r="KZ21" s="17"/>
      <c r="LA21" s="17"/>
      <c r="LB21" s="17"/>
      <c r="LC21" s="17"/>
      <c r="LD21" s="17"/>
      <c r="LE21" s="17"/>
      <c r="LF21" s="17"/>
      <c r="LG21" s="17"/>
      <c r="LH21" s="17"/>
      <c r="LI21" s="17"/>
      <c r="LJ21" s="17"/>
      <c r="LK21" s="17"/>
      <c r="LL21" s="17"/>
      <c r="LM21" s="17"/>
      <c r="LN21" s="17"/>
      <c r="LO21" s="17"/>
      <c r="LP21" s="17"/>
      <c r="LQ21" s="17"/>
      <c r="LR21" s="17"/>
      <c r="LS21" s="17"/>
      <c r="LT21" s="17"/>
      <c r="LU21" s="17"/>
      <c r="LV21" s="17"/>
      <c r="LW21" s="17"/>
      <c r="LX21" s="17"/>
      <c r="LY21" s="17"/>
      <c r="LZ21" s="17"/>
      <c r="MA21" s="17"/>
      <c r="MB21" s="17"/>
      <c r="MC21" s="17"/>
      <c r="MD21" s="17"/>
      <c r="ME21" s="17"/>
      <c r="MF21" s="17"/>
      <c r="MG21" s="17"/>
      <c r="MH21" s="17"/>
      <c r="MI21" s="17"/>
      <c r="MJ21" s="17"/>
      <c r="MK21" s="17"/>
      <c r="ML21" s="17"/>
      <c r="MM21" s="17"/>
      <c r="MN21" s="17"/>
      <c r="MO21" s="17"/>
      <c r="MP21" s="17"/>
      <c r="MQ21" s="17"/>
      <c r="MR21" s="17"/>
      <c r="MS21" s="17"/>
      <c r="MT21" s="17"/>
      <c r="MU21" s="17"/>
      <c r="MV21" s="17"/>
      <c r="MW21" s="17"/>
      <c r="MX21" s="17"/>
      <c r="MY21" s="17"/>
      <c r="MZ21" s="17"/>
      <c r="NA21" s="17"/>
      <c r="NB21" s="17"/>
      <c r="NC21" s="17"/>
      <c r="ND21" s="17"/>
      <c r="NE21" s="17"/>
      <c r="NF21" s="17"/>
      <c r="NG21" s="17"/>
      <c r="NH21" s="17"/>
      <c r="NI21" s="17"/>
      <c r="NJ21" s="17"/>
      <c r="NK21" s="17"/>
      <c r="NL21" s="17"/>
      <c r="NM21" s="17"/>
      <c r="NN21" s="17"/>
      <c r="NO21" s="17"/>
      <c r="NP21" s="17"/>
      <c r="NQ21" s="17"/>
      <c r="NR21" s="17"/>
      <c r="NS21" s="17"/>
      <c r="NT21" s="17"/>
      <c r="NU21" s="17"/>
      <c r="NV21" s="17"/>
      <c r="NW21" s="17"/>
      <c r="NX21" s="17"/>
      <c r="NY21" s="17"/>
      <c r="NZ21" s="17"/>
      <c r="OA21" s="17"/>
      <c r="OB21" s="17"/>
      <c r="OC21" s="17"/>
      <c r="OD21" s="17"/>
      <c r="OE21" s="17"/>
      <c r="OF21" s="17"/>
      <c r="OG21" s="17"/>
      <c r="OH21" s="17"/>
      <c r="OI21" s="17"/>
      <c r="OJ21" s="17"/>
      <c r="OK21" s="17"/>
      <c r="OL21" s="17"/>
      <c r="OM21" s="17"/>
      <c r="ON21" s="17"/>
      <c r="OO21" s="17"/>
      <c r="OP21" s="17"/>
      <c r="OQ21" s="17"/>
      <c r="OR21" s="17"/>
      <c r="OS21" s="17"/>
      <c r="OT21" s="17"/>
      <c r="OU21" s="17"/>
      <c r="OV21" s="17"/>
      <c r="OW21" s="17"/>
      <c r="OX21" s="17"/>
      <c r="OY21" s="17"/>
      <c r="OZ21" s="17"/>
      <c r="PA21" s="17"/>
      <c r="PB21" s="17"/>
      <c r="PC21" s="17"/>
      <c r="PD21" s="17"/>
      <c r="PE21" s="17"/>
      <c r="PF21" s="17"/>
      <c r="PG21" s="17"/>
      <c r="PH21" s="17"/>
      <c r="PI21" s="17"/>
      <c r="PJ21" s="17"/>
      <c r="PK21" s="17"/>
      <c r="PL21" s="17"/>
      <c r="PM21" s="17"/>
      <c r="PN21" s="17"/>
      <c r="PO21" s="17"/>
      <c r="PP21" s="17"/>
      <c r="PQ21" s="17"/>
      <c r="PR21" s="17"/>
      <c r="PS21" s="17"/>
      <c r="PT21" s="17"/>
      <c r="PU21" s="17"/>
      <c r="PV21" s="17"/>
      <c r="PW21" s="17"/>
      <c r="PX21" s="17"/>
      <c r="PY21" s="17"/>
      <c r="PZ21" s="17"/>
      <c r="QA21" s="17"/>
      <c r="QB21" s="17"/>
      <c r="QC21" s="17"/>
      <c r="QD21" s="17"/>
      <c r="QE21" s="17"/>
      <c r="QF21" s="17"/>
      <c r="QG21" s="17"/>
      <c r="QH21" s="17"/>
      <c r="QI21" s="17"/>
      <c r="QJ21" s="17"/>
      <c r="QK21" s="17"/>
      <c r="QL21" s="17"/>
      <c r="QM21" s="17"/>
      <c r="QN21" s="17"/>
      <c r="QO21" s="17"/>
      <c r="QP21" s="17"/>
      <c r="QQ21" s="17"/>
      <c r="QR21" s="17"/>
      <c r="QS21" s="17"/>
      <c r="QT21" s="17"/>
      <c r="QU21" s="17"/>
      <c r="QV21" s="17"/>
      <c r="QW21" s="17"/>
      <c r="QX21" s="17"/>
      <c r="QY21" s="17"/>
      <c r="QZ21" s="17"/>
      <c r="RA21" s="17"/>
      <c r="RB21" s="17"/>
      <c r="RC21" s="17"/>
      <c r="RD21" s="17"/>
      <c r="RE21" s="17"/>
      <c r="RF21" s="17"/>
      <c r="RG21" s="17"/>
      <c r="RH21" s="17"/>
      <c r="RI21" s="17"/>
      <c r="RJ21" s="17"/>
      <c r="RK21" s="17"/>
      <c r="RL21" s="17"/>
      <c r="RM21" s="17"/>
      <c r="RN21" s="17"/>
      <c r="RO21" s="17"/>
      <c r="RP21" s="17"/>
      <c r="RQ21" s="17"/>
      <c r="RR21" s="17"/>
      <c r="RS21" s="17"/>
      <c r="RT21" s="17"/>
      <c r="RU21" s="17"/>
      <c r="RV21" s="17"/>
      <c r="RW21" s="17"/>
      <c r="RX21" s="17"/>
      <c r="RY21" s="17"/>
      <c r="RZ21" s="17"/>
      <c r="SA21" s="17"/>
      <c r="SB21" s="17"/>
      <c r="SC21" s="17"/>
      <c r="SD21" s="17"/>
      <c r="SE21" s="17"/>
      <c r="SF21" s="17"/>
      <c r="SG21" s="17"/>
      <c r="SH21" s="17"/>
      <c r="SI21" s="17"/>
      <c r="SJ21" s="17"/>
      <c r="SK21" s="17"/>
      <c r="SL21" s="17"/>
      <c r="SM21" s="17"/>
      <c r="SN21" s="17"/>
      <c r="SO21" s="17"/>
      <c r="SP21" s="17"/>
      <c r="SQ21" s="17"/>
      <c r="SR21" s="17"/>
      <c r="SS21" s="17"/>
      <c r="ST21" s="17"/>
      <c r="SU21" s="17"/>
      <c r="SV21" s="17"/>
      <c r="SW21" s="17"/>
      <c r="SX21" s="17"/>
      <c r="SY21" s="17"/>
      <c r="SZ21" s="17"/>
      <c r="TA21" s="17"/>
      <c r="TB21" s="17"/>
      <c r="TC21" s="17"/>
      <c r="TD21" s="17"/>
      <c r="TE21" s="17"/>
      <c r="TF21" s="17"/>
      <c r="TG21" s="17"/>
      <c r="TH21" s="17"/>
      <c r="TI21" s="17"/>
      <c r="TJ21" s="17"/>
      <c r="TK21" s="17"/>
      <c r="TL21" s="17"/>
      <c r="TM21" s="17"/>
      <c r="TN21" s="17"/>
      <c r="TO21" s="17"/>
      <c r="TP21" s="17"/>
      <c r="TQ21" s="17"/>
      <c r="TR21" s="17"/>
      <c r="TS21" s="17"/>
      <c r="TT21" s="17"/>
      <c r="TU21" s="17"/>
      <c r="TV21" s="17"/>
      <c r="TW21" s="17"/>
      <c r="TX21" s="17"/>
      <c r="TY21" s="17"/>
      <c r="TZ21" s="17"/>
      <c r="UA21" s="17"/>
      <c r="UB21" s="17"/>
      <c r="UC21" s="17"/>
      <c r="UD21" s="17"/>
      <c r="UE21" s="17"/>
      <c r="UF21" s="17"/>
      <c r="UG21" s="17"/>
      <c r="UH21" s="17"/>
      <c r="UI21" s="17"/>
      <c r="UJ21" s="17"/>
      <c r="UK21" s="17"/>
      <c r="UL21" s="17"/>
      <c r="UM21" s="17"/>
      <c r="UN21" s="17"/>
      <c r="UO21" s="17"/>
      <c r="UP21" s="17"/>
      <c r="UQ21" s="17"/>
      <c r="UR21" s="17"/>
      <c r="US21" s="17"/>
      <c r="UT21" s="17"/>
      <c r="UU21" s="17"/>
      <c r="UV21" s="17"/>
      <c r="UW21" s="17"/>
      <c r="UX21" s="17"/>
      <c r="UY21" s="17"/>
      <c r="UZ21" s="17"/>
      <c r="VA21" s="17"/>
      <c r="VB21" s="17"/>
      <c r="VC21" s="17"/>
      <c r="VD21" s="17"/>
      <c r="VE21" s="17"/>
      <c r="VF21" s="17"/>
      <c r="VG21" s="17"/>
      <c r="VH21" s="17"/>
      <c r="VI21" s="17"/>
      <c r="VJ21" s="17"/>
      <c r="VK21" s="17"/>
      <c r="VL21" s="17"/>
      <c r="VM21" s="17"/>
      <c r="VN21" s="17"/>
      <c r="VO21" s="17"/>
      <c r="VP21" s="17"/>
      <c r="VQ21" s="17"/>
      <c r="VR21" s="17"/>
      <c r="VS21" s="17"/>
      <c r="VT21" s="17"/>
      <c r="VU21" s="17"/>
      <c r="VV21" s="17"/>
      <c r="VW21" s="17"/>
      <c r="VX21" s="17"/>
      <c r="VY21" s="17"/>
      <c r="VZ21" s="17"/>
      <c r="WA21" s="17"/>
      <c r="WB21" s="17"/>
      <c r="WC21" s="17"/>
      <c r="WD21" s="17"/>
      <c r="WE21" s="17"/>
      <c r="WF21" s="17"/>
      <c r="WG21" s="17"/>
      <c r="WH21" s="17"/>
      <c r="WI21" s="17"/>
      <c r="WJ21" s="17"/>
      <c r="WK21" s="17"/>
      <c r="WL21" s="17"/>
      <c r="WM21" s="17"/>
      <c r="WN21" s="17"/>
      <c r="WO21" s="17"/>
      <c r="WP21" s="17"/>
      <c r="WQ21" s="17"/>
      <c r="WR21" s="17"/>
      <c r="WS21" s="17"/>
      <c r="WT21" s="17"/>
      <c r="WU21" s="17"/>
      <c r="WV21" s="17"/>
      <c r="WW21" s="17"/>
      <c r="WX21" s="17"/>
      <c r="WY21" s="17"/>
      <c r="WZ21" s="17"/>
      <c r="XA21" s="17"/>
      <c r="XB21" s="17"/>
      <c r="XC21" s="17"/>
      <c r="XD21" s="17"/>
      <c r="XE21" s="17"/>
      <c r="XF21" s="17"/>
      <c r="XG21" s="17"/>
      <c r="XH21" s="17"/>
      <c r="XI21" s="17"/>
      <c r="XJ21" s="17"/>
      <c r="XK21" s="17"/>
      <c r="XL21" s="17"/>
      <c r="XM21" s="17"/>
      <c r="XN21" s="17"/>
      <c r="XO21" s="17"/>
      <c r="XP21" s="17"/>
      <c r="XQ21" s="17"/>
      <c r="XR21" s="17"/>
      <c r="XS21" s="17"/>
      <c r="XT21" s="17"/>
      <c r="XU21" s="17"/>
      <c r="XV21" s="17"/>
      <c r="XW21" s="17"/>
      <c r="XX21" s="17"/>
      <c r="XY21" s="17"/>
      <c r="XZ21" s="17"/>
      <c r="YA21" s="17"/>
      <c r="YB21" s="17"/>
      <c r="YC21" s="17"/>
      <c r="YD21" s="17"/>
      <c r="YE21" s="17"/>
      <c r="YF21" s="17"/>
      <c r="YG21" s="17"/>
      <c r="YH21" s="17"/>
      <c r="YI21" s="17"/>
      <c r="YJ21" s="17"/>
      <c r="YK21" s="17"/>
      <c r="YL21" s="17"/>
      <c r="YM21" s="17"/>
      <c r="YN21" s="17"/>
      <c r="YO21" s="17"/>
      <c r="YP21" s="17"/>
      <c r="YQ21" s="17"/>
      <c r="YR21" s="17"/>
      <c r="YS21" s="17"/>
      <c r="YT21" s="17"/>
      <c r="YU21" s="17"/>
      <c r="YV21" s="17"/>
      <c r="YW21" s="17"/>
      <c r="YX21" s="17"/>
      <c r="YY21" s="17"/>
      <c r="YZ21" s="17"/>
      <c r="ZA21" s="17"/>
      <c r="ZB21" s="17"/>
      <c r="ZC21" s="17"/>
      <c r="ZD21" s="17"/>
      <c r="ZE21" s="17"/>
      <c r="ZF21" s="17"/>
      <c r="ZG21" s="17"/>
      <c r="ZH21" s="17"/>
      <c r="ZI21" s="17"/>
      <c r="ZJ21" s="17"/>
      <c r="ZK21" s="17"/>
      <c r="ZL21" s="17"/>
      <c r="ZM21" s="17"/>
      <c r="ZN21" s="17"/>
      <c r="ZO21" s="17"/>
      <c r="ZP21" s="17"/>
      <c r="ZQ21" s="17"/>
      <c r="ZR21" s="17"/>
      <c r="ZS21" s="17"/>
      <c r="ZT21" s="17"/>
      <c r="ZU21" s="17"/>
      <c r="ZV21" s="17"/>
      <c r="ZW21" s="17"/>
      <c r="ZX21" s="17"/>
      <c r="ZY21" s="17"/>
      <c r="ZZ21" s="17"/>
    </row>
    <row r="22" spans="1:702" s="33" customFormat="1" x14ac:dyDescent="0.25">
      <c r="A22" s="30" t="str">
        <f>IF(COUNTA(B22:B22)=0,"", MAX(A$2:A21)+1)</f>
        <v/>
      </c>
      <c r="C22" s="34"/>
      <c r="D22" s="63"/>
      <c r="M22" s="34"/>
      <c r="Q22" s="34"/>
      <c r="U22" s="17"/>
      <c r="V22" s="62"/>
      <c r="W22" s="97"/>
      <c r="Z22" s="30" t="str">
        <f t="shared" si="0"/>
        <v/>
      </c>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c r="EN22" s="17"/>
      <c r="EO22" s="17"/>
      <c r="EP22" s="17"/>
      <c r="EQ22" s="17"/>
      <c r="ER22" s="17"/>
      <c r="ES22" s="17"/>
      <c r="ET22" s="17"/>
      <c r="EU22" s="17"/>
      <c r="EV22" s="17"/>
      <c r="EW22" s="17"/>
      <c r="EX22" s="17"/>
      <c r="EY22" s="17"/>
      <c r="EZ22" s="17"/>
      <c r="FA22" s="17"/>
      <c r="FB22" s="17"/>
      <c r="FC22" s="17"/>
      <c r="FD22" s="17"/>
      <c r="FE22" s="17"/>
      <c r="FF22" s="17"/>
      <c r="FG22" s="17"/>
      <c r="FH22" s="17"/>
      <c r="FI22" s="17"/>
      <c r="FJ22" s="17"/>
      <c r="FK22" s="17"/>
      <c r="FL22" s="17"/>
      <c r="FM22" s="17"/>
      <c r="FN22" s="17"/>
      <c r="FO22" s="17"/>
      <c r="FP22" s="17"/>
      <c r="FQ22" s="17"/>
      <c r="FR22" s="17"/>
      <c r="FS22" s="17"/>
      <c r="FT22" s="17"/>
      <c r="FU22" s="17"/>
      <c r="FV22" s="17"/>
      <c r="FW22" s="17"/>
      <c r="FX22" s="17"/>
      <c r="FY22" s="17"/>
      <c r="FZ22" s="17"/>
      <c r="GA22" s="17"/>
      <c r="GB22" s="17"/>
      <c r="GC22" s="17"/>
      <c r="GD22" s="17"/>
      <c r="GE22" s="17"/>
      <c r="GF22" s="17"/>
      <c r="GG22" s="17"/>
      <c r="GH22" s="17"/>
      <c r="GI22" s="17"/>
      <c r="GJ22" s="17"/>
      <c r="GK22" s="17"/>
      <c r="GL22" s="17"/>
      <c r="GM22" s="17"/>
      <c r="GN22" s="17"/>
      <c r="GO22" s="17"/>
      <c r="GP22" s="17"/>
      <c r="GQ22" s="17"/>
      <c r="GR22" s="17"/>
      <c r="GS22" s="17"/>
      <c r="GT22" s="17"/>
      <c r="GU22" s="17"/>
      <c r="GV22" s="17"/>
      <c r="GW22" s="17"/>
      <c r="GX22" s="17"/>
      <c r="GY22" s="17"/>
      <c r="GZ22" s="17"/>
      <c r="HA22" s="17"/>
      <c r="HB22" s="17"/>
      <c r="HC22" s="17"/>
      <c r="HD22" s="17"/>
      <c r="HE22" s="17"/>
      <c r="HF22" s="17"/>
      <c r="HG22" s="17"/>
      <c r="HH22" s="17"/>
      <c r="HI22" s="17"/>
      <c r="HJ22" s="17"/>
      <c r="HK22" s="17"/>
      <c r="HL22" s="17"/>
      <c r="HM22" s="17"/>
      <c r="HN22" s="17"/>
      <c r="HO22" s="17"/>
      <c r="HP22" s="17"/>
      <c r="HQ22" s="17"/>
      <c r="HR22" s="17"/>
      <c r="HS22" s="17"/>
      <c r="HT22" s="17"/>
      <c r="HU22" s="17"/>
      <c r="HV22" s="17"/>
      <c r="HW22" s="17"/>
      <c r="HX22" s="17"/>
      <c r="HY22" s="17"/>
      <c r="HZ22" s="17"/>
      <c r="IA22" s="17"/>
      <c r="IB22" s="17"/>
      <c r="IC22" s="17"/>
      <c r="ID22" s="17"/>
      <c r="IE22" s="17"/>
      <c r="IF22" s="17"/>
      <c r="IG22" s="17"/>
      <c r="IH22" s="17"/>
      <c r="II22" s="17"/>
      <c r="IJ22" s="17"/>
      <c r="IK22" s="17"/>
      <c r="IL22" s="17"/>
      <c r="IM22" s="17"/>
      <c r="IN22" s="17"/>
      <c r="IO22" s="17"/>
      <c r="IP22" s="17"/>
      <c r="IQ22" s="17"/>
      <c r="IR22" s="17"/>
      <c r="IS22" s="17"/>
      <c r="IT22" s="17"/>
      <c r="IU22" s="17"/>
      <c r="IV22" s="17"/>
      <c r="IW22" s="17"/>
      <c r="IX22" s="17"/>
      <c r="IY22" s="17"/>
      <c r="IZ22" s="17"/>
      <c r="JA22" s="17"/>
      <c r="JB22" s="17"/>
      <c r="JC22" s="17"/>
      <c r="JD22" s="17"/>
      <c r="JE22" s="17"/>
      <c r="JF22" s="17"/>
      <c r="JG22" s="17"/>
      <c r="JH22" s="17"/>
      <c r="JI22" s="17"/>
      <c r="JJ22" s="17"/>
      <c r="JK22" s="17"/>
      <c r="JL22" s="17"/>
      <c r="JM22" s="17"/>
      <c r="JN22" s="17"/>
      <c r="JO22" s="17"/>
      <c r="JP22" s="17"/>
      <c r="JQ22" s="17"/>
      <c r="JR22" s="17"/>
      <c r="JS22" s="17"/>
      <c r="JT22" s="17"/>
      <c r="JU22" s="17"/>
      <c r="JV22" s="17"/>
      <c r="JW22" s="17"/>
      <c r="JX22" s="17"/>
      <c r="JY22" s="17"/>
      <c r="JZ22" s="17"/>
      <c r="KA22" s="17"/>
      <c r="KB22" s="17"/>
      <c r="KC22" s="17"/>
      <c r="KD22" s="17"/>
      <c r="KE22" s="17"/>
      <c r="KF22" s="17"/>
      <c r="KG22" s="17"/>
      <c r="KH22" s="17"/>
      <c r="KI22" s="17"/>
      <c r="KJ22" s="17"/>
      <c r="KK22" s="17"/>
      <c r="KL22" s="17"/>
      <c r="KM22" s="17"/>
      <c r="KN22" s="17"/>
      <c r="KO22" s="17"/>
      <c r="KP22" s="17"/>
      <c r="KQ22" s="17"/>
      <c r="KR22" s="17"/>
      <c r="KS22" s="17"/>
      <c r="KT22" s="17"/>
      <c r="KU22" s="17"/>
      <c r="KV22" s="17"/>
      <c r="KW22" s="17"/>
      <c r="KX22" s="17"/>
      <c r="KY22" s="17"/>
      <c r="KZ22" s="17"/>
      <c r="LA22" s="17"/>
      <c r="LB22" s="17"/>
      <c r="LC22" s="17"/>
      <c r="LD22" s="17"/>
      <c r="LE22" s="17"/>
      <c r="LF22" s="17"/>
      <c r="LG22" s="17"/>
      <c r="LH22" s="17"/>
      <c r="LI22" s="17"/>
      <c r="LJ22" s="17"/>
      <c r="LK22" s="17"/>
      <c r="LL22" s="17"/>
      <c r="LM22" s="17"/>
      <c r="LN22" s="17"/>
      <c r="LO22" s="17"/>
      <c r="LP22" s="17"/>
      <c r="LQ22" s="17"/>
      <c r="LR22" s="17"/>
      <c r="LS22" s="17"/>
      <c r="LT22" s="17"/>
      <c r="LU22" s="17"/>
      <c r="LV22" s="17"/>
      <c r="LW22" s="17"/>
      <c r="LX22" s="17"/>
      <c r="LY22" s="17"/>
      <c r="LZ22" s="17"/>
      <c r="MA22" s="17"/>
      <c r="MB22" s="17"/>
      <c r="MC22" s="17"/>
      <c r="MD22" s="17"/>
      <c r="ME22" s="17"/>
      <c r="MF22" s="17"/>
      <c r="MG22" s="17"/>
      <c r="MH22" s="17"/>
      <c r="MI22" s="17"/>
      <c r="MJ22" s="17"/>
      <c r="MK22" s="17"/>
      <c r="ML22" s="17"/>
      <c r="MM22" s="17"/>
      <c r="MN22" s="17"/>
      <c r="MO22" s="17"/>
      <c r="MP22" s="17"/>
      <c r="MQ22" s="17"/>
      <c r="MR22" s="17"/>
      <c r="MS22" s="17"/>
      <c r="MT22" s="17"/>
      <c r="MU22" s="17"/>
      <c r="MV22" s="17"/>
      <c r="MW22" s="17"/>
      <c r="MX22" s="17"/>
      <c r="MY22" s="17"/>
      <c r="MZ22" s="17"/>
      <c r="NA22" s="17"/>
      <c r="NB22" s="17"/>
      <c r="NC22" s="17"/>
      <c r="ND22" s="17"/>
      <c r="NE22" s="17"/>
      <c r="NF22" s="17"/>
      <c r="NG22" s="17"/>
      <c r="NH22" s="17"/>
      <c r="NI22" s="17"/>
      <c r="NJ22" s="17"/>
      <c r="NK22" s="17"/>
      <c r="NL22" s="17"/>
      <c r="NM22" s="17"/>
      <c r="NN22" s="17"/>
      <c r="NO22" s="17"/>
      <c r="NP22" s="17"/>
      <c r="NQ22" s="17"/>
      <c r="NR22" s="17"/>
      <c r="NS22" s="17"/>
      <c r="NT22" s="17"/>
      <c r="NU22" s="17"/>
      <c r="NV22" s="17"/>
      <c r="NW22" s="17"/>
      <c r="NX22" s="17"/>
      <c r="NY22" s="17"/>
      <c r="NZ22" s="17"/>
      <c r="OA22" s="17"/>
      <c r="OB22" s="17"/>
      <c r="OC22" s="17"/>
      <c r="OD22" s="17"/>
      <c r="OE22" s="17"/>
      <c r="OF22" s="17"/>
      <c r="OG22" s="17"/>
      <c r="OH22" s="17"/>
      <c r="OI22" s="17"/>
      <c r="OJ22" s="17"/>
      <c r="OK22" s="17"/>
      <c r="OL22" s="17"/>
      <c r="OM22" s="17"/>
      <c r="ON22" s="17"/>
      <c r="OO22" s="17"/>
      <c r="OP22" s="17"/>
      <c r="OQ22" s="17"/>
      <c r="OR22" s="17"/>
      <c r="OS22" s="17"/>
      <c r="OT22" s="17"/>
      <c r="OU22" s="17"/>
      <c r="OV22" s="17"/>
      <c r="OW22" s="17"/>
      <c r="OX22" s="17"/>
      <c r="OY22" s="17"/>
      <c r="OZ22" s="17"/>
      <c r="PA22" s="17"/>
      <c r="PB22" s="17"/>
      <c r="PC22" s="17"/>
      <c r="PD22" s="17"/>
      <c r="PE22" s="17"/>
      <c r="PF22" s="17"/>
      <c r="PG22" s="17"/>
      <c r="PH22" s="17"/>
      <c r="PI22" s="17"/>
      <c r="PJ22" s="17"/>
      <c r="PK22" s="17"/>
      <c r="PL22" s="17"/>
      <c r="PM22" s="17"/>
      <c r="PN22" s="17"/>
      <c r="PO22" s="17"/>
      <c r="PP22" s="17"/>
      <c r="PQ22" s="17"/>
      <c r="PR22" s="17"/>
      <c r="PS22" s="17"/>
      <c r="PT22" s="17"/>
      <c r="PU22" s="17"/>
      <c r="PV22" s="17"/>
      <c r="PW22" s="17"/>
      <c r="PX22" s="17"/>
      <c r="PY22" s="17"/>
      <c r="PZ22" s="17"/>
      <c r="QA22" s="17"/>
      <c r="QB22" s="17"/>
      <c r="QC22" s="17"/>
      <c r="QD22" s="17"/>
      <c r="QE22" s="17"/>
      <c r="QF22" s="17"/>
      <c r="QG22" s="17"/>
      <c r="QH22" s="17"/>
      <c r="QI22" s="17"/>
      <c r="QJ22" s="17"/>
      <c r="QK22" s="17"/>
      <c r="QL22" s="17"/>
      <c r="QM22" s="17"/>
      <c r="QN22" s="17"/>
      <c r="QO22" s="17"/>
      <c r="QP22" s="17"/>
      <c r="QQ22" s="17"/>
      <c r="QR22" s="17"/>
      <c r="QS22" s="17"/>
      <c r="QT22" s="17"/>
      <c r="QU22" s="17"/>
      <c r="QV22" s="17"/>
      <c r="QW22" s="17"/>
      <c r="QX22" s="17"/>
      <c r="QY22" s="17"/>
      <c r="QZ22" s="17"/>
      <c r="RA22" s="17"/>
      <c r="RB22" s="17"/>
      <c r="RC22" s="17"/>
      <c r="RD22" s="17"/>
      <c r="RE22" s="17"/>
      <c r="RF22" s="17"/>
      <c r="RG22" s="17"/>
      <c r="RH22" s="17"/>
      <c r="RI22" s="17"/>
      <c r="RJ22" s="17"/>
      <c r="RK22" s="17"/>
      <c r="RL22" s="17"/>
      <c r="RM22" s="17"/>
      <c r="RN22" s="17"/>
      <c r="RO22" s="17"/>
      <c r="RP22" s="17"/>
      <c r="RQ22" s="17"/>
      <c r="RR22" s="17"/>
      <c r="RS22" s="17"/>
      <c r="RT22" s="17"/>
      <c r="RU22" s="17"/>
      <c r="RV22" s="17"/>
      <c r="RW22" s="17"/>
      <c r="RX22" s="17"/>
      <c r="RY22" s="17"/>
      <c r="RZ22" s="17"/>
      <c r="SA22" s="17"/>
      <c r="SB22" s="17"/>
      <c r="SC22" s="17"/>
      <c r="SD22" s="17"/>
      <c r="SE22" s="17"/>
      <c r="SF22" s="17"/>
      <c r="SG22" s="17"/>
      <c r="SH22" s="17"/>
      <c r="SI22" s="17"/>
      <c r="SJ22" s="17"/>
      <c r="SK22" s="17"/>
      <c r="SL22" s="17"/>
      <c r="SM22" s="17"/>
      <c r="SN22" s="17"/>
      <c r="SO22" s="17"/>
      <c r="SP22" s="17"/>
      <c r="SQ22" s="17"/>
      <c r="SR22" s="17"/>
      <c r="SS22" s="17"/>
      <c r="ST22" s="17"/>
      <c r="SU22" s="17"/>
      <c r="SV22" s="17"/>
      <c r="SW22" s="17"/>
      <c r="SX22" s="17"/>
      <c r="SY22" s="17"/>
      <c r="SZ22" s="17"/>
      <c r="TA22" s="17"/>
      <c r="TB22" s="17"/>
      <c r="TC22" s="17"/>
      <c r="TD22" s="17"/>
      <c r="TE22" s="17"/>
      <c r="TF22" s="17"/>
      <c r="TG22" s="17"/>
      <c r="TH22" s="17"/>
      <c r="TI22" s="17"/>
      <c r="TJ22" s="17"/>
      <c r="TK22" s="17"/>
      <c r="TL22" s="17"/>
      <c r="TM22" s="17"/>
      <c r="TN22" s="17"/>
      <c r="TO22" s="17"/>
      <c r="TP22" s="17"/>
      <c r="TQ22" s="17"/>
      <c r="TR22" s="17"/>
      <c r="TS22" s="17"/>
      <c r="TT22" s="17"/>
      <c r="TU22" s="17"/>
      <c r="TV22" s="17"/>
      <c r="TW22" s="17"/>
      <c r="TX22" s="17"/>
      <c r="TY22" s="17"/>
      <c r="TZ22" s="17"/>
      <c r="UA22" s="17"/>
      <c r="UB22" s="17"/>
      <c r="UC22" s="17"/>
      <c r="UD22" s="17"/>
      <c r="UE22" s="17"/>
      <c r="UF22" s="17"/>
      <c r="UG22" s="17"/>
      <c r="UH22" s="17"/>
      <c r="UI22" s="17"/>
      <c r="UJ22" s="17"/>
      <c r="UK22" s="17"/>
      <c r="UL22" s="17"/>
      <c r="UM22" s="17"/>
      <c r="UN22" s="17"/>
      <c r="UO22" s="17"/>
      <c r="UP22" s="17"/>
      <c r="UQ22" s="17"/>
      <c r="UR22" s="17"/>
      <c r="US22" s="17"/>
      <c r="UT22" s="17"/>
      <c r="UU22" s="17"/>
      <c r="UV22" s="17"/>
      <c r="UW22" s="17"/>
      <c r="UX22" s="17"/>
      <c r="UY22" s="17"/>
      <c r="UZ22" s="17"/>
      <c r="VA22" s="17"/>
      <c r="VB22" s="17"/>
      <c r="VC22" s="17"/>
      <c r="VD22" s="17"/>
      <c r="VE22" s="17"/>
      <c r="VF22" s="17"/>
      <c r="VG22" s="17"/>
      <c r="VH22" s="17"/>
      <c r="VI22" s="17"/>
      <c r="VJ22" s="17"/>
      <c r="VK22" s="17"/>
      <c r="VL22" s="17"/>
      <c r="VM22" s="17"/>
      <c r="VN22" s="17"/>
      <c r="VO22" s="17"/>
      <c r="VP22" s="17"/>
      <c r="VQ22" s="17"/>
      <c r="VR22" s="17"/>
      <c r="VS22" s="17"/>
      <c r="VT22" s="17"/>
      <c r="VU22" s="17"/>
      <c r="VV22" s="17"/>
      <c r="VW22" s="17"/>
      <c r="VX22" s="17"/>
      <c r="VY22" s="17"/>
      <c r="VZ22" s="17"/>
      <c r="WA22" s="17"/>
      <c r="WB22" s="17"/>
      <c r="WC22" s="17"/>
      <c r="WD22" s="17"/>
      <c r="WE22" s="17"/>
      <c r="WF22" s="17"/>
      <c r="WG22" s="17"/>
      <c r="WH22" s="17"/>
      <c r="WI22" s="17"/>
      <c r="WJ22" s="17"/>
      <c r="WK22" s="17"/>
      <c r="WL22" s="17"/>
      <c r="WM22" s="17"/>
      <c r="WN22" s="17"/>
      <c r="WO22" s="17"/>
      <c r="WP22" s="17"/>
      <c r="WQ22" s="17"/>
      <c r="WR22" s="17"/>
      <c r="WS22" s="17"/>
      <c r="WT22" s="17"/>
      <c r="WU22" s="17"/>
      <c r="WV22" s="17"/>
      <c r="WW22" s="17"/>
      <c r="WX22" s="17"/>
      <c r="WY22" s="17"/>
      <c r="WZ22" s="17"/>
      <c r="XA22" s="17"/>
      <c r="XB22" s="17"/>
      <c r="XC22" s="17"/>
      <c r="XD22" s="17"/>
      <c r="XE22" s="17"/>
      <c r="XF22" s="17"/>
      <c r="XG22" s="17"/>
      <c r="XH22" s="17"/>
      <c r="XI22" s="17"/>
      <c r="XJ22" s="17"/>
      <c r="XK22" s="17"/>
      <c r="XL22" s="17"/>
      <c r="XM22" s="17"/>
      <c r="XN22" s="17"/>
      <c r="XO22" s="17"/>
      <c r="XP22" s="17"/>
      <c r="XQ22" s="17"/>
      <c r="XR22" s="17"/>
      <c r="XS22" s="17"/>
      <c r="XT22" s="17"/>
      <c r="XU22" s="17"/>
      <c r="XV22" s="17"/>
      <c r="XW22" s="17"/>
      <c r="XX22" s="17"/>
      <c r="XY22" s="17"/>
      <c r="XZ22" s="17"/>
      <c r="YA22" s="17"/>
      <c r="YB22" s="17"/>
      <c r="YC22" s="17"/>
      <c r="YD22" s="17"/>
      <c r="YE22" s="17"/>
      <c r="YF22" s="17"/>
      <c r="YG22" s="17"/>
      <c r="YH22" s="17"/>
      <c r="YI22" s="17"/>
      <c r="YJ22" s="17"/>
      <c r="YK22" s="17"/>
      <c r="YL22" s="17"/>
      <c r="YM22" s="17"/>
      <c r="YN22" s="17"/>
      <c r="YO22" s="17"/>
      <c r="YP22" s="17"/>
      <c r="YQ22" s="17"/>
      <c r="YR22" s="17"/>
      <c r="YS22" s="17"/>
      <c r="YT22" s="17"/>
      <c r="YU22" s="17"/>
      <c r="YV22" s="17"/>
      <c r="YW22" s="17"/>
      <c r="YX22" s="17"/>
      <c r="YY22" s="17"/>
      <c r="YZ22" s="17"/>
      <c r="ZA22" s="17"/>
      <c r="ZB22" s="17"/>
      <c r="ZC22" s="17"/>
      <c r="ZD22" s="17"/>
      <c r="ZE22" s="17"/>
      <c r="ZF22" s="17"/>
      <c r="ZG22" s="17"/>
      <c r="ZH22" s="17"/>
      <c r="ZI22" s="17"/>
      <c r="ZJ22" s="17"/>
      <c r="ZK22" s="17"/>
      <c r="ZL22" s="17"/>
      <c r="ZM22" s="17"/>
      <c r="ZN22" s="17"/>
      <c r="ZO22" s="17"/>
      <c r="ZP22" s="17"/>
      <c r="ZQ22" s="17"/>
      <c r="ZR22" s="17"/>
      <c r="ZS22" s="17"/>
      <c r="ZT22" s="17"/>
      <c r="ZU22" s="17"/>
      <c r="ZV22" s="17"/>
      <c r="ZW22" s="17"/>
      <c r="ZX22" s="17"/>
      <c r="ZY22" s="17"/>
      <c r="ZZ22" s="17"/>
    </row>
    <row r="23" spans="1:702" s="33" customFormat="1" x14ac:dyDescent="0.25">
      <c r="A23" s="30" t="str">
        <f>IF(COUNTA(B23:B23)=0,"", MAX(A$2:A22)+1)</f>
        <v/>
      </c>
      <c r="C23" s="34"/>
      <c r="D23" s="63"/>
      <c r="M23" s="34"/>
      <c r="Q23" s="34"/>
      <c r="U23" s="62"/>
      <c r="V23" s="62"/>
      <c r="W23" s="97"/>
      <c r="Z23" s="30" t="str">
        <f t="shared" si="0"/>
        <v/>
      </c>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c r="EN23" s="17"/>
      <c r="EO23" s="17"/>
      <c r="EP23" s="17"/>
      <c r="EQ23" s="17"/>
      <c r="ER23" s="17"/>
      <c r="ES23" s="17"/>
      <c r="ET23" s="17"/>
      <c r="EU23" s="17"/>
      <c r="EV23" s="17"/>
      <c r="EW23" s="17"/>
      <c r="EX23" s="17"/>
      <c r="EY23" s="17"/>
      <c r="EZ23" s="17"/>
      <c r="FA23" s="17"/>
      <c r="FB23" s="17"/>
      <c r="FC23" s="17"/>
      <c r="FD23" s="17"/>
      <c r="FE23" s="17"/>
      <c r="FF23" s="17"/>
      <c r="FG23" s="17"/>
      <c r="FH23" s="17"/>
      <c r="FI23" s="17"/>
      <c r="FJ23" s="17"/>
      <c r="FK23" s="17"/>
      <c r="FL23" s="17"/>
      <c r="FM23" s="17"/>
      <c r="FN23" s="17"/>
      <c r="FO23" s="17"/>
      <c r="FP23" s="17"/>
      <c r="FQ23" s="17"/>
      <c r="FR23" s="17"/>
      <c r="FS23" s="17"/>
      <c r="FT23" s="17"/>
      <c r="FU23" s="17"/>
      <c r="FV23" s="17"/>
      <c r="FW23" s="17"/>
      <c r="FX23" s="17"/>
      <c r="FY23" s="17"/>
      <c r="FZ23" s="17"/>
      <c r="GA23" s="17"/>
      <c r="GB23" s="17"/>
      <c r="GC23" s="17"/>
      <c r="GD23" s="17"/>
      <c r="GE23" s="17"/>
      <c r="GF23" s="17"/>
      <c r="GG23" s="17"/>
      <c r="GH23" s="17"/>
      <c r="GI23" s="17"/>
      <c r="GJ23" s="17"/>
      <c r="GK23" s="17"/>
      <c r="GL23" s="17"/>
      <c r="GM23" s="17"/>
      <c r="GN23" s="17"/>
      <c r="GO23" s="17"/>
      <c r="GP23" s="17"/>
      <c r="GQ23" s="17"/>
      <c r="GR23" s="17"/>
      <c r="GS23" s="17"/>
      <c r="GT23" s="17"/>
      <c r="GU23" s="17"/>
      <c r="GV23" s="17"/>
      <c r="GW23" s="17"/>
      <c r="GX23" s="17"/>
      <c r="GY23" s="17"/>
      <c r="GZ23" s="17"/>
      <c r="HA23" s="17"/>
      <c r="HB23" s="17"/>
      <c r="HC23" s="17"/>
      <c r="HD23" s="17"/>
      <c r="HE23" s="17"/>
      <c r="HF23" s="17"/>
      <c r="HG23" s="17"/>
      <c r="HH23" s="17"/>
      <c r="HI23" s="17"/>
      <c r="HJ23" s="17"/>
      <c r="HK23" s="17"/>
      <c r="HL23" s="17"/>
      <c r="HM23" s="17"/>
      <c r="HN23" s="17"/>
      <c r="HO23" s="17"/>
      <c r="HP23" s="17"/>
      <c r="HQ23" s="17"/>
      <c r="HR23" s="17"/>
      <c r="HS23" s="17"/>
      <c r="HT23" s="17"/>
      <c r="HU23" s="17"/>
      <c r="HV23" s="17"/>
      <c r="HW23" s="17"/>
      <c r="HX23" s="17"/>
      <c r="HY23" s="17"/>
      <c r="HZ23" s="17"/>
      <c r="IA23" s="17"/>
      <c r="IB23" s="17"/>
      <c r="IC23" s="17"/>
      <c r="ID23" s="17"/>
      <c r="IE23" s="17"/>
      <c r="IF23" s="17"/>
      <c r="IG23" s="17"/>
      <c r="IH23" s="17"/>
      <c r="II23" s="17"/>
      <c r="IJ23" s="17"/>
      <c r="IK23" s="17"/>
      <c r="IL23" s="17"/>
      <c r="IM23" s="17"/>
      <c r="IN23" s="17"/>
      <c r="IO23" s="17"/>
      <c r="IP23" s="17"/>
      <c r="IQ23" s="17"/>
      <c r="IR23" s="17"/>
      <c r="IS23" s="17"/>
      <c r="IT23" s="17"/>
      <c r="IU23" s="17"/>
      <c r="IV23" s="17"/>
      <c r="IW23" s="17"/>
      <c r="IX23" s="17"/>
      <c r="IY23" s="17"/>
      <c r="IZ23" s="17"/>
      <c r="JA23" s="17"/>
      <c r="JB23" s="17"/>
      <c r="JC23" s="17"/>
      <c r="JD23" s="17"/>
      <c r="JE23" s="17"/>
      <c r="JF23" s="17"/>
      <c r="JG23" s="17"/>
      <c r="JH23" s="17"/>
      <c r="JI23" s="17"/>
      <c r="JJ23" s="17"/>
      <c r="JK23" s="17"/>
      <c r="JL23" s="17"/>
      <c r="JM23" s="17"/>
      <c r="JN23" s="17"/>
      <c r="JO23" s="17"/>
      <c r="JP23" s="17"/>
      <c r="JQ23" s="17"/>
      <c r="JR23" s="17"/>
      <c r="JS23" s="17"/>
      <c r="JT23" s="17"/>
      <c r="JU23" s="17"/>
      <c r="JV23" s="17"/>
      <c r="JW23" s="17"/>
      <c r="JX23" s="17"/>
      <c r="JY23" s="17"/>
      <c r="JZ23" s="17"/>
      <c r="KA23" s="17"/>
      <c r="KB23" s="17"/>
      <c r="KC23" s="17"/>
      <c r="KD23" s="17"/>
      <c r="KE23" s="17"/>
      <c r="KF23" s="17"/>
      <c r="KG23" s="17"/>
      <c r="KH23" s="17"/>
      <c r="KI23" s="17"/>
      <c r="KJ23" s="17"/>
      <c r="KK23" s="17"/>
      <c r="KL23" s="17"/>
      <c r="KM23" s="17"/>
      <c r="KN23" s="17"/>
      <c r="KO23" s="17"/>
      <c r="KP23" s="17"/>
      <c r="KQ23" s="17"/>
      <c r="KR23" s="17"/>
      <c r="KS23" s="17"/>
      <c r="KT23" s="17"/>
      <c r="KU23" s="17"/>
      <c r="KV23" s="17"/>
      <c r="KW23" s="17"/>
      <c r="KX23" s="17"/>
      <c r="KY23" s="17"/>
      <c r="KZ23" s="17"/>
      <c r="LA23" s="17"/>
      <c r="LB23" s="17"/>
      <c r="LC23" s="17"/>
      <c r="LD23" s="17"/>
      <c r="LE23" s="17"/>
      <c r="LF23" s="17"/>
      <c r="LG23" s="17"/>
      <c r="LH23" s="17"/>
      <c r="LI23" s="17"/>
      <c r="LJ23" s="17"/>
      <c r="LK23" s="17"/>
      <c r="LL23" s="17"/>
      <c r="LM23" s="17"/>
      <c r="LN23" s="17"/>
      <c r="LO23" s="17"/>
      <c r="LP23" s="17"/>
      <c r="LQ23" s="17"/>
      <c r="LR23" s="17"/>
      <c r="LS23" s="17"/>
      <c r="LT23" s="17"/>
      <c r="LU23" s="17"/>
      <c r="LV23" s="17"/>
      <c r="LW23" s="17"/>
      <c r="LX23" s="17"/>
      <c r="LY23" s="17"/>
      <c r="LZ23" s="17"/>
      <c r="MA23" s="17"/>
      <c r="MB23" s="17"/>
      <c r="MC23" s="17"/>
      <c r="MD23" s="17"/>
      <c r="ME23" s="17"/>
      <c r="MF23" s="17"/>
      <c r="MG23" s="17"/>
      <c r="MH23" s="17"/>
      <c r="MI23" s="17"/>
      <c r="MJ23" s="17"/>
      <c r="MK23" s="17"/>
      <c r="ML23" s="17"/>
      <c r="MM23" s="17"/>
      <c r="MN23" s="17"/>
      <c r="MO23" s="17"/>
      <c r="MP23" s="17"/>
      <c r="MQ23" s="17"/>
      <c r="MR23" s="17"/>
      <c r="MS23" s="17"/>
      <c r="MT23" s="17"/>
      <c r="MU23" s="17"/>
      <c r="MV23" s="17"/>
      <c r="MW23" s="17"/>
      <c r="MX23" s="17"/>
      <c r="MY23" s="17"/>
      <c r="MZ23" s="17"/>
      <c r="NA23" s="17"/>
      <c r="NB23" s="17"/>
      <c r="NC23" s="17"/>
      <c r="ND23" s="17"/>
      <c r="NE23" s="17"/>
      <c r="NF23" s="17"/>
      <c r="NG23" s="17"/>
      <c r="NH23" s="17"/>
      <c r="NI23" s="17"/>
      <c r="NJ23" s="17"/>
      <c r="NK23" s="17"/>
      <c r="NL23" s="17"/>
      <c r="NM23" s="17"/>
      <c r="NN23" s="17"/>
      <c r="NO23" s="17"/>
      <c r="NP23" s="17"/>
      <c r="NQ23" s="17"/>
      <c r="NR23" s="17"/>
      <c r="NS23" s="17"/>
      <c r="NT23" s="17"/>
      <c r="NU23" s="17"/>
      <c r="NV23" s="17"/>
      <c r="NW23" s="17"/>
      <c r="NX23" s="17"/>
      <c r="NY23" s="17"/>
      <c r="NZ23" s="17"/>
      <c r="OA23" s="17"/>
      <c r="OB23" s="17"/>
      <c r="OC23" s="17"/>
      <c r="OD23" s="17"/>
      <c r="OE23" s="17"/>
      <c r="OF23" s="17"/>
      <c r="OG23" s="17"/>
      <c r="OH23" s="17"/>
      <c r="OI23" s="17"/>
      <c r="OJ23" s="17"/>
      <c r="OK23" s="17"/>
      <c r="OL23" s="17"/>
      <c r="OM23" s="17"/>
      <c r="ON23" s="17"/>
      <c r="OO23" s="17"/>
      <c r="OP23" s="17"/>
      <c r="OQ23" s="17"/>
      <c r="OR23" s="17"/>
      <c r="OS23" s="17"/>
      <c r="OT23" s="17"/>
      <c r="OU23" s="17"/>
      <c r="OV23" s="17"/>
      <c r="OW23" s="17"/>
      <c r="OX23" s="17"/>
      <c r="OY23" s="17"/>
      <c r="OZ23" s="17"/>
      <c r="PA23" s="17"/>
      <c r="PB23" s="17"/>
      <c r="PC23" s="17"/>
      <c r="PD23" s="17"/>
      <c r="PE23" s="17"/>
      <c r="PF23" s="17"/>
      <c r="PG23" s="17"/>
      <c r="PH23" s="17"/>
      <c r="PI23" s="17"/>
      <c r="PJ23" s="17"/>
      <c r="PK23" s="17"/>
      <c r="PL23" s="17"/>
      <c r="PM23" s="17"/>
      <c r="PN23" s="17"/>
      <c r="PO23" s="17"/>
      <c r="PP23" s="17"/>
      <c r="PQ23" s="17"/>
      <c r="PR23" s="17"/>
      <c r="PS23" s="17"/>
      <c r="PT23" s="17"/>
      <c r="PU23" s="17"/>
      <c r="PV23" s="17"/>
      <c r="PW23" s="17"/>
      <c r="PX23" s="17"/>
      <c r="PY23" s="17"/>
      <c r="PZ23" s="17"/>
      <c r="QA23" s="17"/>
      <c r="QB23" s="17"/>
      <c r="QC23" s="17"/>
      <c r="QD23" s="17"/>
      <c r="QE23" s="17"/>
      <c r="QF23" s="17"/>
      <c r="QG23" s="17"/>
      <c r="QH23" s="17"/>
      <c r="QI23" s="17"/>
      <c r="QJ23" s="17"/>
      <c r="QK23" s="17"/>
      <c r="QL23" s="17"/>
      <c r="QM23" s="17"/>
      <c r="QN23" s="17"/>
      <c r="QO23" s="17"/>
      <c r="QP23" s="17"/>
      <c r="QQ23" s="17"/>
      <c r="QR23" s="17"/>
      <c r="QS23" s="17"/>
      <c r="QT23" s="17"/>
      <c r="QU23" s="17"/>
      <c r="QV23" s="17"/>
      <c r="QW23" s="17"/>
      <c r="QX23" s="17"/>
      <c r="QY23" s="17"/>
      <c r="QZ23" s="17"/>
      <c r="RA23" s="17"/>
      <c r="RB23" s="17"/>
      <c r="RC23" s="17"/>
      <c r="RD23" s="17"/>
      <c r="RE23" s="17"/>
      <c r="RF23" s="17"/>
      <c r="RG23" s="17"/>
      <c r="RH23" s="17"/>
      <c r="RI23" s="17"/>
      <c r="RJ23" s="17"/>
      <c r="RK23" s="17"/>
      <c r="RL23" s="17"/>
      <c r="RM23" s="17"/>
      <c r="RN23" s="17"/>
      <c r="RO23" s="17"/>
      <c r="RP23" s="17"/>
      <c r="RQ23" s="17"/>
      <c r="RR23" s="17"/>
      <c r="RS23" s="17"/>
      <c r="RT23" s="17"/>
      <c r="RU23" s="17"/>
      <c r="RV23" s="17"/>
      <c r="RW23" s="17"/>
      <c r="RX23" s="17"/>
      <c r="RY23" s="17"/>
      <c r="RZ23" s="17"/>
      <c r="SA23" s="17"/>
      <c r="SB23" s="17"/>
      <c r="SC23" s="17"/>
      <c r="SD23" s="17"/>
      <c r="SE23" s="17"/>
      <c r="SF23" s="17"/>
      <c r="SG23" s="17"/>
      <c r="SH23" s="17"/>
      <c r="SI23" s="17"/>
      <c r="SJ23" s="17"/>
      <c r="SK23" s="17"/>
      <c r="SL23" s="17"/>
      <c r="SM23" s="17"/>
      <c r="SN23" s="17"/>
      <c r="SO23" s="17"/>
      <c r="SP23" s="17"/>
      <c r="SQ23" s="17"/>
      <c r="SR23" s="17"/>
      <c r="SS23" s="17"/>
      <c r="ST23" s="17"/>
      <c r="SU23" s="17"/>
      <c r="SV23" s="17"/>
      <c r="SW23" s="17"/>
      <c r="SX23" s="17"/>
      <c r="SY23" s="17"/>
      <c r="SZ23" s="17"/>
      <c r="TA23" s="17"/>
      <c r="TB23" s="17"/>
      <c r="TC23" s="17"/>
      <c r="TD23" s="17"/>
      <c r="TE23" s="17"/>
      <c r="TF23" s="17"/>
      <c r="TG23" s="17"/>
      <c r="TH23" s="17"/>
      <c r="TI23" s="17"/>
      <c r="TJ23" s="17"/>
      <c r="TK23" s="17"/>
      <c r="TL23" s="17"/>
      <c r="TM23" s="17"/>
      <c r="TN23" s="17"/>
      <c r="TO23" s="17"/>
      <c r="TP23" s="17"/>
      <c r="TQ23" s="17"/>
      <c r="TR23" s="17"/>
      <c r="TS23" s="17"/>
      <c r="TT23" s="17"/>
      <c r="TU23" s="17"/>
      <c r="TV23" s="17"/>
      <c r="TW23" s="17"/>
      <c r="TX23" s="17"/>
      <c r="TY23" s="17"/>
      <c r="TZ23" s="17"/>
      <c r="UA23" s="17"/>
      <c r="UB23" s="17"/>
      <c r="UC23" s="17"/>
      <c r="UD23" s="17"/>
      <c r="UE23" s="17"/>
      <c r="UF23" s="17"/>
      <c r="UG23" s="17"/>
      <c r="UH23" s="17"/>
      <c r="UI23" s="17"/>
      <c r="UJ23" s="17"/>
      <c r="UK23" s="17"/>
      <c r="UL23" s="17"/>
      <c r="UM23" s="17"/>
      <c r="UN23" s="17"/>
      <c r="UO23" s="17"/>
      <c r="UP23" s="17"/>
      <c r="UQ23" s="17"/>
      <c r="UR23" s="17"/>
      <c r="US23" s="17"/>
      <c r="UT23" s="17"/>
      <c r="UU23" s="17"/>
      <c r="UV23" s="17"/>
      <c r="UW23" s="17"/>
      <c r="UX23" s="17"/>
      <c r="UY23" s="17"/>
      <c r="UZ23" s="17"/>
      <c r="VA23" s="17"/>
      <c r="VB23" s="17"/>
      <c r="VC23" s="17"/>
      <c r="VD23" s="17"/>
      <c r="VE23" s="17"/>
      <c r="VF23" s="17"/>
      <c r="VG23" s="17"/>
      <c r="VH23" s="17"/>
      <c r="VI23" s="17"/>
      <c r="VJ23" s="17"/>
      <c r="VK23" s="17"/>
      <c r="VL23" s="17"/>
      <c r="VM23" s="17"/>
      <c r="VN23" s="17"/>
      <c r="VO23" s="17"/>
      <c r="VP23" s="17"/>
      <c r="VQ23" s="17"/>
      <c r="VR23" s="17"/>
      <c r="VS23" s="17"/>
      <c r="VT23" s="17"/>
      <c r="VU23" s="17"/>
      <c r="VV23" s="17"/>
      <c r="VW23" s="17"/>
      <c r="VX23" s="17"/>
      <c r="VY23" s="17"/>
      <c r="VZ23" s="17"/>
      <c r="WA23" s="17"/>
      <c r="WB23" s="17"/>
      <c r="WC23" s="17"/>
      <c r="WD23" s="17"/>
      <c r="WE23" s="17"/>
      <c r="WF23" s="17"/>
      <c r="WG23" s="17"/>
      <c r="WH23" s="17"/>
      <c r="WI23" s="17"/>
      <c r="WJ23" s="17"/>
      <c r="WK23" s="17"/>
      <c r="WL23" s="17"/>
      <c r="WM23" s="17"/>
      <c r="WN23" s="17"/>
      <c r="WO23" s="17"/>
      <c r="WP23" s="17"/>
      <c r="WQ23" s="17"/>
      <c r="WR23" s="17"/>
      <c r="WS23" s="17"/>
      <c r="WT23" s="17"/>
      <c r="WU23" s="17"/>
      <c r="WV23" s="17"/>
      <c r="WW23" s="17"/>
      <c r="WX23" s="17"/>
      <c r="WY23" s="17"/>
      <c r="WZ23" s="17"/>
      <c r="XA23" s="17"/>
      <c r="XB23" s="17"/>
      <c r="XC23" s="17"/>
      <c r="XD23" s="17"/>
      <c r="XE23" s="17"/>
      <c r="XF23" s="17"/>
      <c r="XG23" s="17"/>
      <c r="XH23" s="17"/>
      <c r="XI23" s="17"/>
      <c r="XJ23" s="17"/>
      <c r="XK23" s="17"/>
      <c r="XL23" s="17"/>
      <c r="XM23" s="17"/>
      <c r="XN23" s="17"/>
      <c r="XO23" s="17"/>
      <c r="XP23" s="17"/>
      <c r="XQ23" s="17"/>
      <c r="XR23" s="17"/>
      <c r="XS23" s="17"/>
      <c r="XT23" s="17"/>
      <c r="XU23" s="17"/>
      <c r="XV23" s="17"/>
      <c r="XW23" s="17"/>
      <c r="XX23" s="17"/>
      <c r="XY23" s="17"/>
      <c r="XZ23" s="17"/>
      <c r="YA23" s="17"/>
      <c r="YB23" s="17"/>
      <c r="YC23" s="17"/>
      <c r="YD23" s="17"/>
      <c r="YE23" s="17"/>
      <c r="YF23" s="17"/>
      <c r="YG23" s="17"/>
      <c r="YH23" s="17"/>
      <c r="YI23" s="17"/>
      <c r="YJ23" s="17"/>
      <c r="YK23" s="17"/>
      <c r="YL23" s="17"/>
      <c r="YM23" s="17"/>
      <c r="YN23" s="17"/>
      <c r="YO23" s="17"/>
      <c r="YP23" s="17"/>
      <c r="YQ23" s="17"/>
      <c r="YR23" s="17"/>
      <c r="YS23" s="17"/>
      <c r="YT23" s="17"/>
      <c r="YU23" s="17"/>
      <c r="YV23" s="17"/>
      <c r="YW23" s="17"/>
      <c r="YX23" s="17"/>
      <c r="YY23" s="17"/>
      <c r="YZ23" s="17"/>
      <c r="ZA23" s="17"/>
      <c r="ZB23" s="17"/>
      <c r="ZC23" s="17"/>
      <c r="ZD23" s="17"/>
      <c r="ZE23" s="17"/>
      <c r="ZF23" s="17"/>
      <c r="ZG23" s="17"/>
      <c r="ZH23" s="17"/>
      <c r="ZI23" s="17"/>
      <c r="ZJ23" s="17"/>
      <c r="ZK23" s="17"/>
      <c r="ZL23" s="17"/>
      <c r="ZM23" s="17"/>
      <c r="ZN23" s="17"/>
      <c r="ZO23" s="17"/>
      <c r="ZP23" s="17"/>
      <c r="ZQ23" s="17"/>
      <c r="ZR23" s="17"/>
      <c r="ZS23" s="17"/>
      <c r="ZT23" s="17"/>
      <c r="ZU23" s="17"/>
      <c r="ZV23" s="17"/>
      <c r="ZW23" s="17"/>
      <c r="ZX23" s="17"/>
      <c r="ZY23" s="17"/>
      <c r="ZZ23" s="17"/>
    </row>
    <row r="24" spans="1:702" s="33" customFormat="1" x14ac:dyDescent="0.25">
      <c r="A24" s="30" t="str">
        <f>IF(COUNTA(B24:B24)=0,"", MAX(A$2:A23)+1)</f>
        <v/>
      </c>
      <c r="C24" s="34"/>
      <c r="D24" s="63"/>
      <c r="M24" s="34"/>
      <c r="Q24" s="34"/>
      <c r="U24" s="17"/>
      <c r="V24" s="62"/>
      <c r="W24" s="97"/>
      <c r="Z24" s="30" t="str">
        <f t="shared" si="0"/>
        <v/>
      </c>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c r="EC24" s="17"/>
      <c r="ED24" s="17"/>
      <c r="EE24" s="17"/>
      <c r="EF24" s="17"/>
      <c r="EG24" s="17"/>
      <c r="EH24" s="17"/>
      <c r="EI24" s="17"/>
      <c r="EJ24" s="17"/>
      <c r="EK24" s="17"/>
      <c r="EL24" s="17"/>
      <c r="EM24" s="17"/>
      <c r="EN24" s="17"/>
      <c r="EO24" s="17"/>
      <c r="EP24" s="17"/>
      <c r="EQ24" s="17"/>
      <c r="ER24" s="17"/>
      <c r="ES24" s="17"/>
      <c r="ET24" s="17"/>
      <c r="EU24" s="17"/>
      <c r="EV24" s="17"/>
      <c r="EW24" s="17"/>
      <c r="EX24" s="17"/>
      <c r="EY24" s="17"/>
      <c r="EZ24" s="17"/>
      <c r="FA24" s="17"/>
      <c r="FB24" s="17"/>
      <c r="FC24" s="17"/>
      <c r="FD24" s="17"/>
      <c r="FE24" s="17"/>
      <c r="FF24" s="17"/>
      <c r="FG24" s="17"/>
      <c r="FH24" s="17"/>
      <c r="FI24" s="17"/>
      <c r="FJ24" s="17"/>
      <c r="FK24" s="17"/>
      <c r="FL24" s="17"/>
      <c r="FM24" s="17"/>
      <c r="FN24" s="17"/>
      <c r="FO24" s="17"/>
      <c r="FP24" s="17"/>
      <c r="FQ24" s="17"/>
      <c r="FR24" s="17"/>
      <c r="FS24" s="17"/>
      <c r="FT24" s="17"/>
      <c r="FU24" s="17"/>
      <c r="FV24" s="17"/>
      <c r="FW24" s="17"/>
      <c r="FX24" s="17"/>
      <c r="FY24" s="17"/>
      <c r="FZ24" s="17"/>
      <c r="GA24" s="17"/>
      <c r="GB24" s="17"/>
      <c r="GC24" s="17"/>
      <c r="GD24" s="17"/>
      <c r="GE24" s="17"/>
      <c r="GF24" s="17"/>
      <c r="GG24" s="17"/>
      <c r="GH24" s="17"/>
      <c r="GI24" s="17"/>
      <c r="GJ24" s="17"/>
      <c r="GK24" s="17"/>
      <c r="GL24" s="17"/>
      <c r="GM24" s="17"/>
      <c r="GN24" s="17"/>
      <c r="GO24" s="17"/>
      <c r="GP24" s="17"/>
      <c r="GQ24" s="17"/>
      <c r="GR24" s="17"/>
      <c r="GS24" s="17"/>
      <c r="GT24" s="17"/>
      <c r="GU24" s="17"/>
      <c r="GV24" s="17"/>
      <c r="GW24" s="17"/>
      <c r="GX24" s="17"/>
      <c r="GY24" s="17"/>
      <c r="GZ24" s="17"/>
      <c r="HA24" s="17"/>
      <c r="HB24" s="17"/>
      <c r="HC24" s="17"/>
      <c r="HD24" s="17"/>
      <c r="HE24" s="17"/>
      <c r="HF24" s="17"/>
      <c r="HG24" s="17"/>
      <c r="HH24" s="17"/>
      <c r="HI24" s="17"/>
      <c r="HJ24" s="17"/>
      <c r="HK24" s="17"/>
      <c r="HL24" s="17"/>
      <c r="HM24" s="17"/>
      <c r="HN24" s="17"/>
      <c r="HO24" s="17"/>
      <c r="HP24" s="17"/>
      <c r="HQ24" s="17"/>
      <c r="HR24" s="17"/>
      <c r="HS24" s="17"/>
      <c r="HT24" s="17"/>
      <c r="HU24" s="17"/>
      <c r="HV24" s="17"/>
      <c r="HW24" s="17"/>
      <c r="HX24" s="17"/>
      <c r="HY24" s="17"/>
      <c r="HZ24" s="17"/>
      <c r="IA24" s="17"/>
      <c r="IB24" s="17"/>
      <c r="IC24" s="17"/>
      <c r="ID24" s="17"/>
      <c r="IE24" s="17"/>
      <c r="IF24" s="17"/>
      <c r="IG24" s="17"/>
      <c r="IH24" s="17"/>
      <c r="II24" s="17"/>
      <c r="IJ24" s="17"/>
      <c r="IK24" s="17"/>
      <c r="IL24" s="17"/>
      <c r="IM24" s="17"/>
      <c r="IN24" s="17"/>
      <c r="IO24" s="17"/>
      <c r="IP24" s="17"/>
      <c r="IQ24" s="17"/>
      <c r="IR24" s="17"/>
      <c r="IS24" s="17"/>
      <c r="IT24" s="17"/>
      <c r="IU24" s="17"/>
      <c r="IV24" s="17"/>
      <c r="IW24" s="17"/>
      <c r="IX24" s="17"/>
      <c r="IY24" s="17"/>
      <c r="IZ24" s="17"/>
      <c r="JA24" s="17"/>
      <c r="JB24" s="17"/>
      <c r="JC24" s="17"/>
      <c r="JD24" s="17"/>
      <c r="JE24" s="17"/>
      <c r="JF24" s="17"/>
      <c r="JG24" s="17"/>
      <c r="JH24" s="17"/>
      <c r="JI24" s="17"/>
      <c r="JJ24" s="17"/>
      <c r="JK24" s="17"/>
      <c r="JL24" s="17"/>
      <c r="JM24" s="17"/>
      <c r="JN24" s="17"/>
      <c r="JO24" s="17"/>
      <c r="JP24" s="17"/>
      <c r="JQ24" s="17"/>
      <c r="JR24" s="17"/>
      <c r="JS24" s="17"/>
      <c r="JT24" s="17"/>
      <c r="JU24" s="17"/>
      <c r="JV24" s="17"/>
      <c r="JW24" s="17"/>
      <c r="JX24" s="17"/>
      <c r="JY24" s="17"/>
      <c r="JZ24" s="17"/>
      <c r="KA24" s="17"/>
      <c r="KB24" s="17"/>
      <c r="KC24" s="17"/>
      <c r="KD24" s="17"/>
      <c r="KE24" s="17"/>
      <c r="KF24" s="17"/>
      <c r="KG24" s="17"/>
      <c r="KH24" s="17"/>
      <c r="KI24" s="17"/>
      <c r="KJ24" s="17"/>
      <c r="KK24" s="17"/>
      <c r="KL24" s="17"/>
      <c r="KM24" s="17"/>
      <c r="KN24" s="17"/>
      <c r="KO24" s="17"/>
      <c r="KP24" s="17"/>
      <c r="KQ24" s="17"/>
      <c r="KR24" s="17"/>
      <c r="KS24" s="17"/>
      <c r="KT24" s="17"/>
      <c r="KU24" s="17"/>
      <c r="KV24" s="17"/>
      <c r="KW24" s="17"/>
      <c r="KX24" s="17"/>
      <c r="KY24" s="17"/>
      <c r="KZ24" s="17"/>
      <c r="LA24" s="17"/>
      <c r="LB24" s="17"/>
      <c r="LC24" s="17"/>
      <c r="LD24" s="17"/>
      <c r="LE24" s="17"/>
      <c r="LF24" s="17"/>
      <c r="LG24" s="17"/>
      <c r="LH24" s="17"/>
      <c r="LI24" s="17"/>
      <c r="LJ24" s="17"/>
      <c r="LK24" s="17"/>
      <c r="LL24" s="17"/>
      <c r="LM24" s="17"/>
      <c r="LN24" s="17"/>
      <c r="LO24" s="17"/>
      <c r="LP24" s="17"/>
      <c r="LQ24" s="17"/>
      <c r="LR24" s="17"/>
      <c r="LS24" s="17"/>
      <c r="LT24" s="17"/>
      <c r="LU24" s="17"/>
      <c r="LV24" s="17"/>
      <c r="LW24" s="17"/>
      <c r="LX24" s="17"/>
      <c r="LY24" s="17"/>
      <c r="LZ24" s="17"/>
      <c r="MA24" s="17"/>
      <c r="MB24" s="17"/>
      <c r="MC24" s="17"/>
      <c r="MD24" s="17"/>
      <c r="ME24" s="17"/>
      <c r="MF24" s="17"/>
      <c r="MG24" s="17"/>
      <c r="MH24" s="17"/>
      <c r="MI24" s="17"/>
      <c r="MJ24" s="17"/>
      <c r="MK24" s="17"/>
      <c r="ML24" s="17"/>
      <c r="MM24" s="17"/>
      <c r="MN24" s="17"/>
      <c r="MO24" s="17"/>
      <c r="MP24" s="17"/>
      <c r="MQ24" s="17"/>
      <c r="MR24" s="17"/>
      <c r="MS24" s="17"/>
      <c r="MT24" s="17"/>
      <c r="MU24" s="17"/>
      <c r="MV24" s="17"/>
      <c r="MW24" s="17"/>
      <c r="MX24" s="17"/>
      <c r="MY24" s="17"/>
      <c r="MZ24" s="17"/>
      <c r="NA24" s="17"/>
      <c r="NB24" s="17"/>
      <c r="NC24" s="17"/>
      <c r="ND24" s="17"/>
      <c r="NE24" s="17"/>
      <c r="NF24" s="17"/>
      <c r="NG24" s="17"/>
      <c r="NH24" s="17"/>
      <c r="NI24" s="17"/>
      <c r="NJ24" s="17"/>
      <c r="NK24" s="17"/>
      <c r="NL24" s="17"/>
      <c r="NM24" s="17"/>
      <c r="NN24" s="17"/>
      <c r="NO24" s="17"/>
      <c r="NP24" s="17"/>
      <c r="NQ24" s="17"/>
      <c r="NR24" s="17"/>
      <c r="NS24" s="17"/>
      <c r="NT24" s="17"/>
      <c r="NU24" s="17"/>
      <c r="NV24" s="17"/>
      <c r="NW24" s="17"/>
      <c r="NX24" s="17"/>
      <c r="NY24" s="17"/>
      <c r="NZ24" s="17"/>
      <c r="OA24" s="17"/>
      <c r="OB24" s="17"/>
      <c r="OC24" s="17"/>
      <c r="OD24" s="17"/>
      <c r="OE24" s="17"/>
      <c r="OF24" s="17"/>
      <c r="OG24" s="17"/>
      <c r="OH24" s="17"/>
      <c r="OI24" s="17"/>
      <c r="OJ24" s="17"/>
      <c r="OK24" s="17"/>
      <c r="OL24" s="17"/>
      <c r="OM24" s="17"/>
      <c r="ON24" s="17"/>
      <c r="OO24" s="17"/>
      <c r="OP24" s="17"/>
      <c r="OQ24" s="17"/>
      <c r="OR24" s="17"/>
      <c r="OS24" s="17"/>
      <c r="OT24" s="17"/>
      <c r="OU24" s="17"/>
      <c r="OV24" s="17"/>
      <c r="OW24" s="17"/>
      <c r="OX24" s="17"/>
      <c r="OY24" s="17"/>
      <c r="OZ24" s="17"/>
      <c r="PA24" s="17"/>
      <c r="PB24" s="17"/>
      <c r="PC24" s="17"/>
      <c r="PD24" s="17"/>
      <c r="PE24" s="17"/>
      <c r="PF24" s="17"/>
      <c r="PG24" s="17"/>
      <c r="PH24" s="17"/>
      <c r="PI24" s="17"/>
      <c r="PJ24" s="17"/>
      <c r="PK24" s="17"/>
      <c r="PL24" s="17"/>
      <c r="PM24" s="17"/>
      <c r="PN24" s="17"/>
      <c r="PO24" s="17"/>
      <c r="PP24" s="17"/>
      <c r="PQ24" s="17"/>
      <c r="PR24" s="17"/>
      <c r="PS24" s="17"/>
      <c r="PT24" s="17"/>
      <c r="PU24" s="17"/>
      <c r="PV24" s="17"/>
      <c r="PW24" s="17"/>
      <c r="PX24" s="17"/>
      <c r="PY24" s="17"/>
      <c r="PZ24" s="17"/>
      <c r="QA24" s="17"/>
      <c r="QB24" s="17"/>
      <c r="QC24" s="17"/>
      <c r="QD24" s="17"/>
      <c r="QE24" s="17"/>
      <c r="QF24" s="17"/>
      <c r="QG24" s="17"/>
      <c r="QH24" s="17"/>
      <c r="QI24" s="17"/>
      <c r="QJ24" s="17"/>
      <c r="QK24" s="17"/>
      <c r="QL24" s="17"/>
      <c r="QM24" s="17"/>
      <c r="QN24" s="17"/>
      <c r="QO24" s="17"/>
      <c r="QP24" s="17"/>
      <c r="QQ24" s="17"/>
      <c r="QR24" s="17"/>
      <c r="QS24" s="17"/>
      <c r="QT24" s="17"/>
      <c r="QU24" s="17"/>
      <c r="QV24" s="17"/>
      <c r="QW24" s="17"/>
      <c r="QX24" s="17"/>
      <c r="QY24" s="17"/>
      <c r="QZ24" s="17"/>
      <c r="RA24" s="17"/>
      <c r="RB24" s="17"/>
      <c r="RC24" s="17"/>
      <c r="RD24" s="17"/>
      <c r="RE24" s="17"/>
      <c r="RF24" s="17"/>
      <c r="RG24" s="17"/>
      <c r="RH24" s="17"/>
      <c r="RI24" s="17"/>
      <c r="RJ24" s="17"/>
      <c r="RK24" s="17"/>
      <c r="RL24" s="17"/>
      <c r="RM24" s="17"/>
      <c r="RN24" s="17"/>
      <c r="RO24" s="17"/>
      <c r="RP24" s="17"/>
      <c r="RQ24" s="17"/>
      <c r="RR24" s="17"/>
      <c r="RS24" s="17"/>
      <c r="RT24" s="17"/>
      <c r="RU24" s="17"/>
      <c r="RV24" s="17"/>
      <c r="RW24" s="17"/>
      <c r="RX24" s="17"/>
      <c r="RY24" s="17"/>
      <c r="RZ24" s="17"/>
      <c r="SA24" s="17"/>
      <c r="SB24" s="17"/>
      <c r="SC24" s="17"/>
      <c r="SD24" s="17"/>
      <c r="SE24" s="17"/>
      <c r="SF24" s="17"/>
      <c r="SG24" s="17"/>
      <c r="SH24" s="17"/>
      <c r="SI24" s="17"/>
      <c r="SJ24" s="17"/>
      <c r="SK24" s="17"/>
      <c r="SL24" s="17"/>
      <c r="SM24" s="17"/>
      <c r="SN24" s="17"/>
      <c r="SO24" s="17"/>
      <c r="SP24" s="17"/>
      <c r="SQ24" s="17"/>
      <c r="SR24" s="17"/>
      <c r="SS24" s="17"/>
      <c r="ST24" s="17"/>
      <c r="SU24" s="17"/>
      <c r="SV24" s="17"/>
      <c r="SW24" s="17"/>
      <c r="SX24" s="17"/>
      <c r="SY24" s="17"/>
      <c r="SZ24" s="17"/>
      <c r="TA24" s="17"/>
      <c r="TB24" s="17"/>
      <c r="TC24" s="17"/>
      <c r="TD24" s="17"/>
      <c r="TE24" s="17"/>
      <c r="TF24" s="17"/>
      <c r="TG24" s="17"/>
      <c r="TH24" s="17"/>
      <c r="TI24" s="17"/>
      <c r="TJ24" s="17"/>
      <c r="TK24" s="17"/>
      <c r="TL24" s="17"/>
      <c r="TM24" s="17"/>
      <c r="TN24" s="17"/>
      <c r="TO24" s="17"/>
      <c r="TP24" s="17"/>
      <c r="TQ24" s="17"/>
      <c r="TR24" s="17"/>
      <c r="TS24" s="17"/>
      <c r="TT24" s="17"/>
      <c r="TU24" s="17"/>
      <c r="TV24" s="17"/>
      <c r="TW24" s="17"/>
      <c r="TX24" s="17"/>
      <c r="TY24" s="17"/>
      <c r="TZ24" s="17"/>
      <c r="UA24" s="17"/>
      <c r="UB24" s="17"/>
      <c r="UC24" s="17"/>
      <c r="UD24" s="17"/>
      <c r="UE24" s="17"/>
      <c r="UF24" s="17"/>
      <c r="UG24" s="17"/>
      <c r="UH24" s="17"/>
      <c r="UI24" s="17"/>
      <c r="UJ24" s="17"/>
      <c r="UK24" s="17"/>
      <c r="UL24" s="17"/>
      <c r="UM24" s="17"/>
      <c r="UN24" s="17"/>
      <c r="UO24" s="17"/>
      <c r="UP24" s="17"/>
      <c r="UQ24" s="17"/>
      <c r="UR24" s="17"/>
      <c r="US24" s="17"/>
      <c r="UT24" s="17"/>
      <c r="UU24" s="17"/>
      <c r="UV24" s="17"/>
      <c r="UW24" s="17"/>
      <c r="UX24" s="17"/>
      <c r="UY24" s="17"/>
      <c r="UZ24" s="17"/>
      <c r="VA24" s="17"/>
      <c r="VB24" s="17"/>
      <c r="VC24" s="17"/>
      <c r="VD24" s="17"/>
      <c r="VE24" s="17"/>
      <c r="VF24" s="17"/>
      <c r="VG24" s="17"/>
      <c r="VH24" s="17"/>
      <c r="VI24" s="17"/>
      <c r="VJ24" s="17"/>
      <c r="VK24" s="17"/>
      <c r="VL24" s="17"/>
      <c r="VM24" s="17"/>
      <c r="VN24" s="17"/>
      <c r="VO24" s="17"/>
      <c r="VP24" s="17"/>
      <c r="VQ24" s="17"/>
      <c r="VR24" s="17"/>
      <c r="VS24" s="17"/>
      <c r="VT24" s="17"/>
      <c r="VU24" s="17"/>
      <c r="VV24" s="17"/>
      <c r="VW24" s="17"/>
      <c r="VX24" s="17"/>
      <c r="VY24" s="17"/>
      <c r="VZ24" s="17"/>
      <c r="WA24" s="17"/>
      <c r="WB24" s="17"/>
      <c r="WC24" s="17"/>
      <c r="WD24" s="17"/>
      <c r="WE24" s="17"/>
      <c r="WF24" s="17"/>
      <c r="WG24" s="17"/>
      <c r="WH24" s="17"/>
      <c r="WI24" s="17"/>
      <c r="WJ24" s="17"/>
      <c r="WK24" s="17"/>
      <c r="WL24" s="17"/>
      <c r="WM24" s="17"/>
      <c r="WN24" s="17"/>
      <c r="WO24" s="17"/>
      <c r="WP24" s="17"/>
      <c r="WQ24" s="17"/>
      <c r="WR24" s="17"/>
      <c r="WS24" s="17"/>
      <c r="WT24" s="17"/>
      <c r="WU24" s="17"/>
      <c r="WV24" s="17"/>
      <c r="WW24" s="17"/>
      <c r="WX24" s="17"/>
      <c r="WY24" s="17"/>
      <c r="WZ24" s="17"/>
      <c r="XA24" s="17"/>
      <c r="XB24" s="17"/>
      <c r="XC24" s="17"/>
      <c r="XD24" s="17"/>
      <c r="XE24" s="17"/>
      <c r="XF24" s="17"/>
      <c r="XG24" s="17"/>
      <c r="XH24" s="17"/>
      <c r="XI24" s="17"/>
      <c r="XJ24" s="17"/>
      <c r="XK24" s="17"/>
      <c r="XL24" s="17"/>
      <c r="XM24" s="17"/>
      <c r="XN24" s="17"/>
      <c r="XO24" s="17"/>
      <c r="XP24" s="17"/>
      <c r="XQ24" s="17"/>
      <c r="XR24" s="17"/>
      <c r="XS24" s="17"/>
      <c r="XT24" s="17"/>
      <c r="XU24" s="17"/>
      <c r="XV24" s="17"/>
      <c r="XW24" s="17"/>
      <c r="XX24" s="17"/>
      <c r="XY24" s="17"/>
      <c r="XZ24" s="17"/>
      <c r="YA24" s="17"/>
      <c r="YB24" s="17"/>
      <c r="YC24" s="17"/>
      <c r="YD24" s="17"/>
      <c r="YE24" s="17"/>
      <c r="YF24" s="17"/>
      <c r="YG24" s="17"/>
      <c r="YH24" s="17"/>
      <c r="YI24" s="17"/>
      <c r="YJ24" s="17"/>
      <c r="YK24" s="17"/>
      <c r="YL24" s="17"/>
      <c r="YM24" s="17"/>
      <c r="YN24" s="17"/>
      <c r="YO24" s="17"/>
      <c r="YP24" s="17"/>
      <c r="YQ24" s="17"/>
      <c r="YR24" s="17"/>
      <c r="YS24" s="17"/>
      <c r="YT24" s="17"/>
      <c r="YU24" s="17"/>
      <c r="YV24" s="17"/>
      <c r="YW24" s="17"/>
      <c r="YX24" s="17"/>
      <c r="YY24" s="17"/>
      <c r="YZ24" s="17"/>
      <c r="ZA24" s="17"/>
      <c r="ZB24" s="17"/>
      <c r="ZC24" s="17"/>
      <c r="ZD24" s="17"/>
      <c r="ZE24" s="17"/>
      <c r="ZF24" s="17"/>
      <c r="ZG24" s="17"/>
      <c r="ZH24" s="17"/>
      <c r="ZI24" s="17"/>
      <c r="ZJ24" s="17"/>
      <c r="ZK24" s="17"/>
      <c r="ZL24" s="17"/>
      <c r="ZM24" s="17"/>
      <c r="ZN24" s="17"/>
      <c r="ZO24" s="17"/>
      <c r="ZP24" s="17"/>
      <c r="ZQ24" s="17"/>
      <c r="ZR24" s="17"/>
      <c r="ZS24" s="17"/>
      <c r="ZT24" s="17"/>
      <c r="ZU24" s="17"/>
      <c r="ZV24" s="17"/>
      <c r="ZW24" s="17"/>
      <c r="ZX24" s="17"/>
      <c r="ZY24" s="17"/>
      <c r="ZZ24" s="17"/>
    </row>
    <row r="25" spans="1:702" s="33" customFormat="1" x14ac:dyDescent="0.25">
      <c r="A25" s="30" t="str">
        <f>IF(COUNTA(B25:B25)=0,"", MAX(A$2:A24)+1)</f>
        <v/>
      </c>
      <c r="C25" s="34"/>
      <c r="D25" s="63"/>
      <c r="M25" s="34"/>
      <c r="Q25" s="34"/>
      <c r="U25" s="17"/>
      <c r="V25" s="62"/>
      <c r="W25" s="97"/>
      <c r="Z25" s="30" t="str">
        <f t="shared" si="0"/>
        <v/>
      </c>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c r="EN25" s="17"/>
      <c r="EO25" s="17"/>
      <c r="EP25" s="17"/>
      <c r="EQ25" s="17"/>
      <c r="ER25" s="17"/>
      <c r="ES25" s="17"/>
      <c r="ET25" s="17"/>
      <c r="EU25" s="17"/>
      <c r="EV25" s="17"/>
      <c r="EW25" s="17"/>
      <c r="EX25" s="17"/>
      <c r="EY25" s="17"/>
      <c r="EZ25" s="17"/>
      <c r="FA25" s="17"/>
      <c r="FB25" s="17"/>
      <c r="FC25" s="17"/>
      <c r="FD25" s="17"/>
      <c r="FE25" s="17"/>
      <c r="FF25" s="17"/>
      <c r="FG25" s="17"/>
      <c r="FH25" s="17"/>
      <c r="FI25" s="17"/>
      <c r="FJ25" s="17"/>
      <c r="FK25" s="17"/>
      <c r="FL25" s="17"/>
      <c r="FM25" s="17"/>
      <c r="FN25" s="17"/>
      <c r="FO25" s="17"/>
      <c r="FP25" s="17"/>
      <c r="FQ25" s="17"/>
      <c r="FR25" s="17"/>
      <c r="FS25" s="17"/>
      <c r="FT25" s="17"/>
      <c r="FU25" s="17"/>
      <c r="FV25" s="17"/>
      <c r="FW25" s="17"/>
      <c r="FX25" s="17"/>
      <c r="FY25" s="17"/>
      <c r="FZ25" s="17"/>
      <c r="GA25" s="17"/>
      <c r="GB25" s="17"/>
      <c r="GC25" s="17"/>
      <c r="GD25" s="17"/>
      <c r="GE25" s="17"/>
      <c r="GF25" s="17"/>
      <c r="GG25" s="17"/>
      <c r="GH25" s="17"/>
      <c r="GI25" s="17"/>
      <c r="GJ25" s="17"/>
      <c r="GK25" s="17"/>
      <c r="GL25" s="17"/>
      <c r="GM25" s="17"/>
      <c r="GN25" s="17"/>
      <c r="GO25" s="17"/>
      <c r="GP25" s="17"/>
      <c r="GQ25" s="17"/>
      <c r="GR25" s="17"/>
      <c r="GS25" s="17"/>
      <c r="GT25" s="17"/>
      <c r="GU25" s="17"/>
      <c r="GV25" s="17"/>
      <c r="GW25" s="17"/>
      <c r="GX25" s="17"/>
      <c r="GY25" s="17"/>
      <c r="GZ25" s="17"/>
      <c r="HA25" s="17"/>
      <c r="HB25" s="17"/>
      <c r="HC25" s="17"/>
      <c r="HD25" s="17"/>
      <c r="HE25" s="17"/>
      <c r="HF25" s="17"/>
      <c r="HG25" s="17"/>
      <c r="HH25" s="17"/>
      <c r="HI25" s="17"/>
      <c r="HJ25" s="17"/>
      <c r="HK25" s="17"/>
      <c r="HL25" s="17"/>
      <c r="HM25" s="17"/>
      <c r="HN25" s="17"/>
      <c r="HO25" s="17"/>
      <c r="HP25" s="17"/>
      <c r="HQ25" s="17"/>
      <c r="HR25" s="17"/>
      <c r="HS25" s="17"/>
      <c r="HT25" s="17"/>
      <c r="HU25" s="17"/>
      <c r="HV25" s="17"/>
      <c r="HW25" s="17"/>
      <c r="HX25" s="17"/>
      <c r="HY25" s="17"/>
      <c r="HZ25" s="17"/>
      <c r="IA25" s="17"/>
      <c r="IB25" s="17"/>
      <c r="IC25" s="17"/>
      <c r="ID25" s="17"/>
      <c r="IE25" s="17"/>
      <c r="IF25" s="17"/>
      <c r="IG25" s="17"/>
      <c r="IH25" s="17"/>
      <c r="II25" s="17"/>
      <c r="IJ25" s="17"/>
      <c r="IK25" s="17"/>
      <c r="IL25" s="17"/>
      <c r="IM25" s="17"/>
      <c r="IN25" s="17"/>
      <c r="IO25" s="17"/>
      <c r="IP25" s="17"/>
      <c r="IQ25" s="17"/>
      <c r="IR25" s="17"/>
      <c r="IS25" s="17"/>
      <c r="IT25" s="17"/>
      <c r="IU25" s="17"/>
      <c r="IV25" s="17"/>
      <c r="IW25" s="17"/>
      <c r="IX25" s="17"/>
      <c r="IY25" s="17"/>
      <c r="IZ25" s="17"/>
      <c r="JA25" s="17"/>
      <c r="JB25" s="17"/>
      <c r="JC25" s="17"/>
      <c r="JD25" s="17"/>
      <c r="JE25" s="17"/>
      <c r="JF25" s="17"/>
      <c r="JG25" s="17"/>
      <c r="JH25" s="17"/>
      <c r="JI25" s="17"/>
      <c r="JJ25" s="17"/>
      <c r="JK25" s="17"/>
      <c r="JL25" s="17"/>
      <c r="JM25" s="17"/>
      <c r="JN25" s="17"/>
      <c r="JO25" s="17"/>
      <c r="JP25" s="17"/>
      <c r="JQ25" s="17"/>
      <c r="JR25" s="17"/>
      <c r="JS25" s="17"/>
      <c r="JT25" s="17"/>
      <c r="JU25" s="17"/>
      <c r="JV25" s="17"/>
      <c r="JW25" s="17"/>
      <c r="JX25" s="17"/>
      <c r="JY25" s="17"/>
      <c r="JZ25" s="17"/>
      <c r="KA25" s="17"/>
      <c r="KB25" s="17"/>
      <c r="KC25" s="17"/>
      <c r="KD25" s="17"/>
      <c r="KE25" s="17"/>
      <c r="KF25" s="17"/>
      <c r="KG25" s="17"/>
      <c r="KH25" s="17"/>
      <c r="KI25" s="17"/>
      <c r="KJ25" s="17"/>
      <c r="KK25" s="17"/>
      <c r="KL25" s="17"/>
      <c r="KM25" s="17"/>
      <c r="KN25" s="17"/>
      <c r="KO25" s="17"/>
      <c r="KP25" s="17"/>
      <c r="KQ25" s="17"/>
      <c r="KR25" s="17"/>
      <c r="KS25" s="17"/>
      <c r="KT25" s="17"/>
      <c r="KU25" s="17"/>
      <c r="KV25" s="17"/>
      <c r="KW25" s="17"/>
      <c r="KX25" s="17"/>
      <c r="KY25" s="17"/>
      <c r="KZ25" s="17"/>
      <c r="LA25" s="17"/>
      <c r="LB25" s="17"/>
      <c r="LC25" s="17"/>
      <c r="LD25" s="17"/>
      <c r="LE25" s="17"/>
      <c r="LF25" s="17"/>
      <c r="LG25" s="17"/>
      <c r="LH25" s="17"/>
      <c r="LI25" s="17"/>
      <c r="LJ25" s="17"/>
      <c r="LK25" s="17"/>
      <c r="LL25" s="17"/>
      <c r="LM25" s="17"/>
      <c r="LN25" s="17"/>
      <c r="LO25" s="17"/>
      <c r="LP25" s="17"/>
      <c r="LQ25" s="17"/>
      <c r="LR25" s="17"/>
      <c r="LS25" s="17"/>
      <c r="LT25" s="17"/>
      <c r="LU25" s="17"/>
      <c r="LV25" s="17"/>
      <c r="LW25" s="17"/>
      <c r="LX25" s="17"/>
      <c r="LY25" s="17"/>
      <c r="LZ25" s="17"/>
      <c r="MA25" s="17"/>
      <c r="MB25" s="17"/>
      <c r="MC25" s="17"/>
      <c r="MD25" s="17"/>
      <c r="ME25" s="17"/>
      <c r="MF25" s="17"/>
      <c r="MG25" s="17"/>
      <c r="MH25" s="17"/>
      <c r="MI25" s="17"/>
      <c r="MJ25" s="17"/>
      <c r="MK25" s="17"/>
      <c r="ML25" s="17"/>
      <c r="MM25" s="17"/>
      <c r="MN25" s="17"/>
      <c r="MO25" s="17"/>
      <c r="MP25" s="17"/>
      <c r="MQ25" s="17"/>
      <c r="MR25" s="17"/>
      <c r="MS25" s="17"/>
      <c r="MT25" s="17"/>
      <c r="MU25" s="17"/>
      <c r="MV25" s="17"/>
      <c r="MW25" s="17"/>
      <c r="MX25" s="17"/>
      <c r="MY25" s="17"/>
      <c r="MZ25" s="17"/>
      <c r="NA25" s="17"/>
      <c r="NB25" s="17"/>
      <c r="NC25" s="17"/>
      <c r="ND25" s="17"/>
      <c r="NE25" s="17"/>
      <c r="NF25" s="17"/>
      <c r="NG25" s="17"/>
      <c r="NH25" s="17"/>
      <c r="NI25" s="17"/>
      <c r="NJ25" s="17"/>
      <c r="NK25" s="17"/>
      <c r="NL25" s="17"/>
      <c r="NM25" s="17"/>
      <c r="NN25" s="17"/>
      <c r="NO25" s="17"/>
      <c r="NP25" s="17"/>
      <c r="NQ25" s="17"/>
      <c r="NR25" s="17"/>
      <c r="NS25" s="17"/>
      <c r="NT25" s="17"/>
      <c r="NU25" s="17"/>
      <c r="NV25" s="17"/>
      <c r="NW25" s="17"/>
      <c r="NX25" s="17"/>
      <c r="NY25" s="17"/>
      <c r="NZ25" s="17"/>
      <c r="OA25" s="17"/>
      <c r="OB25" s="17"/>
      <c r="OC25" s="17"/>
      <c r="OD25" s="17"/>
      <c r="OE25" s="17"/>
      <c r="OF25" s="17"/>
      <c r="OG25" s="17"/>
      <c r="OH25" s="17"/>
      <c r="OI25" s="17"/>
      <c r="OJ25" s="17"/>
      <c r="OK25" s="17"/>
      <c r="OL25" s="17"/>
      <c r="OM25" s="17"/>
      <c r="ON25" s="17"/>
      <c r="OO25" s="17"/>
      <c r="OP25" s="17"/>
      <c r="OQ25" s="17"/>
      <c r="OR25" s="17"/>
      <c r="OS25" s="17"/>
      <c r="OT25" s="17"/>
      <c r="OU25" s="17"/>
      <c r="OV25" s="17"/>
      <c r="OW25" s="17"/>
      <c r="OX25" s="17"/>
      <c r="OY25" s="17"/>
      <c r="OZ25" s="17"/>
      <c r="PA25" s="17"/>
      <c r="PB25" s="17"/>
      <c r="PC25" s="17"/>
      <c r="PD25" s="17"/>
      <c r="PE25" s="17"/>
      <c r="PF25" s="17"/>
      <c r="PG25" s="17"/>
      <c r="PH25" s="17"/>
      <c r="PI25" s="17"/>
      <c r="PJ25" s="17"/>
      <c r="PK25" s="17"/>
      <c r="PL25" s="17"/>
      <c r="PM25" s="17"/>
      <c r="PN25" s="17"/>
      <c r="PO25" s="17"/>
      <c r="PP25" s="17"/>
      <c r="PQ25" s="17"/>
      <c r="PR25" s="17"/>
      <c r="PS25" s="17"/>
      <c r="PT25" s="17"/>
      <c r="PU25" s="17"/>
      <c r="PV25" s="17"/>
      <c r="PW25" s="17"/>
      <c r="PX25" s="17"/>
      <c r="PY25" s="17"/>
      <c r="PZ25" s="17"/>
      <c r="QA25" s="17"/>
      <c r="QB25" s="17"/>
      <c r="QC25" s="17"/>
      <c r="QD25" s="17"/>
      <c r="QE25" s="17"/>
      <c r="QF25" s="17"/>
      <c r="QG25" s="17"/>
      <c r="QH25" s="17"/>
      <c r="QI25" s="17"/>
      <c r="QJ25" s="17"/>
      <c r="QK25" s="17"/>
      <c r="QL25" s="17"/>
      <c r="QM25" s="17"/>
      <c r="QN25" s="17"/>
      <c r="QO25" s="17"/>
      <c r="QP25" s="17"/>
      <c r="QQ25" s="17"/>
      <c r="QR25" s="17"/>
      <c r="QS25" s="17"/>
      <c r="QT25" s="17"/>
      <c r="QU25" s="17"/>
      <c r="QV25" s="17"/>
      <c r="QW25" s="17"/>
      <c r="QX25" s="17"/>
      <c r="QY25" s="17"/>
      <c r="QZ25" s="17"/>
      <c r="RA25" s="17"/>
      <c r="RB25" s="17"/>
      <c r="RC25" s="17"/>
      <c r="RD25" s="17"/>
      <c r="RE25" s="17"/>
      <c r="RF25" s="17"/>
      <c r="RG25" s="17"/>
      <c r="RH25" s="17"/>
      <c r="RI25" s="17"/>
      <c r="RJ25" s="17"/>
      <c r="RK25" s="17"/>
      <c r="RL25" s="17"/>
      <c r="RM25" s="17"/>
      <c r="RN25" s="17"/>
      <c r="RO25" s="17"/>
      <c r="RP25" s="17"/>
      <c r="RQ25" s="17"/>
      <c r="RR25" s="17"/>
      <c r="RS25" s="17"/>
      <c r="RT25" s="17"/>
      <c r="RU25" s="17"/>
      <c r="RV25" s="17"/>
      <c r="RW25" s="17"/>
      <c r="RX25" s="17"/>
      <c r="RY25" s="17"/>
      <c r="RZ25" s="17"/>
      <c r="SA25" s="17"/>
      <c r="SB25" s="17"/>
      <c r="SC25" s="17"/>
      <c r="SD25" s="17"/>
      <c r="SE25" s="17"/>
      <c r="SF25" s="17"/>
      <c r="SG25" s="17"/>
      <c r="SH25" s="17"/>
      <c r="SI25" s="17"/>
      <c r="SJ25" s="17"/>
      <c r="SK25" s="17"/>
      <c r="SL25" s="17"/>
      <c r="SM25" s="17"/>
      <c r="SN25" s="17"/>
      <c r="SO25" s="17"/>
      <c r="SP25" s="17"/>
      <c r="SQ25" s="17"/>
      <c r="SR25" s="17"/>
      <c r="SS25" s="17"/>
      <c r="ST25" s="17"/>
      <c r="SU25" s="17"/>
      <c r="SV25" s="17"/>
      <c r="SW25" s="17"/>
      <c r="SX25" s="17"/>
      <c r="SY25" s="17"/>
      <c r="SZ25" s="17"/>
      <c r="TA25" s="17"/>
      <c r="TB25" s="17"/>
      <c r="TC25" s="17"/>
      <c r="TD25" s="17"/>
      <c r="TE25" s="17"/>
      <c r="TF25" s="17"/>
      <c r="TG25" s="17"/>
      <c r="TH25" s="17"/>
      <c r="TI25" s="17"/>
      <c r="TJ25" s="17"/>
      <c r="TK25" s="17"/>
      <c r="TL25" s="17"/>
      <c r="TM25" s="17"/>
      <c r="TN25" s="17"/>
      <c r="TO25" s="17"/>
      <c r="TP25" s="17"/>
      <c r="TQ25" s="17"/>
      <c r="TR25" s="17"/>
      <c r="TS25" s="17"/>
      <c r="TT25" s="17"/>
      <c r="TU25" s="17"/>
      <c r="TV25" s="17"/>
      <c r="TW25" s="17"/>
      <c r="TX25" s="17"/>
      <c r="TY25" s="17"/>
      <c r="TZ25" s="17"/>
      <c r="UA25" s="17"/>
      <c r="UB25" s="17"/>
      <c r="UC25" s="17"/>
      <c r="UD25" s="17"/>
      <c r="UE25" s="17"/>
      <c r="UF25" s="17"/>
      <c r="UG25" s="17"/>
      <c r="UH25" s="17"/>
      <c r="UI25" s="17"/>
      <c r="UJ25" s="17"/>
      <c r="UK25" s="17"/>
      <c r="UL25" s="17"/>
      <c r="UM25" s="17"/>
      <c r="UN25" s="17"/>
      <c r="UO25" s="17"/>
      <c r="UP25" s="17"/>
      <c r="UQ25" s="17"/>
      <c r="UR25" s="17"/>
      <c r="US25" s="17"/>
      <c r="UT25" s="17"/>
      <c r="UU25" s="17"/>
      <c r="UV25" s="17"/>
      <c r="UW25" s="17"/>
      <c r="UX25" s="17"/>
      <c r="UY25" s="17"/>
      <c r="UZ25" s="17"/>
      <c r="VA25" s="17"/>
      <c r="VB25" s="17"/>
      <c r="VC25" s="17"/>
      <c r="VD25" s="17"/>
      <c r="VE25" s="17"/>
      <c r="VF25" s="17"/>
      <c r="VG25" s="17"/>
      <c r="VH25" s="17"/>
      <c r="VI25" s="17"/>
      <c r="VJ25" s="17"/>
      <c r="VK25" s="17"/>
      <c r="VL25" s="17"/>
      <c r="VM25" s="17"/>
      <c r="VN25" s="17"/>
      <c r="VO25" s="17"/>
      <c r="VP25" s="17"/>
      <c r="VQ25" s="17"/>
      <c r="VR25" s="17"/>
      <c r="VS25" s="17"/>
      <c r="VT25" s="17"/>
      <c r="VU25" s="17"/>
      <c r="VV25" s="17"/>
      <c r="VW25" s="17"/>
      <c r="VX25" s="17"/>
      <c r="VY25" s="17"/>
      <c r="VZ25" s="17"/>
      <c r="WA25" s="17"/>
      <c r="WB25" s="17"/>
      <c r="WC25" s="17"/>
      <c r="WD25" s="17"/>
      <c r="WE25" s="17"/>
      <c r="WF25" s="17"/>
      <c r="WG25" s="17"/>
      <c r="WH25" s="17"/>
      <c r="WI25" s="17"/>
      <c r="WJ25" s="17"/>
      <c r="WK25" s="17"/>
      <c r="WL25" s="17"/>
      <c r="WM25" s="17"/>
      <c r="WN25" s="17"/>
      <c r="WO25" s="17"/>
      <c r="WP25" s="17"/>
      <c r="WQ25" s="17"/>
      <c r="WR25" s="17"/>
      <c r="WS25" s="17"/>
      <c r="WT25" s="17"/>
      <c r="WU25" s="17"/>
      <c r="WV25" s="17"/>
      <c r="WW25" s="17"/>
      <c r="WX25" s="17"/>
      <c r="WY25" s="17"/>
      <c r="WZ25" s="17"/>
      <c r="XA25" s="17"/>
      <c r="XB25" s="17"/>
      <c r="XC25" s="17"/>
      <c r="XD25" s="17"/>
      <c r="XE25" s="17"/>
      <c r="XF25" s="17"/>
      <c r="XG25" s="17"/>
      <c r="XH25" s="17"/>
      <c r="XI25" s="17"/>
      <c r="XJ25" s="17"/>
      <c r="XK25" s="17"/>
      <c r="XL25" s="17"/>
      <c r="XM25" s="17"/>
      <c r="XN25" s="17"/>
      <c r="XO25" s="17"/>
      <c r="XP25" s="17"/>
      <c r="XQ25" s="17"/>
      <c r="XR25" s="17"/>
      <c r="XS25" s="17"/>
      <c r="XT25" s="17"/>
      <c r="XU25" s="17"/>
      <c r="XV25" s="17"/>
      <c r="XW25" s="17"/>
      <c r="XX25" s="17"/>
      <c r="XY25" s="17"/>
      <c r="XZ25" s="17"/>
      <c r="YA25" s="17"/>
      <c r="YB25" s="17"/>
      <c r="YC25" s="17"/>
      <c r="YD25" s="17"/>
      <c r="YE25" s="17"/>
      <c r="YF25" s="17"/>
      <c r="YG25" s="17"/>
      <c r="YH25" s="17"/>
      <c r="YI25" s="17"/>
      <c r="YJ25" s="17"/>
      <c r="YK25" s="17"/>
      <c r="YL25" s="17"/>
      <c r="YM25" s="17"/>
      <c r="YN25" s="17"/>
      <c r="YO25" s="17"/>
      <c r="YP25" s="17"/>
      <c r="YQ25" s="17"/>
      <c r="YR25" s="17"/>
      <c r="YS25" s="17"/>
      <c r="YT25" s="17"/>
      <c r="YU25" s="17"/>
      <c r="YV25" s="17"/>
      <c r="YW25" s="17"/>
      <c r="YX25" s="17"/>
      <c r="YY25" s="17"/>
      <c r="YZ25" s="17"/>
      <c r="ZA25" s="17"/>
      <c r="ZB25" s="17"/>
      <c r="ZC25" s="17"/>
      <c r="ZD25" s="17"/>
      <c r="ZE25" s="17"/>
      <c r="ZF25" s="17"/>
      <c r="ZG25" s="17"/>
      <c r="ZH25" s="17"/>
      <c r="ZI25" s="17"/>
      <c r="ZJ25" s="17"/>
      <c r="ZK25" s="17"/>
      <c r="ZL25" s="17"/>
      <c r="ZM25" s="17"/>
      <c r="ZN25" s="17"/>
      <c r="ZO25" s="17"/>
      <c r="ZP25" s="17"/>
      <c r="ZQ25" s="17"/>
      <c r="ZR25" s="17"/>
      <c r="ZS25" s="17"/>
      <c r="ZT25" s="17"/>
      <c r="ZU25" s="17"/>
      <c r="ZV25" s="17"/>
      <c r="ZW25" s="17"/>
      <c r="ZX25" s="17"/>
      <c r="ZY25" s="17"/>
      <c r="ZZ25" s="17"/>
    </row>
    <row r="26" spans="1:702" s="33" customFormat="1" x14ac:dyDescent="0.25">
      <c r="A26" s="30" t="str">
        <f>IF(COUNTA(B26:B26)=0,"", MAX(A$2:A25)+1)</f>
        <v/>
      </c>
      <c r="C26" s="34"/>
      <c r="D26" s="63"/>
      <c r="M26" s="34"/>
      <c r="Q26" s="34"/>
      <c r="U26" s="17"/>
      <c r="V26" s="62"/>
      <c r="W26" s="97"/>
      <c r="Z26" s="30" t="str">
        <f t="shared" si="0"/>
        <v/>
      </c>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c r="EC26" s="17"/>
      <c r="ED26" s="17"/>
      <c r="EE26" s="17"/>
      <c r="EF26" s="17"/>
      <c r="EG26" s="17"/>
      <c r="EH26" s="17"/>
      <c r="EI26" s="17"/>
      <c r="EJ26" s="17"/>
      <c r="EK26" s="17"/>
      <c r="EL26" s="17"/>
      <c r="EM26" s="17"/>
      <c r="EN26" s="17"/>
      <c r="EO26" s="17"/>
      <c r="EP26" s="17"/>
      <c r="EQ26" s="17"/>
      <c r="ER26" s="17"/>
      <c r="ES26" s="17"/>
      <c r="ET26" s="17"/>
      <c r="EU26" s="17"/>
      <c r="EV26" s="17"/>
      <c r="EW26" s="17"/>
      <c r="EX26" s="17"/>
      <c r="EY26" s="17"/>
      <c r="EZ26" s="17"/>
      <c r="FA26" s="17"/>
      <c r="FB26" s="17"/>
      <c r="FC26" s="17"/>
      <c r="FD26" s="17"/>
      <c r="FE26" s="17"/>
      <c r="FF26" s="17"/>
      <c r="FG26" s="17"/>
      <c r="FH26" s="17"/>
      <c r="FI26" s="17"/>
      <c r="FJ26" s="17"/>
      <c r="FK26" s="17"/>
      <c r="FL26" s="17"/>
      <c r="FM26" s="17"/>
      <c r="FN26" s="17"/>
      <c r="FO26" s="17"/>
      <c r="FP26" s="17"/>
      <c r="FQ26" s="17"/>
      <c r="FR26" s="17"/>
      <c r="FS26" s="17"/>
      <c r="FT26" s="17"/>
      <c r="FU26" s="17"/>
      <c r="FV26" s="17"/>
      <c r="FW26" s="17"/>
      <c r="FX26" s="17"/>
      <c r="FY26" s="17"/>
      <c r="FZ26" s="17"/>
      <c r="GA26" s="17"/>
      <c r="GB26" s="17"/>
      <c r="GC26" s="17"/>
      <c r="GD26" s="17"/>
      <c r="GE26" s="17"/>
      <c r="GF26" s="17"/>
      <c r="GG26" s="17"/>
      <c r="GH26" s="17"/>
      <c r="GI26" s="17"/>
      <c r="GJ26" s="17"/>
      <c r="GK26" s="17"/>
      <c r="GL26" s="17"/>
      <c r="GM26" s="17"/>
      <c r="GN26" s="17"/>
      <c r="GO26" s="17"/>
      <c r="GP26" s="17"/>
      <c r="GQ26" s="17"/>
      <c r="GR26" s="17"/>
      <c r="GS26" s="17"/>
      <c r="GT26" s="17"/>
      <c r="GU26" s="17"/>
      <c r="GV26" s="17"/>
      <c r="GW26" s="17"/>
      <c r="GX26" s="17"/>
      <c r="GY26" s="17"/>
      <c r="GZ26" s="17"/>
      <c r="HA26" s="17"/>
      <c r="HB26" s="17"/>
      <c r="HC26" s="17"/>
      <c r="HD26" s="17"/>
      <c r="HE26" s="17"/>
      <c r="HF26" s="17"/>
      <c r="HG26" s="17"/>
      <c r="HH26" s="17"/>
      <c r="HI26" s="17"/>
      <c r="HJ26" s="17"/>
      <c r="HK26" s="17"/>
      <c r="HL26" s="17"/>
      <c r="HM26" s="17"/>
      <c r="HN26" s="17"/>
      <c r="HO26" s="17"/>
      <c r="HP26" s="17"/>
      <c r="HQ26" s="17"/>
      <c r="HR26" s="17"/>
      <c r="HS26" s="17"/>
      <c r="HT26" s="17"/>
      <c r="HU26" s="17"/>
      <c r="HV26" s="17"/>
      <c r="HW26" s="17"/>
      <c r="HX26" s="17"/>
      <c r="HY26" s="17"/>
      <c r="HZ26" s="17"/>
      <c r="IA26" s="17"/>
      <c r="IB26" s="17"/>
      <c r="IC26" s="17"/>
      <c r="ID26" s="17"/>
      <c r="IE26" s="17"/>
      <c r="IF26" s="17"/>
      <c r="IG26" s="17"/>
      <c r="IH26" s="17"/>
      <c r="II26" s="17"/>
      <c r="IJ26" s="17"/>
      <c r="IK26" s="17"/>
      <c r="IL26" s="17"/>
      <c r="IM26" s="17"/>
      <c r="IN26" s="17"/>
      <c r="IO26" s="17"/>
      <c r="IP26" s="17"/>
      <c r="IQ26" s="17"/>
      <c r="IR26" s="17"/>
      <c r="IS26" s="17"/>
      <c r="IT26" s="17"/>
      <c r="IU26" s="17"/>
      <c r="IV26" s="17"/>
      <c r="IW26" s="17"/>
      <c r="IX26" s="17"/>
      <c r="IY26" s="17"/>
      <c r="IZ26" s="17"/>
      <c r="JA26" s="17"/>
      <c r="JB26" s="17"/>
      <c r="JC26" s="17"/>
      <c r="JD26" s="17"/>
      <c r="JE26" s="17"/>
      <c r="JF26" s="17"/>
      <c r="JG26" s="17"/>
      <c r="JH26" s="17"/>
      <c r="JI26" s="17"/>
      <c r="JJ26" s="17"/>
      <c r="JK26" s="17"/>
      <c r="JL26" s="17"/>
      <c r="JM26" s="17"/>
      <c r="JN26" s="17"/>
      <c r="JO26" s="17"/>
      <c r="JP26" s="17"/>
      <c r="JQ26" s="17"/>
      <c r="JR26" s="17"/>
      <c r="JS26" s="17"/>
      <c r="JT26" s="17"/>
      <c r="JU26" s="17"/>
      <c r="JV26" s="17"/>
      <c r="JW26" s="17"/>
      <c r="JX26" s="17"/>
      <c r="JY26" s="17"/>
      <c r="JZ26" s="17"/>
      <c r="KA26" s="17"/>
      <c r="KB26" s="17"/>
      <c r="KC26" s="17"/>
      <c r="KD26" s="17"/>
      <c r="KE26" s="17"/>
      <c r="KF26" s="17"/>
      <c r="KG26" s="17"/>
      <c r="KH26" s="17"/>
      <c r="KI26" s="17"/>
      <c r="KJ26" s="17"/>
      <c r="KK26" s="17"/>
      <c r="KL26" s="17"/>
      <c r="KM26" s="17"/>
      <c r="KN26" s="17"/>
      <c r="KO26" s="17"/>
      <c r="KP26" s="17"/>
      <c r="KQ26" s="17"/>
      <c r="KR26" s="17"/>
      <c r="KS26" s="17"/>
      <c r="KT26" s="17"/>
      <c r="KU26" s="17"/>
      <c r="KV26" s="17"/>
      <c r="KW26" s="17"/>
      <c r="KX26" s="17"/>
      <c r="KY26" s="17"/>
      <c r="KZ26" s="17"/>
      <c r="LA26" s="17"/>
      <c r="LB26" s="17"/>
      <c r="LC26" s="17"/>
      <c r="LD26" s="17"/>
      <c r="LE26" s="17"/>
      <c r="LF26" s="17"/>
      <c r="LG26" s="17"/>
      <c r="LH26" s="17"/>
      <c r="LI26" s="17"/>
      <c r="LJ26" s="17"/>
      <c r="LK26" s="17"/>
      <c r="LL26" s="17"/>
      <c r="LM26" s="17"/>
      <c r="LN26" s="17"/>
      <c r="LO26" s="17"/>
      <c r="LP26" s="17"/>
      <c r="LQ26" s="17"/>
      <c r="LR26" s="17"/>
      <c r="LS26" s="17"/>
      <c r="LT26" s="17"/>
      <c r="LU26" s="17"/>
      <c r="LV26" s="17"/>
      <c r="LW26" s="17"/>
      <c r="LX26" s="17"/>
      <c r="LY26" s="17"/>
      <c r="LZ26" s="17"/>
      <c r="MA26" s="17"/>
      <c r="MB26" s="17"/>
      <c r="MC26" s="17"/>
      <c r="MD26" s="17"/>
      <c r="ME26" s="17"/>
      <c r="MF26" s="17"/>
      <c r="MG26" s="17"/>
      <c r="MH26" s="17"/>
      <c r="MI26" s="17"/>
      <c r="MJ26" s="17"/>
      <c r="MK26" s="17"/>
      <c r="ML26" s="17"/>
      <c r="MM26" s="17"/>
      <c r="MN26" s="17"/>
      <c r="MO26" s="17"/>
      <c r="MP26" s="17"/>
      <c r="MQ26" s="17"/>
      <c r="MR26" s="17"/>
      <c r="MS26" s="17"/>
      <c r="MT26" s="17"/>
      <c r="MU26" s="17"/>
      <c r="MV26" s="17"/>
      <c r="MW26" s="17"/>
      <c r="MX26" s="17"/>
      <c r="MY26" s="17"/>
      <c r="MZ26" s="17"/>
      <c r="NA26" s="17"/>
      <c r="NB26" s="17"/>
      <c r="NC26" s="17"/>
      <c r="ND26" s="17"/>
      <c r="NE26" s="17"/>
      <c r="NF26" s="17"/>
      <c r="NG26" s="17"/>
      <c r="NH26" s="17"/>
      <c r="NI26" s="17"/>
      <c r="NJ26" s="17"/>
      <c r="NK26" s="17"/>
      <c r="NL26" s="17"/>
      <c r="NM26" s="17"/>
      <c r="NN26" s="17"/>
      <c r="NO26" s="17"/>
      <c r="NP26" s="17"/>
      <c r="NQ26" s="17"/>
      <c r="NR26" s="17"/>
      <c r="NS26" s="17"/>
      <c r="NT26" s="17"/>
      <c r="NU26" s="17"/>
      <c r="NV26" s="17"/>
      <c r="NW26" s="17"/>
      <c r="NX26" s="17"/>
      <c r="NY26" s="17"/>
      <c r="NZ26" s="17"/>
      <c r="OA26" s="17"/>
      <c r="OB26" s="17"/>
      <c r="OC26" s="17"/>
      <c r="OD26" s="17"/>
      <c r="OE26" s="17"/>
      <c r="OF26" s="17"/>
      <c r="OG26" s="17"/>
      <c r="OH26" s="17"/>
      <c r="OI26" s="17"/>
      <c r="OJ26" s="17"/>
      <c r="OK26" s="17"/>
      <c r="OL26" s="17"/>
      <c r="OM26" s="17"/>
      <c r="ON26" s="17"/>
      <c r="OO26" s="17"/>
      <c r="OP26" s="17"/>
      <c r="OQ26" s="17"/>
      <c r="OR26" s="17"/>
      <c r="OS26" s="17"/>
      <c r="OT26" s="17"/>
      <c r="OU26" s="17"/>
      <c r="OV26" s="17"/>
      <c r="OW26" s="17"/>
      <c r="OX26" s="17"/>
      <c r="OY26" s="17"/>
      <c r="OZ26" s="17"/>
      <c r="PA26" s="17"/>
      <c r="PB26" s="17"/>
      <c r="PC26" s="17"/>
      <c r="PD26" s="17"/>
      <c r="PE26" s="17"/>
      <c r="PF26" s="17"/>
      <c r="PG26" s="17"/>
      <c r="PH26" s="17"/>
      <c r="PI26" s="17"/>
      <c r="PJ26" s="17"/>
      <c r="PK26" s="17"/>
      <c r="PL26" s="17"/>
      <c r="PM26" s="17"/>
      <c r="PN26" s="17"/>
      <c r="PO26" s="17"/>
      <c r="PP26" s="17"/>
      <c r="PQ26" s="17"/>
      <c r="PR26" s="17"/>
      <c r="PS26" s="17"/>
      <c r="PT26" s="17"/>
      <c r="PU26" s="17"/>
      <c r="PV26" s="17"/>
      <c r="PW26" s="17"/>
      <c r="PX26" s="17"/>
      <c r="PY26" s="17"/>
      <c r="PZ26" s="17"/>
      <c r="QA26" s="17"/>
      <c r="QB26" s="17"/>
      <c r="QC26" s="17"/>
      <c r="QD26" s="17"/>
      <c r="QE26" s="17"/>
      <c r="QF26" s="17"/>
      <c r="QG26" s="17"/>
      <c r="QH26" s="17"/>
      <c r="QI26" s="17"/>
      <c r="QJ26" s="17"/>
      <c r="QK26" s="17"/>
      <c r="QL26" s="17"/>
      <c r="QM26" s="17"/>
      <c r="QN26" s="17"/>
      <c r="QO26" s="17"/>
      <c r="QP26" s="17"/>
      <c r="QQ26" s="17"/>
      <c r="QR26" s="17"/>
      <c r="QS26" s="17"/>
      <c r="QT26" s="17"/>
      <c r="QU26" s="17"/>
      <c r="QV26" s="17"/>
      <c r="QW26" s="17"/>
      <c r="QX26" s="17"/>
      <c r="QY26" s="17"/>
      <c r="QZ26" s="17"/>
      <c r="RA26" s="17"/>
      <c r="RB26" s="17"/>
      <c r="RC26" s="17"/>
      <c r="RD26" s="17"/>
      <c r="RE26" s="17"/>
      <c r="RF26" s="17"/>
      <c r="RG26" s="17"/>
      <c r="RH26" s="17"/>
      <c r="RI26" s="17"/>
      <c r="RJ26" s="17"/>
      <c r="RK26" s="17"/>
      <c r="RL26" s="17"/>
      <c r="RM26" s="17"/>
      <c r="RN26" s="17"/>
      <c r="RO26" s="17"/>
      <c r="RP26" s="17"/>
      <c r="RQ26" s="17"/>
      <c r="RR26" s="17"/>
      <c r="RS26" s="17"/>
      <c r="RT26" s="17"/>
      <c r="RU26" s="17"/>
      <c r="RV26" s="17"/>
      <c r="RW26" s="17"/>
      <c r="RX26" s="17"/>
      <c r="RY26" s="17"/>
      <c r="RZ26" s="17"/>
      <c r="SA26" s="17"/>
      <c r="SB26" s="17"/>
      <c r="SC26" s="17"/>
      <c r="SD26" s="17"/>
      <c r="SE26" s="17"/>
      <c r="SF26" s="17"/>
      <c r="SG26" s="17"/>
      <c r="SH26" s="17"/>
      <c r="SI26" s="17"/>
      <c r="SJ26" s="17"/>
      <c r="SK26" s="17"/>
      <c r="SL26" s="17"/>
      <c r="SM26" s="17"/>
      <c r="SN26" s="17"/>
      <c r="SO26" s="17"/>
      <c r="SP26" s="17"/>
      <c r="SQ26" s="17"/>
      <c r="SR26" s="17"/>
      <c r="SS26" s="17"/>
      <c r="ST26" s="17"/>
      <c r="SU26" s="17"/>
      <c r="SV26" s="17"/>
      <c r="SW26" s="17"/>
      <c r="SX26" s="17"/>
      <c r="SY26" s="17"/>
      <c r="SZ26" s="17"/>
      <c r="TA26" s="17"/>
      <c r="TB26" s="17"/>
      <c r="TC26" s="17"/>
      <c r="TD26" s="17"/>
      <c r="TE26" s="17"/>
      <c r="TF26" s="17"/>
      <c r="TG26" s="17"/>
      <c r="TH26" s="17"/>
      <c r="TI26" s="17"/>
      <c r="TJ26" s="17"/>
      <c r="TK26" s="17"/>
      <c r="TL26" s="17"/>
      <c r="TM26" s="17"/>
      <c r="TN26" s="17"/>
      <c r="TO26" s="17"/>
      <c r="TP26" s="17"/>
      <c r="TQ26" s="17"/>
      <c r="TR26" s="17"/>
      <c r="TS26" s="17"/>
      <c r="TT26" s="17"/>
      <c r="TU26" s="17"/>
      <c r="TV26" s="17"/>
      <c r="TW26" s="17"/>
      <c r="TX26" s="17"/>
      <c r="TY26" s="17"/>
      <c r="TZ26" s="17"/>
      <c r="UA26" s="17"/>
      <c r="UB26" s="17"/>
      <c r="UC26" s="17"/>
      <c r="UD26" s="17"/>
      <c r="UE26" s="17"/>
      <c r="UF26" s="17"/>
      <c r="UG26" s="17"/>
      <c r="UH26" s="17"/>
      <c r="UI26" s="17"/>
      <c r="UJ26" s="17"/>
      <c r="UK26" s="17"/>
      <c r="UL26" s="17"/>
      <c r="UM26" s="17"/>
      <c r="UN26" s="17"/>
      <c r="UO26" s="17"/>
      <c r="UP26" s="17"/>
      <c r="UQ26" s="17"/>
      <c r="UR26" s="17"/>
      <c r="US26" s="17"/>
      <c r="UT26" s="17"/>
      <c r="UU26" s="17"/>
      <c r="UV26" s="17"/>
      <c r="UW26" s="17"/>
      <c r="UX26" s="17"/>
      <c r="UY26" s="17"/>
      <c r="UZ26" s="17"/>
      <c r="VA26" s="17"/>
      <c r="VB26" s="17"/>
      <c r="VC26" s="17"/>
      <c r="VD26" s="17"/>
      <c r="VE26" s="17"/>
      <c r="VF26" s="17"/>
      <c r="VG26" s="17"/>
      <c r="VH26" s="17"/>
      <c r="VI26" s="17"/>
      <c r="VJ26" s="17"/>
      <c r="VK26" s="17"/>
      <c r="VL26" s="17"/>
      <c r="VM26" s="17"/>
      <c r="VN26" s="17"/>
      <c r="VO26" s="17"/>
      <c r="VP26" s="17"/>
      <c r="VQ26" s="17"/>
      <c r="VR26" s="17"/>
      <c r="VS26" s="17"/>
      <c r="VT26" s="17"/>
      <c r="VU26" s="17"/>
      <c r="VV26" s="17"/>
      <c r="VW26" s="17"/>
      <c r="VX26" s="17"/>
      <c r="VY26" s="17"/>
      <c r="VZ26" s="17"/>
      <c r="WA26" s="17"/>
      <c r="WB26" s="17"/>
      <c r="WC26" s="17"/>
      <c r="WD26" s="17"/>
      <c r="WE26" s="17"/>
      <c r="WF26" s="17"/>
      <c r="WG26" s="17"/>
      <c r="WH26" s="17"/>
      <c r="WI26" s="17"/>
      <c r="WJ26" s="17"/>
      <c r="WK26" s="17"/>
      <c r="WL26" s="17"/>
      <c r="WM26" s="17"/>
      <c r="WN26" s="17"/>
      <c r="WO26" s="17"/>
      <c r="WP26" s="17"/>
      <c r="WQ26" s="17"/>
      <c r="WR26" s="17"/>
      <c r="WS26" s="17"/>
      <c r="WT26" s="17"/>
      <c r="WU26" s="17"/>
      <c r="WV26" s="17"/>
      <c r="WW26" s="17"/>
      <c r="WX26" s="17"/>
      <c r="WY26" s="17"/>
      <c r="WZ26" s="17"/>
      <c r="XA26" s="17"/>
      <c r="XB26" s="17"/>
      <c r="XC26" s="17"/>
      <c r="XD26" s="17"/>
      <c r="XE26" s="17"/>
      <c r="XF26" s="17"/>
      <c r="XG26" s="17"/>
      <c r="XH26" s="17"/>
      <c r="XI26" s="17"/>
      <c r="XJ26" s="17"/>
      <c r="XK26" s="17"/>
      <c r="XL26" s="17"/>
      <c r="XM26" s="17"/>
      <c r="XN26" s="17"/>
      <c r="XO26" s="17"/>
      <c r="XP26" s="17"/>
      <c r="XQ26" s="17"/>
      <c r="XR26" s="17"/>
      <c r="XS26" s="17"/>
      <c r="XT26" s="17"/>
      <c r="XU26" s="17"/>
      <c r="XV26" s="17"/>
      <c r="XW26" s="17"/>
      <c r="XX26" s="17"/>
      <c r="XY26" s="17"/>
      <c r="XZ26" s="17"/>
      <c r="YA26" s="17"/>
      <c r="YB26" s="17"/>
      <c r="YC26" s="17"/>
      <c r="YD26" s="17"/>
      <c r="YE26" s="17"/>
      <c r="YF26" s="17"/>
      <c r="YG26" s="17"/>
      <c r="YH26" s="17"/>
      <c r="YI26" s="17"/>
      <c r="YJ26" s="17"/>
      <c r="YK26" s="17"/>
      <c r="YL26" s="17"/>
      <c r="YM26" s="17"/>
      <c r="YN26" s="17"/>
      <c r="YO26" s="17"/>
      <c r="YP26" s="17"/>
      <c r="YQ26" s="17"/>
      <c r="YR26" s="17"/>
      <c r="YS26" s="17"/>
      <c r="YT26" s="17"/>
      <c r="YU26" s="17"/>
      <c r="YV26" s="17"/>
      <c r="YW26" s="17"/>
      <c r="YX26" s="17"/>
      <c r="YY26" s="17"/>
      <c r="YZ26" s="17"/>
      <c r="ZA26" s="17"/>
      <c r="ZB26" s="17"/>
      <c r="ZC26" s="17"/>
      <c r="ZD26" s="17"/>
      <c r="ZE26" s="17"/>
      <c r="ZF26" s="17"/>
      <c r="ZG26" s="17"/>
      <c r="ZH26" s="17"/>
      <c r="ZI26" s="17"/>
      <c r="ZJ26" s="17"/>
      <c r="ZK26" s="17"/>
      <c r="ZL26" s="17"/>
      <c r="ZM26" s="17"/>
      <c r="ZN26" s="17"/>
      <c r="ZO26" s="17"/>
      <c r="ZP26" s="17"/>
      <c r="ZQ26" s="17"/>
      <c r="ZR26" s="17"/>
      <c r="ZS26" s="17"/>
      <c r="ZT26" s="17"/>
      <c r="ZU26" s="17"/>
      <c r="ZV26" s="17"/>
      <c r="ZW26" s="17"/>
      <c r="ZX26" s="17"/>
      <c r="ZY26" s="17"/>
      <c r="ZZ26" s="17"/>
    </row>
    <row r="27" spans="1:702" s="33" customFormat="1" x14ac:dyDescent="0.25">
      <c r="A27" s="30" t="str">
        <f>IF(COUNTA(B27:B27)=0,"", MAX(A$2:A26)+1)</f>
        <v/>
      </c>
      <c r="C27" s="34"/>
      <c r="D27" s="63"/>
      <c r="M27" s="34"/>
      <c r="Q27" s="34"/>
      <c r="U27" s="17"/>
      <c r="V27" s="62"/>
      <c r="W27" s="97"/>
      <c r="Z27" s="30" t="str">
        <f t="shared" si="0"/>
        <v/>
      </c>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c r="EC27" s="17"/>
      <c r="ED27" s="17"/>
      <c r="EE27" s="17"/>
      <c r="EF27" s="17"/>
      <c r="EG27" s="17"/>
      <c r="EH27" s="17"/>
      <c r="EI27" s="17"/>
      <c r="EJ27" s="17"/>
      <c r="EK27" s="17"/>
      <c r="EL27" s="17"/>
      <c r="EM27" s="17"/>
      <c r="EN27" s="17"/>
      <c r="EO27" s="17"/>
      <c r="EP27" s="17"/>
      <c r="EQ27" s="17"/>
      <c r="ER27" s="17"/>
      <c r="ES27" s="17"/>
      <c r="ET27" s="17"/>
      <c r="EU27" s="17"/>
      <c r="EV27" s="17"/>
      <c r="EW27" s="17"/>
      <c r="EX27" s="17"/>
      <c r="EY27" s="17"/>
      <c r="EZ27" s="17"/>
      <c r="FA27" s="17"/>
      <c r="FB27" s="17"/>
      <c r="FC27" s="17"/>
      <c r="FD27" s="17"/>
      <c r="FE27" s="17"/>
      <c r="FF27" s="17"/>
      <c r="FG27" s="17"/>
      <c r="FH27" s="17"/>
      <c r="FI27" s="17"/>
      <c r="FJ27" s="17"/>
      <c r="FK27" s="17"/>
      <c r="FL27" s="17"/>
      <c r="FM27" s="17"/>
      <c r="FN27" s="17"/>
      <c r="FO27" s="17"/>
      <c r="FP27" s="17"/>
      <c r="FQ27" s="17"/>
      <c r="FR27" s="17"/>
      <c r="FS27" s="17"/>
      <c r="FT27" s="17"/>
      <c r="FU27" s="17"/>
      <c r="FV27" s="17"/>
      <c r="FW27" s="17"/>
      <c r="FX27" s="17"/>
      <c r="FY27" s="17"/>
      <c r="FZ27" s="17"/>
      <c r="GA27" s="17"/>
      <c r="GB27" s="17"/>
      <c r="GC27" s="17"/>
      <c r="GD27" s="17"/>
      <c r="GE27" s="17"/>
      <c r="GF27" s="17"/>
      <c r="GG27" s="17"/>
      <c r="GH27" s="17"/>
      <c r="GI27" s="17"/>
      <c r="GJ27" s="17"/>
      <c r="GK27" s="17"/>
      <c r="GL27" s="17"/>
      <c r="GM27" s="17"/>
      <c r="GN27" s="17"/>
      <c r="GO27" s="17"/>
      <c r="GP27" s="17"/>
      <c r="GQ27" s="17"/>
      <c r="GR27" s="17"/>
      <c r="GS27" s="17"/>
      <c r="GT27" s="17"/>
      <c r="GU27" s="17"/>
      <c r="GV27" s="17"/>
      <c r="GW27" s="17"/>
      <c r="GX27" s="17"/>
      <c r="GY27" s="17"/>
      <c r="GZ27" s="17"/>
      <c r="HA27" s="17"/>
      <c r="HB27" s="17"/>
      <c r="HC27" s="17"/>
      <c r="HD27" s="17"/>
      <c r="HE27" s="17"/>
      <c r="HF27" s="17"/>
      <c r="HG27" s="17"/>
      <c r="HH27" s="17"/>
      <c r="HI27" s="17"/>
      <c r="HJ27" s="17"/>
      <c r="HK27" s="17"/>
      <c r="HL27" s="17"/>
      <c r="HM27" s="17"/>
      <c r="HN27" s="17"/>
      <c r="HO27" s="17"/>
      <c r="HP27" s="17"/>
      <c r="HQ27" s="17"/>
      <c r="HR27" s="17"/>
      <c r="HS27" s="17"/>
      <c r="HT27" s="17"/>
      <c r="HU27" s="17"/>
      <c r="HV27" s="17"/>
      <c r="HW27" s="17"/>
      <c r="HX27" s="17"/>
      <c r="HY27" s="17"/>
      <c r="HZ27" s="17"/>
      <c r="IA27" s="17"/>
      <c r="IB27" s="17"/>
      <c r="IC27" s="17"/>
      <c r="ID27" s="17"/>
      <c r="IE27" s="17"/>
      <c r="IF27" s="17"/>
      <c r="IG27" s="17"/>
      <c r="IH27" s="17"/>
      <c r="II27" s="17"/>
      <c r="IJ27" s="17"/>
      <c r="IK27" s="17"/>
      <c r="IL27" s="17"/>
      <c r="IM27" s="17"/>
      <c r="IN27" s="17"/>
      <c r="IO27" s="17"/>
      <c r="IP27" s="17"/>
      <c r="IQ27" s="17"/>
      <c r="IR27" s="17"/>
      <c r="IS27" s="17"/>
      <c r="IT27" s="17"/>
      <c r="IU27" s="17"/>
      <c r="IV27" s="17"/>
      <c r="IW27" s="17"/>
      <c r="IX27" s="17"/>
      <c r="IY27" s="17"/>
      <c r="IZ27" s="17"/>
      <c r="JA27" s="17"/>
      <c r="JB27" s="17"/>
      <c r="JC27" s="17"/>
      <c r="JD27" s="17"/>
      <c r="JE27" s="17"/>
      <c r="JF27" s="17"/>
      <c r="JG27" s="17"/>
      <c r="JH27" s="17"/>
      <c r="JI27" s="17"/>
      <c r="JJ27" s="17"/>
      <c r="JK27" s="17"/>
      <c r="JL27" s="17"/>
      <c r="JM27" s="17"/>
      <c r="JN27" s="17"/>
      <c r="JO27" s="17"/>
      <c r="JP27" s="17"/>
      <c r="JQ27" s="17"/>
      <c r="JR27" s="17"/>
      <c r="JS27" s="17"/>
      <c r="JT27" s="17"/>
      <c r="JU27" s="17"/>
      <c r="JV27" s="17"/>
      <c r="JW27" s="17"/>
      <c r="JX27" s="17"/>
      <c r="JY27" s="17"/>
      <c r="JZ27" s="17"/>
      <c r="KA27" s="17"/>
      <c r="KB27" s="17"/>
      <c r="KC27" s="17"/>
      <c r="KD27" s="17"/>
      <c r="KE27" s="17"/>
      <c r="KF27" s="17"/>
      <c r="KG27" s="17"/>
      <c r="KH27" s="17"/>
      <c r="KI27" s="17"/>
      <c r="KJ27" s="17"/>
      <c r="KK27" s="17"/>
      <c r="KL27" s="17"/>
      <c r="KM27" s="17"/>
      <c r="KN27" s="17"/>
      <c r="KO27" s="17"/>
      <c r="KP27" s="17"/>
      <c r="KQ27" s="17"/>
      <c r="KR27" s="17"/>
      <c r="KS27" s="17"/>
      <c r="KT27" s="17"/>
      <c r="KU27" s="17"/>
      <c r="KV27" s="17"/>
      <c r="KW27" s="17"/>
      <c r="KX27" s="17"/>
      <c r="KY27" s="17"/>
      <c r="KZ27" s="17"/>
      <c r="LA27" s="17"/>
      <c r="LB27" s="17"/>
      <c r="LC27" s="17"/>
      <c r="LD27" s="17"/>
      <c r="LE27" s="17"/>
      <c r="LF27" s="17"/>
      <c r="LG27" s="17"/>
      <c r="LH27" s="17"/>
      <c r="LI27" s="17"/>
      <c r="LJ27" s="17"/>
      <c r="LK27" s="17"/>
      <c r="LL27" s="17"/>
      <c r="LM27" s="17"/>
      <c r="LN27" s="17"/>
      <c r="LO27" s="17"/>
      <c r="LP27" s="17"/>
      <c r="LQ27" s="17"/>
      <c r="LR27" s="17"/>
      <c r="LS27" s="17"/>
      <c r="LT27" s="17"/>
      <c r="LU27" s="17"/>
      <c r="LV27" s="17"/>
      <c r="LW27" s="17"/>
      <c r="LX27" s="17"/>
      <c r="LY27" s="17"/>
      <c r="LZ27" s="17"/>
      <c r="MA27" s="17"/>
      <c r="MB27" s="17"/>
      <c r="MC27" s="17"/>
      <c r="MD27" s="17"/>
      <c r="ME27" s="17"/>
      <c r="MF27" s="17"/>
      <c r="MG27" s="17"/>
      <c r="MH27" s="17"/>
      <c r="MI27" s="17"/>
      <c r="MJ27" s="17"/>
      <c r="MK27" s="17"/>
      <c r="ML27" s="17"/>
      <c r="MM27" s="17"/>
      <c r="MN27" s="17"/>
      <c r="MO27" s="17"/>
      <c r="MP27" s="17"/>
      <c r="MQ27" s="17"/>
      <c r="MR27" s="17"/>
      <c r="MS27" s="17"/>
      <c r="MT27" s="17"/>
      <c r="MU27" s="17"/>
      <c r="MV27" s="17"/>
      <c r="MW27" s="17"/>
      <c r="MX27" s="17"/>
      <c r="MY27" s="17"/>
      <c r="MZ27" s="17"/>
      <c r="NA27" s="17"/>
      <c r="NB27" s="17"/>
      <c r="NC27" s="17"/>
      <c r="ND27" s="17"/>
      <c r="NE27" s="17"/>
      <c r="NF27" s="17"/>
      <c r="NG27" s="17"/>
      <c r="NH27" s="17"/>
      <c r="NI27" s="17"/>
      <c r="NJ27" s="17"/>
      <c r="NK27" s="17"/>
      <c r="NL27" s="17"/>
      <c r="NM27" s="17"/>
      <c r="NN27" s="17"/>
      <c r="NO27" s="17"/>
      <c r="NP27" s="17"/>
      <c r="NQ27" s="17"/>
      <c r="NR27" s="17"/>
      <c r="NS27" s="17"/>
      <c r="NT27" s="17"/>
      <c r="NU27" s="17"/>
      <c r="NV27" s="17"/>
      <c r="NW27" s="17"/>
      <c r="NX27" s="17"/>
      <c r="NY27" s="17"/>
      <c r="NZ27" s="17"/>
      <c r="OA27" s="17"/>
      <c r="OB27" s="17"/>
      <c r="OC27" s="17"/>
      <c r="OD27" s="17"/>
      <c r="OE27" s="17"/>
      <c r="OF27" s="17"/>
      <c r="OG27" s="17"/>
      <c r="OH27" s="17"/>
      <c r="OI27" s="17"/>
      <c r="OJ27" s="17"/>
      <c r="OK27" s="17"/>
      <c r="OL27" s="17"/>
      <c r="OM27" s="17"/>
      <c r="ON27" s="17"/>
      <c r="OO27" s="17"/>
      <c r="OP27" s="17"/>
      <c r="OQ27" s="17"/>
      <c r="OR27" s="17"/>
      <c r="OS27" s="17"/>
      <c r="OT27" s="17"/>
      <c r="OU27" s="17"/>
      <c r="OV27" s="17"/>
      <c r="OW27" s="17"/>
      <c r="OX27" s="17"/>
      <c r="OY27" s="17"/>
      <c r="OZ27" s="17"/>
      <c r="PA27" s="17"/>
      <c r="PB27" s="17"/>
      <c r="PC27" s="17"/>
      <c r="PD27" s="17"/>
      <c r="PE27" s="17"/>
      <c r="PF27" s="17"/>
      <c r="PG27" s="17"/>
      <c r="PH27" s="17"/>
      <c r="PI27" s="17"/>
      <c r="PJ27" s="17"/>
      <c r="PK27" s="17"/>
      <c r="PL27" s="17"/>
      <c r="PM27" s="17"/>
      <c r="PN27" s="17"/>
      <c r="PO27" s="17"/>
      <c r="PP27" s="17"/>
      <c r="PQ27" s="17"/>
      <c r="PR27" s="17"/>
      <c r="PS27" s="17"/>
      <c r="PT27" s="17"/>
      <c r="PU27" s="17"/>
      <c r="PV27" s="17"/>
      <c r="PW27" s="17"/>
      <c r="PX27" s="17"/>
      <c r="PY27" s="17"/>
      <c r="PZ27" s="17"/>
      <c r="QA27" s="17"/>
      <c r="QB27" s="17"/>
      <c r="QC27" s="17"/>
      <c r="QD27" s="17"/>
      <c r="QE27" s="17"/>
      <c r="QF27" s="17"/>
      <c r="QG27" s="17"/>
      <c r="QH27" s="17"/>
      <c r="QI27" s="17"/>
      <c r="QJ27" s="17"/>
      <c r="QK27" s="17"/>
      <c r="QL27" s="17"/>
      <c r="QM27" s="17"/>
      <c r="QN27" s="17"/>
      <c r="QO27" s="17"/>
      <c r="QP27" s="17"/>
      <c r="QQ27" s="17"/>
      <c r="QR27" s="17"/>
      <c r="QS27" s="17"/>
      <c r="QT27" s="17"/>
      <c r="QU27" s="17"/>
      <c r="QV27" s="17"/>
      <c r="QW27" s="17"/>
      <c r="QX27" s="17"/>
      <c r="QY27" s="17"/>
      <c r="QZ27" s="17"/>
      <c r="RA27" s="17"/>
      <c r="RB27" s="17"/>
      <c r="RC27" s="17"/>
      <c r="RD27" s="17"/>
      <c r="RE27" s="17"/>
      <c r="RF27" s="17"/>
      <c r="RG27" s="17"/>
      <c r="RH27" s="17"/>
      <c r="RI27" s="17"/>
      <c r="RJ27" s="17"/>
      <c r="RK27" s="17"/>
      <c r="RL27" s="17"/>
      <c r="RM27" s="17"/>
      <c r="RN27" s="17"/>
      <c r="RO27" s="17"/>
      <c r="RP27" s="17"/>
      <c r="RQ27" s="17"/>
      <c r="RR27" s="17"/>
      <c r="RS27" s="17"/>
      <c r="RT27" s="17"/>
      <c r="RU27" s="17"/>
      <c r="RV27" s="17"/>
      <c r="RW27" s="17"/>
      <c r="RX27" s="17"/>
      <c r="RY27" s="17"/>
      <c r="RZ27" s="17"/>
      <c r="SA27" s="17"/>
      <c r="SB27" s="17"/>
      <c r="SC27" s="17"/>
      <c r="SD27" s="17"/>
      <c r="SE27" s="17"/>
      <c r="SF27" s="17"/>
      <c r="SG27" s="17"/>
      <c r="SH27" s="17"/>
      <c r="SI27" s="17"/>
      <c r="SJ27" s="17"/>
      <c r="SK27" s="17"/>
      <c r="SL27" s="17"/>
      <c r="SM27" s="17"/>
      <c r="SN27" s="17"/>
      <c r="SO27" s="17"/>
      <c r="SP27" s="17"/>
      <c r="SQ27" s="17"/>
      <c r="SR27" s="17"/>
      <c r="SS27" s="17"/>
      <c r="ST27" s="17"/>
      <c r="SU27" s="17"/>
      <c r="SV27" s="17"/>
      <c r="SW27" s="17"/>
      <c r="SX27" s="17"/>
      <c r="SY27" s="17"/>
      <c r="SZ27" s="17"/>
      <c r="TA27" s="17"/>
      <c r="TB27" s="17"/>
      <c r="TC27" s="17"/>
      <c r="TD27" s="17"/>
      <c r="TE27" s="17"/>
      <c r="TF27" s="17"/>
      <c r="TG27" s="17"/>
      <c r="TH27" s="17"/>
      <c r="TI27" s="17"/>
      <c r="TJ27" s="17"/>
      <c r="TK27" s="17"/>
      <c r="TL27" s="17"/>
      <c r="TM27" s="17"/>
      <c r="TN27" s="17"/>
      <c r="TO27" s="17"/>
      <c r="TP27" s="17"/>
      <c r="TQ27" s="17"/>
      <c r="TR27" s="17"/>
      <c r="TS27" s="17"/>
      <c r="TT27" s="17"/>
      <c r="TU27" s="17"/>
      <c r="TV27" s="17"/>
      <c r="TW27" s="17"/>
      <c r="TX27" s="17"/>
      <c r="TY27" s="17"/>
      <c r="TZ27" s="17"/>
      <c r="UA27" s="17"/>
      <c r="UB27" s="17"/>
      <c r="UC27" s="17"/>
      <c r="UD27" s="17"/>
      <c r="UE27" s="17"/>
      <c r="UF27" s="17"/>
      <c r="UG27" s="17"/>
      <c r="UH27" s="17"/>
      <c r="UI27" s="17"/>
      <c r="UJ27" s="17"/>
      <c r="UK27" s="17"/>
      <c r="UL27" s="17"/>
      <c r="UM27" s="17"/>
      <c r="UN27" s="17"/>
      <c r="UO27" s="17"/>
      <c r="UP27" s="17"/>
      <c r="UQ27" s="17"/>
      <c r="UR27" s="17"/>
      <c r="US27" s="17"/>
      <c r="UT27" s="17"/>
      <c r="UU27" s="17"/>
      <c r="UV27" s="17"/>
      <c r="UW27" s="17"/>
      <c r="UX27" s="17"/>
      <c r="UY27" s="17"/>
      <c r="UZ27" s="17"/>
      <c r="VA27" s="17"/>
      <c r="VB27" s="17"/>
      <c r="VC27" s="17"/>
      <c r="VD27" s="17"/>
      <c r="VE27" s="17"/>
      <c r="VF27" s="17"/>
      <c r="VG27" s="17"/>
      <c r="VH27" s="17"/>
      <c r="VI27" s="17"/>
      <c r="VJ27" s="17"/>
      <c r="VK27" s="17"/>
      <c r="VL27" s="17"/>
      <c r="VM27" s="17"/>
      <c r="VN27" s="17"/>
      <c r="VO27" s="17"/>
      <c r="VP27" s="17"/>
      <c r="VQ27" s="17"/>
      <c r="VR27" s="17"/>
      <c r="VS27" s="17"/>
      <c r="VT27" s="17"/>
      <c r="VU27" s="17"/>
      <c r="VV27" s="17"/>
      <c r="VW27" s="17"/>
      <c r="VX27" s="17"/>
      <c r="VY27" s="17"/>
      <c r="VZ27" s="17"/>
      <c r="WA27" s="17"/>
      <c r="WB27" s="17"/>
      <c r="WC27" s="17"/>
      <c r="WD27" s="17"/>
      <c r="WE27" s="17"/>
      <c r="WF27" s="17"/>
      <c r="WG27" s="17"/>
      <c r="WH27" s="17"/>
      <c r="WI27" s="17"/>
      <c r="WJ27" s="17"/>
      <c r="WK27" s="17"/>
      <c r="WL27" s="17"/>
      <c r="WM27" s="17"/>
      <c r="WN27" s="17"/>
      <c r="WO27" s="17"/>
      <c r="WP27" s="17"/>
      <c r="WQ27" s="17"/>
      <c r="WR27" s="17"/>
      <c r="WS27" s="17"/>
      <c r="WT27" s="17"/>
      <c r="WU27" s="17"/>
      <c r="WV27" s="17"/>
      <c r="WW27" s="17"/>
      <c r="WX27" s="17"/>
      <c r="WY27" s="17"/>
      <c r="WZ27" s="17"/>
      <c r="XA27" s="17"/>
      <c r="XB27" s="17"/>
      <c r="XC27" s="17"/>
      <c r="XD27" s="17"/>
      <c r="XE27" s="17"/>
      <c r="XF27" s="17"/>
      <c r="XG27" s="17"/>
      <c r="XH27" s="17"/>
      <c r="XI27" s="17"/>
      <c r="XJ27" s="17"/>
      <c r="XK27" s="17"/>
      <c r="XL27" s="17"/>
      <c r="XM27" s="17"/>
      <c r="XN27" s="17"/>
      <c r="XO27" s="17"/>
      <c r="XP27" s="17"/>
      <c r="XQ27" s="17"/>
      <c r="XR27" s="17"/>
      <c r="XS27" s="17"/>
      <c r="XT27" s="17"/>
      <c r="XU27" s="17"/>
      <c r="XV27" s="17"/>
      <c r="XW27" s="17"/>
      <c r="XX27" s="17"/>
      <c r="XY27" s="17"/>
      <c r="XZ27" s="17"/>
      <c r="YA27" s="17"/>
      <c r="YB27" s="17"/>
      <c r="YC27" s="17"/>
      <c r="YD27" s="17"/>
      <c r="YE27" s="17"/>
      <c r="YF27" s="17"/>
      <c r="YG27" s="17"/>
      <c r="YH27" s="17"/>
      <c r="YI27" s="17"/>
      <c r="YJ27" s="17"/>
      <c r="YK27" s="17"/>
      <c r="YL27" s="17"/>
      <c r="YM27" s="17"/>
      <c r="YN27" s="17"/>
      <c r="YO27" s="17"/>
      <c r="YP27" s="17"/>
      <c r="YQ27" s="17"/>
      <c r="YR27" s="17"/>
      <c r="YS27" s="17"/>
      <c r="YT27" s="17"/>
      <c r="YU27" s="17"/>
      <c r="YV27" s="17"/>
      <c r="YW27" s="17"/>
      <c r="YX27" s="17"/>
      <c r="YY27" s="17"/>
      <c r="YZ27" s="17"/>
      <c r="ZA27" s="17"/>
      <c r="ZB27" s="17"/>
      <c r="ZC27" s="17"/>
      <c r="ZD27" s="17"/>
      <c r="ZE27" s="17"/>
      <c r="ZF27" s="17"/>
      <c r="ZG27" s="17"/>
      <c r="ZH27" s="17"/>
      <c r="ZI27" s="17"/>
      <c r="ZJ27" s="17"/>
      <c r="ZK27" s="17"/>
      <c r="ZL27" s="17"/>
      <c r="ZM27" s="17"/>
      <c r="ZN27" s="17"/>
      <c r="ZO27" s="17"/>
      <c r="ZP27" s="17"/>
      <c r="ZQ27" s="17"/>
      <c r="ZR27" s="17"/>
      <c r="ZS27" s="17"/>
      <c r="ZT27" s="17"/>
      <c r="ZU27" s="17"/>
      <c r="ZV27" s="17"/>
      <c r="ZW27" s="17"/>
      <c r="ZX27" s="17"/>
      <c r="ZY27" s="17"/>
      <c r="ZZ27" s="17"/>
    </row>
    <row r="28" spans="1:702" s="33" customFormat="1" x14ac:dyDescent="0.25">
      <c r="A28" s="30" t="str">
        <f>IF(COUNTA(B28:B28)=0,"", MAX(A$2:A27)+1)</f>
        <v/>
      </c>
      <c r="C28" s="34"/>
      <c r="D28" s="63"/>
      <c r="M28" s="34"/>
      <c r="Q28" s="34"/>
      <c r="U28" s="62"/>
      <c r="V28" s="62"/>
      <c r="W28" s="97"/>
      <c r="Z28" s="30" t="str">
        <f t="shared" si="0"/>
        <v/>
      </c>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c r="EC28" s="17"/>
      <c r="ED28" s="17"/>
      <c r="EE28" s="17"/>
      <c r="EF28" s="17"/>
      <c r="EG28" s="17"/>
      <c r="EH28" s="17"/>
      <c r="EI28" s="17"/>
      <c r="EJ28" s="17"/>
      <c r="EK28" s="17"/>
      <c r="EL28" s="17"/>
      <c r="EM28" s="17"/>
      <c r="EN28" s="17"/>
      <c r="EO28" s="17"/>
      <c r="EP28" s="17"/>
      <c r="EQ28" s="17"/>
      <c r="ER28" s="17"/>
      <c r="ES28" s="17"/>
      <c r="ET28" s="17"/>
      <c r="EU28" s="17"/>
      <c r="EV28" s="17"/>
      <c r="EW28" s="17"/>
      <c r="EX28" s="17"/>
      <c r="EY28" s="17"/>
      <c r="EZ28" s="17"/>
      <c r="FA28" s="17"/>
      <c r="FB28" s="17"/>
      <c r="FC28" s="17"/>
      <c r="FD28" s="17"/>
      <c r="FE28" s="17"/>
      <c r="FF28" s="17"/>
      <c r="FG28" s="17"/>
      <c r="FH28" s="17"/>
      <c r="FI28" s="17"/>
      <c r="FJ28" s="17"/>
      <c r="FK28" s="17"/>
      <c r="FL28" s="17"/>
      <c r="FM28" s="17"/>
      <c r="FN28" s="17"/>
      <c r="FO28" s="17"/>
      <c r="FP28" s="17"/>
      <c r="FQ28" s="17"/>
      <c r="FR28" s="17"/>
      <c r="FS28" s="17"/>
      <c r="FT28" s="17"/>
      <c r="FU28" s="17"/>
      <c r="FV28" s="17"/>
      <c r="FW28" s="17"/>
      <c r="FX28" s="17"/>
      <c r="FY28" s="17"/>
      <c r="FZ28" s="17"/>
      <c r="GA28" s="17"/>
      <c r="GB28" s="17"/>
      <c r="GC28" s="17"/>
      <c r="GD28" s="17"/>
      <c r="GE28" s="17"/>
      <c r="GF28" s="17"/>
      <c r="GG28" s="17"/>
      <c r="GH28" s="17"/>
      <c r="GI28" s="17"/>
      <c r="GJ28" s="17"/>
      <c r="GK28" s="17"/>
      <c r="GL28" s="17"/>
      <c r="GM28" s="17"/>
      <c r="GN28" s="17"/>
      <c r="GO28" s="17"/>
      <c r="GP28" s="17"/>
      <c r="GQ28" s="17"/>
      <c r="GR28" s="17"/>
      <c r="GS28" s="17"/>
      <c r="GT28" s="17"/>
      <c r="GU28" s="17"/>
      <c r="GV28" s="17"/>
      <c r="GW28" s="17"/>
      <c r="GX28" s="17"/>
      <c r="GY28" s="17"/>
      <c r="GZ28" s="17"/>
      <c r="HA28" s="17"/>
      <c r="HB28" s="17"/>
      <c r="HC28" s="17"/>
      <c r="HD28" s="17"/>
      <c r="HE28" s="17"/>
      <c r="HF28" s="17"/>
      <c r="HG28" s="17"/>
      <c r="HH28" s="17"/>
      <c r="HI28" s="17"/>
      <c r="HJ28" s="17"/>
      <c r="HK28" s="17"/>
      <c r="HL28" s="17"/>
      <c r="HM28" s="17"/>
      <c r="HN28" s="17"/>
      <c r="HO28" s="17"/>
      <c r="HP28" s="17"/>
      <c r="HQ28" s="17"/>
      <c r="HR28" s="17"/>
      <c r="HS28" s="17"/>
      <c r="HT28" s="17"/>
      <c r="HU28" s="17"/>
      <c r="HV28" s="17"/>
      <c r="HW28" s="17"/>
      <c r="HX28" s="17"/>
      <c r="HY28" s="17"/>
      <c r="HZ28" s="17"/>
      <c r="IA28" s="17"/>
      <c r="IB28" s="17"/>
      <c r="IC28" s="17"/>
      <c r="ID28" s="17"/>
      <c r="IE28" s="17"/>
      <c r="IF28" s="17"/>
      <c r="IG28" s="17"/>
      <c r="IH28" s="17"/>
      <c r="II28" s="17"/>
      <c r="IJ28" s="17"/>
      <c r="IK28" s="17"/>
      <c r="IL28" s="17"/>
      <c r="IM28" s="17"/>
      <c r="IN28" s="17"/>
      <c r="IO28" s="17"/>
      <c r="IP28" s="17"/>
      <c r="IQ28" s="17"/>
      <c r="IR28" s="17"/>
      <c r="IS28" s="17"/>
      <c r="IT28" s="17"/>
      <c r="IU28" s="17"/>
      <c r="IV28" s="17"/>
      <c r="IW28" s="17"/>
      <c r="IX28" s="17"/>
      <c r="IY28" s="17"/>
      <c r="IZ28" s="17"/>
      <c r="JA28" s="17"/>
      <c r="JB28" s="17"/>
      <c r="JC28" s="17"/>
      <c r="JD28" s="17"/>
      <c r="JE28" s="17"/>
      <c r="JF28" s="17"/>
      <c r="JG28" s="17"/>
      <c r="JH28" s="17"/>
      <c r="JI28" s="17"/>
      <c r="JJ28" s="17"/>
      <c r="JK28" s="17"/>
      <c r="JL28" s="17"/>
      <c r="JM28" s="17"/>
      <c r="JN28" s="17"/>
      <c r="JO28" s="17"/>
      <c r="JP28" s="17"/>
      <c r="JQ28" s="17"/>
      <c r="JR28" s="17"/>
      <c r="JS28" s="17"/>
      <c r="JT28" s="17"/>
      <c r="JU28" s="17"/>
      <c r="JV28" s="17"/>
      <c r="JW28" s="17"/>
      <c r="JX28" s="17"/>
      <c r="JY28" s="17"/>
      <c r="JZ28" s="17"/>
      <c r="KA28" s="17"/>
      <c r="KB28" s="17"/>
      <c r="KC28" s="17"/>
      <c r="KD28" s="17"/>
      <c r="KE28" s="17"/>
      <c r="KF28" s="17"/>
      <c r="KG28" s="17"/>
      <c r="KH28" s="17"/>
      <c r="KI28" s="17"/>
      <c r="KJ28" s="17"/>
      <c r="KK28" s="17"/>
      <c r="KL28" s="17"/>
      <c r="KM28" s="17"/>
      <c r="KN28" s="17"/>
      <c r="KO28" s="17"/>
      <c r="KP28" s="17"/>
      <c r="KQ28" s="17"/>
      <c r="KR28" s="17"/>
      <c r="KS28" s="17"/>
      <c r="KT28" s="17"/>
      <c r="KU28" s="17"/>
      <c r="KV28" s="17"/>
      <c r="KW28" s="17"/>
      <c r="KX28" s="17"/>
      <c r="KY28" s="17"/>
      <c r="KZ28" s="17"/>
      <c r="LA28" s="17"/>
      <c r="LB28" s="17"/>
      <c r="LC28" s="17"/>
      <c r="LD28" s="17"/>
      <c r="LE28" s="17"/>
      <c r="LF28" s="17"/>
      <c r="LG28" s="17"/>
      <c r="LH28" s="17"/>
      <c r="LI28" s="17"/>
      <c r="LJ28" s="17"/>
      <c r="LK28" s="17"/>
      <c r="LL28" s="17"/>
      <c r="LM28" s="17"/>
      <c r="LN28" s="17"/>
      <c r="LO28" s="17"/>
      <c r="LP28" s="17"/>
      <c r="LQ28" s="17"/>
      <c r="LR28" s="17"/>
      <c r="LS28" s="17"/>
      <c r="LT28" s="17"/>
      <c r="LU28" s="17"/>
      <c r="LV28" s="17"/>
      <c r="LW28" s="17"/>
      <c r="LX28" s="17"/>
      <c r="LY28" s="17"/>
      <c r="LZ28" s="17"/>
      <c r="MA28" s="17"/>
      <c r="MB28" s="17"/>
      <c r="MC28" s="17"/>
      <c r="MD28" s="17"/>
      <c r="ME28" s="17"/>
      <c r="MF28" s="17"/>
      <c r="MG28" s="17"/>
      <c r="MH28" s="17"/>
      <c r="MI28" s="17"/>
      <c r="MJ28" s="17"/>
      <c r="MK28" s="17"/>
      <c r="ML28" s="17"/>
      <c r="MM28" s="17"/>
      <c r="MN28" s="17"/>
      <c r="MO28" s="17"/>
      <c r="MP28" s="17"/>
      <c r="MQ28" s="17"/>
      <c r="MR28" s="17"/>
      <c r="MS28" s="17"/>
      <c r="MT28" s="17"/>
      <c r="MU28" s="17"/>
      <c r="MV28" s="17"/>
      <c r="MW28" s="17"/>
      <c r="MX28" s="17"/>
      <c r="MY28" s="17"/>
      <c r="MZ28" s="17"/>
      <c r="NA28" s="17"/>
      <c r="NB28" s="17"/>
      <c r="NC28" s="17"/>
      <c r="ND28" s="17"/>
      <c r="NE28" s="17"/>
      <c r="NF28" s="17"/>
      <c r="NG28" s="17"/>
      <c r="NH28" s="17"/>
      <c r="NI28" s="17"/>
      <c r="NJ28" s="17"/>
      <c r="NK28" s="17"/>
      <c r="NL28" s="17"/>
      <c r="NM28" s="17"/>
      <c r="NN28" s="17"/>
      <c r="NO28" s="17"/>
      <c r="NP28" s="17"/>
      <c r="NQ28" s="17"/>
      <c r="NR28" s="17"/>
      <c r="NS28" s="17"/>
      <c r="NT28" s="17"/>
      <c r="NU28" s="17"/>
      <c r="NV28" s="17"/>
      <c r="NW28" s="17"/>
      <c r="NX28" s="17"/>
      <c r="NY28" s="17"/>
      <c r="NZ28" s="17"/>
      <c r="OA28" s="17"/>
      <c r="OB28" s="17"/>
      <c r="OC28" s="17"/>
      <c r="OD28" s="17"/>
      <c r="OE28" s="17"/>
      <c r="OF28" s="17"/>
      <c r="OG28" s="17"/>
      <c r="OH28" s="17"/>
      <c r="OI28" s="17"/>
      <c r="OJ28" s="17"/>
      <c r="OK28" s="17"/>
      <c r="OL28" s="17"/>
      <c r="OM28" s="17"/>
      <c r="ON28" s="17"/>
      <c r="OO28" s="17"/>
      <c r="OP28" s="17"/>
      <c r="OQ28" s="17"/>
      <c r="OR28" s="17"/>
      <c r="OS28" s="17"/>
      <c r="OT28" s="17"/>
      <c r="OU28" s="17"/>
      <c r="OV28" s="17"/>
      <c r="OW28" s="17"/>
      <c r="OX28" s="17"/>
      <c r="OY28" s="17"/>
      <c r="OZ28" s="17"/>
      <c r="PA28" s="17"/>
      <c r="PB28" s="17"/>
      <c r="PC28" s="17"/>
      <c r="PD28" s="17"/>
      <c r="PE28" s="17"/>
      <c r="PF28" s="17"/>
      <c r="PG28" s="17"/>
      <c r="PH28" s="17"/>
      <c r="PI28" s="17"/>
      <c r="PJ28" s="17"/>
      <c r="PK28" s="17"/>
      <c r="PL28" s="17"/>
      <c r="PM28" s="17"/>
      <c r="PN28" s="17"/>
      <c r="PO28" s="17"/>
      <c r="PP28" s="17"/>
      <c r="PQ28" s="17"/>
      <c r="PR28" s="17"/>
      <c r="PS28" s="17"/>
      <c r="PT28" s="17"/>
      <c r="PU28" s="17"/>
      <c r="PV28" s="17"/>
      <c r="PW28" s="17"/>
      <c r="PX28" s="17"/>
      <c r="PY28" s="17"/>
      <c r="PZ28" s="17"/>
      <c r="QA28" s="17"/>
      <c r="QB28" s="17"/>
      <c r="QC28" s="17"/>
      <c r="QD28" s="17"/>
      <c r="QE28" s="17"/>
      <c r="QF28" s="17"/>
      <c r="QG28" s="17"/>
      <c r="QH28" s="17"/>
      <c r="QI28" s="17"/>
      <c r="QJ28" s="17"/>
      <c r="QK28" s="17"/>
      <c r="QL28" s="17"/>
      <c r="QM28" s="17"/>
      <c r="QN28" s="17"/>
      <c r="QO28" s="17"/>
      <c r="QP28" s="17"/>
      <c r="QQ28" s="17"/>
      <c r="QR28" s="17"/>
      <c r="QS28" s="17"/>
      <c r="QT28" s="17"/>
      <c r="QU28" s="17"/>
      <c r="QV28" s="17"/>
      <c r="QW28" s="17"/>
      <c r="QX28" s="17"/>
      <c r="QY28" s="17"/>
      <c r="QZ28" s="17"/>
      <c r="RA28" s="17"/>
      <c r="RB28" s="17"/>
      <c r="RC28" s="17"/>
      <c r="RD28" s="17"/>
      <c r="RE28" s="17"/>
      <c r="RF28" s="17"/>
      <c r="RG28" s="17"/>
      <c r="RH28" s="17"/>
      <c r="RI28" s="17"/>
      <c r="RJ28" s="17"/>
      <c r="RK28" s="17"/>
      <c r="RL28" s="17"/>
      <c r="RM28" s="17"/>
      <c r="RN28" s="17"/>
      <c r="RO28" s="17"/>
      <c r="RP28" s="17"/>
      <c r="RQ28" s="17"/>
      <c r="RR28" s="17"/>
      <c r="RS28" s="17"/>
      <c r="RT28" s="17"/>
      <c r="RU28" s="17"/>
      <c r="RV28" s="17"/>
      <c r="RW28" s="17"/>
      <c r="RX28" s="17"/>
      <c r="RY28" s="17"/>
      <c r="RZ28" s="17"/>
      <c r="SA28" s="17"/>
      <c r="SB28" s="17"/>
      <c r="SC28" s="17"/>
      <c r="SD28" s="17"/>
      <c r="SE28" s="17"/>
      <c r="SF28" s="17"/>
      <c r="SG28" s="17"/>
      <c r="SH28" s="17"/>
      <c r="SI28" s="17"/>
      <c r="SJ28" s="17"/>
      <c r="SK28" s="17"/>
      <c r="SL28" s="17"/>
      <c r="SM28" s="17"/>
      <c r="SN28" s="17"/>
      <c r="SO28" s="17"/>
      <c r="SP28" s="17"/>
      <c r="SQ28" s="17"/>
      <c r="SR28" s="17"/>
      <c r="SS28" s="17"/>
      <c r="ST28" s="17"/>
      <c r="SU28" s="17"/>
      <c r="SV28" s="17"/>
      <c r="SW28" s="17"/>
      <c r="SX28" s="17"/>
      <c r="SY28" s="17"/>
      <c r="SZ28" s="17"/>
      <c r="TA28" s="17"/>
      <c r="TB28" s="17"/>
      <c r="TC28" s="17"/>
      <c r="TD28" s="17"/>
      <c r="TE28" s="17"/>
      <c r="TF28" s="17"/>
      <c r="TG28" s="17"/>
      <c r="TH28" s="17"/>
      <c r="TI28" s="17"/>
      <c r="TJ28" s="17"/>
      <c r="TK28" s="17"/>
      <c r="TL28" s="17"/>
      <c r="TM28" s="17"/>
      <c r="TN28" s="17"/>
      <c r="TO28" s="17"/>
      <c r="TP28" s="17"/>
      <c r="TQ28" s="17"/>
      <c r="TR28" s="17"/>
      <c r="TS28" s="17"/>
      <c r="TT28" s="17"/>
      <c r="TU28" s="17"/>
      <c r="TV28" s="17"/>
      <c r="TW28" s="17"/>
      <c r="TX28" s="17"/>
      <c r="TY28" s="17"/>
      <c r="TZ28" s="17"/>
      <c r="UA28" s="17"/>
      <c r="UB28" s="17"/>
      <c r="UC28" s="17"/>
      <c r="UD28" s="17"/>
      <c r="UE28" s="17"/>
      <c r="UF28" s="17"/>
      <c r="UG28" s="17"/>
      <c r="UH28" s="17"/>
      <c r="UI28" s="17"/>
      <c r="UJ28" s="17"/>
      <c r="UK28" s="17"/>
      <c r="UL28" s="17"/>
      <c r="UM28" s="17"/>
      <c r="UN28" s="17"/>
      <c r="UO28" s="17"/>
      <c r="UP28" s="17"/>
      <c r="UQ28" s="17"/>
      <c r="UR28" s="17"/>
      <c r="US28" s="17"/>
      <c r="UT28" s="17"/>
      <c r="UU28" s="17"/>
      <c r="UV28" s="17"/>
      <c r="UW28" s="17"/>
      <c r="UX28" s="17"/>
      <c r="UY28" s="17"/>
      <c r="UZ28" s="17"/>
      <c r="VA28" s="17"/>
      <c r="VB28" s="17"/>
      <c r="VC28" s="17"/>
      <c r="VD28" s="17"/>
      <c r="VE28" s="17"/>
      <c r="VF28" s="17"/>
      <c r="VG28" s="17"/>
      <c r="VH28" s="17"/>
      <c r="VI28" s="17"/>
      <c r="VJ28" s="17"/>
      <c r="VK28" s="17"/>
      <c r="VL28" s="17"/>
      <c r="VM28" s="17"/>
      <c r="VN28" s="17"/>
      <c r="VO28" s="17"/>
      <c r="VP28" s="17"/>
      <c r="VQ28" s="17"/>
      <c r="VR28" s="17"/>
      <c r="VS28" s="17"/>
      <c r="VT28" s="17"/>
      <c r="VU28" s="17"/>
      <c r="VV28" s="17"/>
      <c r="VW28" s="17"/>
      <c r="VX28" s="17"/>
      <c r="VY28" s="17"/>
      <c r="VZ28" s="17"/>
      <c r="WA28" s="17"/>
      <c r="WB28" s="17"/>
      <c r="WC28" s="17"/>
      <c r="WD28" s="17"/>
      <c r="WE28" s="17"/>
      <c r="WF28" s="17"/>
      <c r="WG28" s="17"/>
      <c r="WH28" s="17"/>
      <c r="WI28" s="17"/>
      <c r="WJ28" s="17"/>
      <c r="WK28" s="17"/>
      <c r="WL28" s="17"/>
      <c r="WM28" s="17"/>
      <c r="WN28" s="17"/>
      <c r="WO28" s="17"/>
      <c r="WP28" s="17"/>
      <c r="WQ28" s="17"/>
      <c r="WR28" s="17"/>
      <c r="WS28" s="17"/>
      <c r="WT28" s="17"/>
      <c r="WU28" s="17"/>
      <c r="WV28" s="17"/>
      <c r="WW28" s="17"/>
      <c r="WX28" s="17"/>
      <c r="WY28" s="17"/>
      <c r="WZ28" s="17"/>
      <c r="XA28" s="17"/>
      <c r="XB28" s="17"/>
      <c r="XC28" s="17"/>
      <c r="XD28" s="17"/>
      <c r="XE28" s="17"/>
      <c r="XF28" s="17"/>
      <c r="XG28" s="17"/>
      <c r="XH28" s="17"/>
      <c r="XI28" s="17"/>
      <c r="XJ28" s="17"/>
      <c r="XK28" s="17"/>
      <c r="XL28" s="17"/>
      <c r="XM28" s="17"/>
      <c r="XN28" s="17"/>
      <c r="XO28" s="17"/>
      <c r="XP28" s="17"/>
      <c r="XQ28" s="17"/>
      <c r="XR28" s="17"/>
      <c r="XS28" s="17"/>
      <c r="XT28" s="17"/>
      <c r="XU28" s="17"/>
      <c r="XV28" s="17"/>
      <c r="XW28" s="17"/>
      <c r="XX28" s="17"/>
      <c r="XY28" s="17"/>
      <c r="XZ28" s="17"/>
      <c r="YA28" s="17"/>
      <c r="YB28" s="17"/>
      <c r="YC28" s="17"/>
      <c r="YD28" s="17"/>
      <c r="YE28" s="17"/>
      <c r="YF28" s="17"/>
      <c r="YG28" s="17"/>
      <c r="YH28" s="17"/>
      <c r="YI28" s="17"/>
      <c r="YJ28" s="17"/>
      <c r="YK28" s="17"/>
      <c r="YL28" s="17"/>
      <c r="YM28" s="17"/>
      <c r="YN28" s="17"/>
      <c r="YO28" s="17"/>
      <c r="YP28" s="17"/>
      <c r="YQ28" s="17"/>
      <c r="YR28" s="17"/>
      <c r="YS28" s="17"/>
      <c r="YT28" s="17"/>
      <c r="YU28" s="17"/>
      <c r="YV28" s="17"/>
      <c r="YW28" s="17"/>
      <c r="YX28" s="17"/>
      <c r="YY28" s="17"/>
      <c r="YZ28" s="17"/>
      <c r="ZA28" s="17"/>
      <c r="ZB28" s="17"/>
      <c r="ZC28" s="17"/>
      <c r="ZD28" s="17"/>
      <c r="ZE28" s="17"/>
      <c r="ZF28" s="17"/>
      <c r="ZG28" s="17"/>
      <c r="ZH28" s="17"/>
      <c r="ZI28" s="17"/>
      <c r="ZJ28" s="17"/>
      <c r="ZK28" s="17"/>
      <c r="ZL28" s="17"/>
      <c r="ZM28" s="17"/>
      <c r="ZN28" s="17"/>
      <c r="ZO28" s="17"/>
      <c r="ZP28" s="17"/>
      <c r="ZQ28" s="17"/>
      <c r="ZR28" s="17"/>
      <c r="ZS28" s="17"/>
      <c r="ZT28" s="17"/>
      <c r="ZU28" s="17"/>
      <c r="ZV28" s="17"/>
      <c r="ZW28" s="17"/>
      <c r="ZX28" s="17"/>
      <c r="ZY28" s="17"/>
      <c r="ZZ28" s="17"/>
    </row>
    <row r="29" spans="1:702" s="33" customFormat="1" x14ac:dyDescent="0.25">
      <c r="A29" s="30" t="str">
        <f>IF(COUNTA(B29:B29)=0,"", MAX(A$2:A28)+1)</f>
        <v/>
      </c>
      <c r="C29" s="34"/>
      <c r="D29" s="63"/>
      <c r="M29" s="34"/>
      <c r="Q29" s="34"/>
      <c r="U29" s="62"/>
      <c r="V29" s="62"/>
      <c r="W29" s="97"/>
      <c r="Z29" s="30" t="str">
        <f t="shared" si="0"/>
        <v/>
      </c>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c r="EC29" s="17"/>
      <c r="ED29" s="17"/>
      <c r="EE29" s="17"/>
      <c r="EF29" s="17"/>
      <c r="EG29" s="17"/>
      <c r="EH29" s="17"/>
      <c r="EI29" s="17"/>
      <c r="EJ29" s="17"/>
      <c r="EK29" s="17"/>
      <c r="EL29" s="17"/>
      <c r="EM29" s="17"/>
      <c r="EN29" s="17"/>
      <c r="EO29" s="17"/>
      <c r="EP29" s="17"/>
      <c r="EQ29" s="17"/>
      <c r="ER29" s="17"/>
      <c r="ES29" s="17"/>
      <c r="ET29" s="17"/>
      <c r="EU29" s="17"/>
      <c r="EV29" s="17"/>
      <c r="EW29" s="17"/>
      <c r="EX29" s="17"/>
      <c r="EY29" s="17"/>
      <c r="EZ29" s="17"/>
      <c r="FA29" s="17"/>
      <c r="FB29" s="17"/>
      <c r="FC29" s="17"/>
      <c r="FD29" s="17"/>
      <c r="FE29" s="17"/>
      <c r="FF29" s="17"/>
      <c r="FG29" s="17"/>
      <c r="FH29" s="17"/>
      <c r="FI29" s="17"/>
      <c r="FJ29" s="17"/>
      <c r="FK29" s="17"/>
      <c r="FL29" s="17"/>
      <c r="FM29" s="17"/>
      <c r="FN29" s="17"/>
      <c r="FO29" s="17"/>
      <c r="FP29" s="17"/>
      <c r="FQ29" s="17"/>
      <c r="FR29" s="17"/>
      <c r="FS29" s="17"/>
      <c r="FT29" s="17"/>
      <c r="FU29" s="17"/>
      <c r="FV29" s="17"/>
      <c r="FW29" s="17"/>
      <c r="FX29" s="17"/>
      <c r="FY29" s="17"/>
      <c r="FZ29" s="17"/>
      <c r="GA29" s="17"/>
      <c r="GB29" s="17"/>
      <c r="GC29" s="17"/>
      <c r="GD29" s="17"/>
      <c r="GE29" s="17"/>
      <c r="GF29" s="17"/>
      <c r="GG29" s="17"/>
      <c r="GH29" s="17"/>
      <c r="GI29" s="17"/>
      <c r="GJ29" s="17"/>
      <c r="GK29" s="17"/>
      <c r="GL29" s="17"/>
      <c r="GM29" s="17"/>
      <c r="GN29" s="17"/>
      <c r="GO29" s="17"/>
      <c r="GP29" s="17"/>
      <c r="GQ29" s="17"/>
      <c r="GR29" s="17"/>
      <c r="GS29" s="17"/>
      <c r="GT29" s="17"/>
      <c r="GU29" s="17"/>
      <c r="GV29" s="17"/>
      <c r="GW29" s="17"/>
      <c r="GX29" s="17"/>
      <c r="GY29" s="17"/>
      <c r="GZ29" s="17"/>
      <c r="HA29" s="17"/>
      <c r="HB29" s="17"/>
      <c r="HC29" s="17"/>
      <c r="HD29" s="17"/>
      <c r="HE29" s="17"/>
      <c r="HF29" s="17"/>
      <c r="HG29" s="17"/>
      <c r="HH29" s="17"/>
      <c r="HI29" s="17"/>
      <c r="HJ29" s="17"/>
      <c r="HK29" s="17"/>
      <c r="HL29" s="17"/>
      <c r="HM29" s="17"/>
      <c r="HN29" s="17"/>
      <c r="HO29" s="17"/>
      <c r="HP29" s="17"/>
      <c r="HQ29" s="17"/>
      <c r="HR29" s="17"/>
      <c r="HS29" s="17"/>
      <c r="HT29" s="17"/>
      <c r="HU29" s="17"/>
      <c r="HV29" s="17"/>
      <c r="HW29" s="17"/>
      <c r="HX29" s="17"/>
      <c r="HY29" s="17"/>
      <c r="HZ29" s="17"/>
      <c r="IA29" s="17"/>
      <c r="IB29" s="17"/>
      <c r="IC29" s="17"/>
      <c r="ID29" s="17"/>
      <c r="IE29" s="17"/>
      <c r="IF29" s="17"/>
      <c r="IG29" s="17"/>
      <c r="IH29" s="17"/>
      <c r="II29" s="17"/>
      <c r="IJ29" s="17"/>
      <c r="IK29" s="17"/>
      <c r="IL29" s="17"/>
      <c r="IM29" s="17"/>
      <c r="IN29" s="17"/>
      <c r="IO29" s="17"/>
      <c r="IP29" s="17"/>
      <c r="IQ29" s="17"/>
      <c r="IR29" s="17"/>
      <c r="IS29" s="17"/>
      <c r="IT29" s="17"/>
      <c r="IU29" s="17"/>
      <c r="IV29" s="17"/>
      <c r="IW29" s="17"/>
      <c r="IX29" s="17"/>
      <c r="IY29" s="17"/>
      <c r="IZ29" s="17"/>
      <c r="JA29" s="17"/>
      <c r="JB29" s="17"/>
      <c r="JC29" s="17"/>
      <c r="JD29" s="17"/>
      <c r="JE29" s="17"/>
      <c r="JF29" s="17"/>
      <c r="JG29" s="17"/>
      <c r="JH29" s="17"/>
      <c r="JI29" s="17"/>
      <c r="JJ29" s="17"/>
      <c r="JK29" s="17"/>
      <c r="JL29" s="17"/>
      <c r="JM29" s="17"/>
      <c r="JN29" s="17"/>
      <c r="JO29" s="17"/>
      <c r="JP29" s="17"/>
      <c r="JQ29" s="17"/>
      <c r="JR29" s="17"/>
      <c r="JS29" s="17"/>
      <c r="JT29" s="17"/>
      <c r="JU29" s="17"/>
      <c r="JV29" s="17"/>
      <c r="JW29" s="17"/>
      <c r="JX29" s="17"/>
      <c r="JY29" s="17"/>
      <c r="JZ29" s="17"/>
      <c r="KA29" s="17"/>
      <c r="KB29" s="17"/>
      <c r="KC29" s="17"/>
      <c r="KD29" s="17"/>
      <c r="KE29" s="17"/>
      <c r="KF29" s="17"/>
      <c r="KG29" s="17"/>
      <c r="KH29" s="17"/>
      <c r="KI29" s="17"/>
      <c r="KJ29" s="17"/>
      <c r="KK29" s="17"/>
      <c r="KL29" s="17"/>
      <c r="KM29" s="17"/>
      <c r="KN29" s="17"/>
      <c r="KO29" s="17"/>
      <c r="KP29" s="17"/>
      <c r="KQ29" s="17"/>
      <c r="KR29" s="17"/>
      <c r="KS29" s="17"/>
      <c r="KT29" s="17"/>
      <c r="KU29" s="17"/>
      <c r="KV29" s="17"/>
      <c r="KW29" s="17"/>
      <c r="KX29" s="17"/>
      <c r="KY29" s="17"/>
      <c r="KZ29" s="17"/>
      <c r="LA29" s="17"/>
      <c r="LB29" s="17"/>
      <c r="LC29" s="17"/>
      <c r="LD29" s="17"/>
      <c r="LE29" s="17"/>
      <c r="LF29" s="17"/>
      <c r="LG29" s="17"/>
      <c r="LH29" s="17"/>
      <c r="LI29" s="17"/>
      <c r="LJ29" s="17"/>
      <c r="LK29" s="17"/>
      <c r="LL29" s="17"/>
      <c r="LM29" s="17"/>
      <c r="LN29" s="17"/>
      <c r="LO29" s="17"/>
      <c r="LP29" s="17"/>
      <c r="LQ29" s="17"/>
      <c r="LR29" s="17"/>
      <c r="LS29" s="17"/>
      <c r="LT29" s="17"/>
      <c r="LU29" s="17"/>
      <c r="LV29" s="17"/>
      <c r="LW29" s="17"/>
      <c r="LX29" s="17"/>
      <c r="LY29" s="17"/>
      <c r="LZ29" s="17"/>
      <c r="MA29" s="17"/>
      <c r="MB29" s="17"/>
      <c r="MC29" s="17"/>
      <c r="MD29" s="17"/>
      <c r="ME29" s="17"/>
      <c r="MF29" s="17"/>
      <c r="MG29" s="17"/>
      <c r="MH29" s="17"/>
      <c r="MI29" s="17"/>
      <c r="MJ29" s="17"/>
      <c r="MK29" s="17"/>
      <c r="ML29" s="17"/>
      <c r="MM29" s="17"/>
      <c r="MN29" s="17"/>
      <c r="MO29" s="17"/>
      <c r="MP29" s="17"/>
      <c r="MQ29" s="17"/>
      <c r="MR29" s="17"/>
      <c r="MS29" s="17"/>
      <c r="MT29" s="17"/>
      <c r="MU29" s="17"/>
      <c r="MV29" s="17"/>
      <c r="MW29" s="17"/>
      <c r="MX29" s="17"/>
      <c r="MY29" s="17"/>
      <c r="MZ29" s="17"/>
      <c r="NA29" s="17"/>
      <c r="NB29" s="17"/>
      <c r="NC29" s="17"/>
      <c r="ND29" s="17"/>
      <c r="NE29" s="17"/>
      <c r="NF29" s="17"/>
      <c r="NG29" s="17"/>
      <c r="NH29" s="17"/>
      <c r="NI29" s="17"/>
      <c r="NJ29" s="17"/>
      <c r="NK29" s="17"/>
      <c r="NL29" s="17"/>
      <c r="NM29" s="17"/>
      <c r="NN29" s="17"/>
      <c r="NO29" s="17"/>
      <c r="NP29" s="17"/>
      <c r="NQ29" s="17"/>
      <c r="NR29" s="17"/>
      <c r="NS29" s="17"/>
      <c r="NT29" s="17"/>
      <c r="NU29" s="17"/>
      <c r="NV29" s="17"/>
      <c r="NW29" s="17"/>
      <c r="NX29" s="17"/>
      <c r="NY29" s="17"/>
      <c r="NZ29" s="17"/>
      <c r="OA29" s="17"/>
      <c r="OB29" s="17"/>
      <c r="OC29" s="17"/>
      <c r="OD29" s="17"/>
      <c r="OE29" s="17"/>
      <c r="OF29" s="17"/>
      <c r="OG29" s="17"/>
      <c r="OH29" s="17"/>
      <c r="OI29" s="17"/>
      <c r="OJ29" s="17"/>
      <c r="OK29" s="17"/>
      <c r="OL29" s="17"/>
      <c r="OM29" s="17"/>
      <c r="ON29" s="17"/>
      <c r="OO29" s="17"/>
      <c r="OP29" s="17"/>
      <c r="OQ29" s="17"/>
      <c r="OR29" s="17"/>
      <c r="OS29" s="17"/>
      <c r="OT29" s="17"/>
      <c r="OU29" s="17"/>
      <c r="OV29" s="17"/>
      <c r="OW29" s="17"/>
      <c r="OX29" s="17"/>
      <c r="OY29" s="17"/>
      <c r="OZ29" s="17"/>
      <c r="PA29" s="17"/>
      <c r="PB29" s="17"/>
      <c r="PC29" s="17"/>
      <c r="PD29" s="17"/>
      <c r="PE29" s="17"/>
      <c r="PF29" s="17"/>
      <c r="PG29" s="17"/>
      <c r="PH29" s="17"/>
      <c r="PI29" s="17"/>
      <c r="PJ29" s="17"/>
      <c r="PK29" s="17"/>
      <c r="PL29" s="17"/>
      <c r="PM29" s="17"/>
      <c r="PN29" s="17"/>
      <c r="PO29" s="17"/>
      <c r="PP29" s="17"/>
      <c r="PQ29" s="17"/>
      <c r="PR29" s="17"/>
      <c r="PS29" s="17"/>
      <c r="PT29" s="17"/>
      <c r="PU29" s="17"/>
      <c r="PV29" s="17"/>
      <c r="PW29" s="17"/>
      <c r="PX29" s="17"/>
      <c r="PY29" s="17"/>
      <c r="PZ29" s="17"/>
      <c r="QA29" s="17"/>
      <c r="QB29" s="17"/>
      <c r="QC29" s="17"/>
      <c r="QD29" s="17"/>
      <c r="QE29" s="17"/>
      <c r="QF29" s="17"/>
      <c r="QG29" s="17"/>
      <c r="QH29" s="17"/>
      <c r="QI29" s="17"/>
      <c r="QJ29" s="17"/>
      <c r="QK29" s="17"/>
      <c r="QL29" s="17"/>
      <c r="QM29" s="17"/>
      <c r="QN29" s="17"/>
      <c r="QO29" s="17"/>
      <c r="QP29" s="17"/>
      <c r="QQ29" s="17"/>
      <c r="QR29" s="17"/>
      <c r="QS29" s="17"/>
      <c r="QT29" s="17"/>
      <c r="QU29" s="17"/>
      <c r="QV29" s="17"/>
      <c r="QW29" s="17"/>
      <c r="QX29" s="17"/>
      <c r="QY29" s="17"/>
      <c r="QZ29" s="17"/>
      <c r="RA29" s="17"/>
      <c r="RB29" s="17"/>
      <c r="RC29" s="17"/>
      <c r="RD29" s="17"/>
      <c r="RE29" s="17"/>
      <c r="RF29" s="17"/>
      <c r="RG29" s="17"/>
      <c r="RH29" s="17"/>
      <c r="RI29" s="17"/>
      <c r="RJ29" s="17"/>
      <c r="RK29" s="17"/>
      <c r="RL29" s="17"/>
      <c r="RM29" s="17"/>
      <c r="RN29" s="17"/>
      <c r="RO29" s="17"/>
      <c r="RP29" s="17"/>
      <c r="RQ29" s="17"/>
      <c r="RR29" s="17"/>
      <c r="RS29" s="17"/>
      <c r="RT29" s="17"/>
      <c r="RU29" s="17"/>
      <c r="RV29" s="17"/>
      <c r="RW29" s="17"/>
      <c r="RX29" s="17"/>
      <c r="RY29" s="17"/>
      <c r="RZ29" s="17"/>
      <c r="SA29" s="17"/>
      <c r="SB29" s="17"/>
      <c r="SC29" s="17"/>
      <c r="SD29" s="17"/>
      <c r="SE29" s="17"/>
      <c r="SF29" s="17"/>
      <c r="SG29" s="17"/>
      <c r="SH29" s="17"/>
      <c r="SI29" s="17"/>
      <c r="SJ29" s="17"/>
      <c r="SK29" s="17"/>
      <c r="SL29" s="17"/>
      <c r="SM29" s="17"/>
      <c r="SN29" s="17"/>
      <c r="SO29" s="17"/>
      <c r="SP29" s="17"/>
      <c r="SQ29" s="17"/>
      <c r="SR29" s="17"/>
      <c r="SS29" s="17"/>
      <c r="ST29" s="17"/>
      <c r="SU29" s="17"/>
      <c r="SV29" s="17"/>
      <c r="SW29" s="17"/>
      <c r="SX29" s="17"/>
      <c r="SY29" s="17"/>
      <c r="SZ29" s="17"/>
      <c r="TA29" s="17"/>
      <c r="TB29" s="17"/>
      <c r="TC29" s="17"/>
      <c r="TD29" s="17"/>
      <c r="TE29" s="17"/>
      <c r="TF29" s="17"/>
      <c r="TG29" s="17"/>
      <c r="TH29" s="17"/>
      <c r="TI29" s="17"/>
      <c r="TJ29" s="17"/>
      <c r="TK29" s="17"/>
      <c r="TL29" s="17"/>
      <c r="TM29" s="17"/>
      <c r="TN29" s="17"/>
      <c r="TO29" s="17"/>
      <c r="TP29" s="17"/>
      <c r="TQ29" s="17"/>
      <c r="TR29" s="17"/>
      <c r="TS29" s="17"/>
      <c r="TT29" s="17"/>
      <c r="TU29" s="17"/>
      <c r="TV29" s="17"/>
      <c r="TW29" s="17"/>
      <c r="TX29" s="17"/>
      <c r="TY29" s="17"/>
      <c r="TZ29" s="17"/>
      <c r="UA29" s="17"/>
      <c r="UB29" s="17"/>
      <c r="UC29" s="17"/>
      <c r="UD29" s="17"/>
      <c r="UE29" s="17"/>
      <c r="UF29" s="17"/>
      <c r="UG29" s="17"/>
      <c r="UH29" s="17"/>
      <c r="UI29" s="17"/>
      <c r="UJ29" s="17"/>
      <c r="UK29" s="17"/>
      <c r="UL29" s="17"/>
      <c r="UM29" s="17"/>
      <c r="UN29" s="17"/>
      <c r="UO29" s="17"/>
      <c r="UP29" s="17"/>
      <c r="UQ29" s="17"/>
      <c r="UR29" s="17"/>
      <c r="US29" s="17"/>
      <c r="UT29" s="17"/>
      <c r="UU29" s="17"/>
      <c r="UV29" s="17"/>
      <c r="UW29" s="17"/>
      <c r="UX29" s="17"/>
      <c r="UY29" s="17"/>
      <c r="UZ29" s="17"/>
      <c r="VA29" s="17"/>
      <c r="VB29" s="17"/>
      <c r="VC29" s="17"/>
      <c r="VD29" s="17"/>
      <c r="VE29" s="17"/>
      <c r="VF29" s="17"/>
      <c r="VG29" s="17"/>
      <c r="VH29" s="17"/>
      <c r="VI29" s="17"/>
      <c r="VJ29" s="17"/>
      <c r="VK29" s="17"/>
      <c r="VL29" s="17"/>
      <c r="VM29" s="17"/>
      <c r="VN29" s="17"/>
      <c r="VO29" s="17"/>
      <c r="VP29" s="17"/>
      <c r="VQ29" s="17"/>
      <c r="VR29" s="17"/>
      <c r="VS29" s="17"/>
      <c r="VT29" s="17"/>
      <c r="VU29" s="17"/>
      <c r="VV29" s="17"/>
      <c r="VW29" s="17"/>
      <c r="VX29" s="17"/>
      <c r="VY29" s="17"/>
      <c r="VZ29" s="17"/>
      <c r="WA29" s="17"/>
      <c r="WB29" s="17"/>
      <c r="WC29" s="17"/>
      <c r="WD29" s="17"/>
      <c r="WE29" s="17"/>
      <c r="WF29" s="17"/>
      <c r="WG29" s="17"/>
      <c r="WH29" s="17"/>
      <c r="WI29" s="17"/>
      <c r="WJ29" s="17"/>
      <c r="WK29" s="17"/>
      <c r="WL29" s="17"/>
      <c r="WM29" s="17"/>
      <c r="WN29" s="17"/>
      <c r="WO29" s="17"/>
      <c r="WP29" s="17"/>
      <c r="WQ29" s="17"/>
      <c r="WR29" s="17"/>
      <c r="WS29" s="17"/>
      <c r="WT29" s="17"/>
      <c r="WU29" s="17"/>
      <c r="WV29" s="17"/>
      <c r="WW29" s="17"/>
      <c r="WX29" s="17"/>
      <c r="WY29" s="17"/>
      <c r="WZ29" s="17"/>
      <c r="XA29" s="17"/>
      <c r="XB29" s="17"/>
      <c r="XC29" s="17"/>
      <c r="XD29" s="17"/>
      <c r="XE29" s="17"/>
      <c r="XF29" s="17"/>
      <c r="XG29" s="17"/>
      <c r="XH29" s="17"/>
      <c r="XI29" s="17"/>
      <c r="XJ29" s="17"/>
      <c r="XK29" s="17"/>
      <c r="XL29" s="17"/>
      <c r="XM29" s="17"/>
      <c r="XN29" s="17"/>
      <c r="XO29" s="17"/>
      <c r="XP29" s="17"/>
      <c r="XQ29" s="17"/>
      <c r="XR29" s="17"/>
      <c r="XS29" s="17"/>
      <c r="XT29" s="17"/>
      <c r="XU29" s="17"/>
      <c r="XV29" s="17"/>
      <c r="XW29" s="17"/>
      <c r="XX29" s="17"/>
      <c r="XY29" s="17"/>
      <c r="XZ29" s="17"/>
      <c r="YA29" s="17"/>
      <c r="YB29" s="17"/>
      <c r="YC29" s="17"/>
      <c r="YD29" s="17"/>
      <c r="YE29" s="17"/>
      <c r="YF29" s="17"/>
      <c r="YG29" s="17"/>
      <c r="YH29" s="17"/>
      <c r="YI29" s="17"/>
      <c r="YJ29" s="17"/>
      <c r="YK29" s="17"/>
      <c r="YL29" s="17"/>
      <c r="YM29" s="17"/>
      <c r="YN29" s="17"/>
      <c r="YO29" s="17"/>
      <c r="YP29" s="17"/>
      <c r="YQ29" s="17"/>
      <c r="YR29" s="17"/>
      <c r="YS29" s="17"/>
      <c r="YT29" s="17"/>
      <c r="YU29" s="17"/>
      <c r="YV29" s="17"/>
      <c r="YW29" s="17"/>
      <c r="YX29" s="17"/>
      <c r="YY29" s="17"/>
      <c r="YZ29" s="17"/>
      <c r="ZA29" s="17"/>
      <c r="ZB29" s="17"/>
      <c r="ZC29" s="17"/>
      <c r="ZD29" s="17"/>
      <c r="ZE29" s="17"/>
      <c r="ZF29" s="17"/>
      <c r="ZG29" s="17"/>
      <c r="ZH29" s="17"/>
      <c r="ZI29" s="17"/>
      <c r="ZJ29" s="17"/>
      <c r="ZK29" s="17"/>
      <c r="ZL29" s="17"/>
      <c r="ZM29" s="17"/>
      <c r="ZN29" s="17"/>
      <c r="ZO29" s="17"/>
      <c r="ZP29" s="17"/>
      <c r="ZQ29" s="17"/>
      <c r="ZR29" s="17"/>
      <c r="ZS29" s="17"/>
      <c r="ZT29" s="17"/>
      <c r="ZU29" s="17"/>
      <c r="ZV29" s="17"/>
      <c r="ZW29" s="17"/>
      <c r="ZX29" s="17"/>
      <c r="ZY29" s="17"/>
      <c r="ZZ29" s="17"/>
    </row>
    <row r="30" spans="1:702" s="33" customFormat="1" x14ac:dyDescent="0.25">
      <c r="A30" s="30" t="str">
        <f>IF(COUNTA(B30:B30)=0,"", MAX(A$2:A29)+1)</f>
        <v/>
      </c>
      <c r="C30" s="34"/>
      <c r="D30" s="63"/>
      <c r="M30" s="34"/>
      <c r="Q30" s="34"/>
      <c r="U30" s="17"/>
      <c r="V30" s="62"/>
      <c r="W30" s="97"/>
      <c r="Z30" s="30" t="str">
        <f t="shared" si="0"/>
        <v/>
      </c>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c r="EC30" s="17"/>
      <c r="ED30" s="17"/>
      <c r="EE30" s="17"/>
      <c r="EF30" s="17"/>
      <c r="EG30" s="17"/>
      <c r="EH30" s="17"/>
      <c r="EI30" s="17"/>
      <c r="EJ30" s="17"/>
      <c r="EK30" s="17"/>
      <c r="EL30" s="17"/>
      <c r="EM30" s="17"/>
      <c r="EN30" s="17"/>
      <c r="EO30" s="17"/>
      <c r="EP30" s="17"/>
      <c r="EQ30" s="17"/>
      <c r="ER30" s="17"/>
      <c r="ES30" s="17"/>
      <c r="ET30" s="17"/>
      <c r="EU30" s="17"/>
      <c r="EV30" s="17"/>
      <c r="EW30" s="17"/>
      <c r="EX30" s="17"/>
      <c r="EY30" s="17"/>
      <c r="EZ30" s="17"/>
      <c r="FA30" s="17"/>
      <c r="FB30" s="17"/>
      <c r="FC30" s="17"/>
      <c r="FD30" s="17"/>
      <c r="FE30" s="17"/>
      <c r="FF30" s="17"/>
      <c r="FG30" s="17"/>
      <c r="FH30" s="17"/>
      <c r="FI30" s="17"/>
      <c r="FJ30" s="17"/>
      <c r="FK30" s="17"/>
      <c r="FL30" s="17"/>
      <c r="FM30" s="17"/>
      <c r="FN30" s="17"/>
      <c r="FO30" s="17"/>
      <c r="FP30" s="17"/>
      <c r="FQ30" s="17"/>
      <c r="FR30" s="17"/>
      <c r="FS30" s="17"/>
      <c r="FT30" s="17"/>
      <c r="FU30" s="17"/>
      <c r="FV30" s="17"/>
      <c r="FW30" s="17"/>
      <c r="FX30" s="17"/>
      <c r="FY30" s="17"/>
      <c r="FZ30" s="17"/>
      <c r="GA30" s="17"/>
      <c r="GB30" s="17"/>
      <c r="GC30" s="17"/>
      <c r="GD30" s="17"/>
      <c r="GE30" s="17"/>
      <c r="GF30" s="17"/>
      <c r="GG30" s="17"/>
      <c r="GH30" s="17"/>
      <c r="GI30" s="17"/>
      <c r="GJ30" s="17"/>
      <c r="GK30" s="17"/>
      <c r="GL30" s="17"/>
      <c r="GM30" s="17"/>
      <c r="GN30" s="17"/>
      <c r="GO30" s="17"/>
      <c r="GP30" s="17"/>
      <c r="GQ30" s="17"/>
      <c r="GR30" s="17"/>
      <c r="GS30" s="17"/>
      <c r="GT30" s="17"/>
      <c r="GU30" s="17"/>
      <c r="GV30" s="17"/>
      <c r="GW30" s="17"/>
      <c r="GX30" s="17"/>
      <c r="GY30" s="17"/>
      <c r="GZ30" s="17"/>
      <c r="HA30" s="17"/>
      <c r="HB30" s="17"/>
      <c r="HC30" s="17"/>
      <c r="HD30" s="17"/>
      <c r="HE30" s="17"/>
      <c r="HF30" s="17"/>
      <c r="HG30" s="17"/>
      <c r="HH30" s="17"/>
      <c r="HI30" s="17"/>
      <c r="HJ30" s="17"/>
      <c r="HK30" s="17"/>
      <c r="HL30" s="17"/>
      <c r="HM30" s="17"/>
      <c r="HN30" s="17"/>
      <c r="HO30" s="17"/>
      <c r="HP30" s="17"/>
      <c r="HQ30" s="17"/>
      <c r="HR30" s="17"/>
      <c r="HS30" s="17"/>
      <c r="HT30" s="17"/>
      <c r="HU30" s="17"/>
      <c r="HV30" s="17"/>
      <c r="HW30" s="17"/>
      <c r="HX30" s="17"/>
      <c r="HY30" s="17"/>
      <c r="HZ30" s="17"/>
      <c r="IA30" s="17"/>
      <c r="IB30" s="17"/>
      <c r="IC30" s="17"/>
      <c r="ID30" s="17"/>
      <c r="IE30" s="17"/>
      <c r="IF30" s="17"/>
      <c r="IG30" s="17"/>
      <c r="IH30" s="17"/>
      <c r="II30" s="17"/>
      <c r="IJ30" s="17"/>
      <c r="IK30" s="17"/>
      <c r="IL30" s="17"/>
      <c r="IM30" s="17"/>
      <c r="IN30" s="17"/>
      <c r="IO30" s="17"/>
      <c r="IP30" s="17"/>
      <c r="IQ30" s="17"/>
      <c r="IR30" s="17"/>
      <c r="IS30" s="17"/>
      <c r="IT30" s="17"/>
      <c r="IU30" s="17"/>
      <c r="IV30" s="17"/>
      <c r="IW30" s="17"/>
      <c r="IX30" s="17"/>
      <c r="IY30" s="17"/>
      <c r="IZ30" s="17"/>
      <c r="JA30" s="17"/>
      <c r="JB30" s="17"/>
      <c r="JC30" s="17"/>
      <c r="JD30" s="17"/>
      <c r="JE30" s="17"/>
      <c r="JF30" s="17"/>
      <c r="JG30" s="17"/>
      <c r="JH30" s="17"/>
      <c r="JI30" s="17"/>
      <c r="JJ30" s="17"/>
      <c r="JK30" s="17"/>
      <c r="JL30" s="17"/>
      <c r="JM30" s="17"/>
      <c r="JN30" s="17"/>
      <c r="JO30" s="17"/>
      <c r="JP30" s="17"/>
      <c r="JQ30" s="17"/>
      <c r="JR30" s="17"/>
      <c r="JS30" s="17"/>
      <c r="JT30" s="17"/>
      <c r="JU30" s="17"/>
      <c r="JV30" s="17"/>
      <c r="JW30" s="17"/>
      <c r="JX30" s="17"/>
      <c r="JY30" s="17"/>
      <c r="JZ30" s="17"/>
      <c r="KA30" s="17"/>
      <c r="KB30" s="17"/>
      <c r="KC30" s="17"/>
      <c r="KD30" s="17"/>
      <c r="KE30" s="17"/>
      <c r="KF30" s="17"/>
      <c r="KG30" s="17"/>
      <c r="KH30" s="17"/>
      <c r="KI30" s="17"/>
      <c r="KJ30" s="17"/>
      <c r="KK30" s="17"/>
      <c r="KL30" s="17"/>
      <c r="KM30" s="17"/>
      <c r="KN30" s="17"/>
      <c r="KO30" s="17"/>
      <c r="KP30" s="17"/>
      <c r="KQ30" s="17"/>
      <c r="KR30" s="17"/>
      <c r="KS30" s="17"/>
      <c r="KT30" s="17"/>
      <c r="KU30" s="17"/>
      <c r="KV30" s="17"/>
      <c r="KW30" s="17"/>
      <c r="KX30" s="17"/>
      <c r="KY30" s="17"/>
      <c r="KZ30" s="17"/>
      <c r="LA30" s="17"/>
      <c r="LB30" s="17"/>
      <c r="LC30" s="17"/>
      <c r="LD30" s="17"/>
      <c r="LE30" s="17"/>
      <c r="LF30" s="17"/>
      <c r="LG30" s="17"/>
      <c r="LH30" s="17"/>
      <c r="LI30" s="17"/>
      <c r="LJ30" s="17"/>
      <c r="LK30" s="17"/>
      <c r="LL30" s="17"/>
      <c r="LM30" s="17"/>
      <c r="LN30" s="17"/>
      <c r="LO30" s="17"/>
      <c r="LP30" s="17"/>
      <c r="LQ30" s="17"/>
      <c r="LR30" s="17"/>
      <c r="LS30" s="17"/>
      <c r="LT30" s="17"/>
      <c r="LU30" s="17"/>
      <c r="LV30" s="17"/>
      <c r="LW30" s="17"/>
      <c r="LX30" s="17"/>
      <c r="LY30" s="17"/>
      <c r="LZ30" s="17"/>
      <c r="MA30" s="17"/>
      <c r="MB30" s="17"/>
      <c r="MC30" s="17"/>
      <c r="MD30" s="17"/>
      <c r="ME30" s="17"/>
      <c r="MF30" s="17"/>
      <c r="MG30" s="17"/>
      <c r="MH30" s="17"/>
      <c r="MI30" s="17"/>
      <c r="MJ30" s="17"/>
      <c r="MK30" s="17"/>
      <c r="ML30" s="17"/>
      <c r="MM30" s="17"/>
      <c r="MN30" s="17"/>
      <c r="MO30" s="17"/>
      <c r="MP30" s="17"/>
      <c r="MQ30" s="17"/>
      <c r="MR30" s="17"/>
      <c r="MS30" s="17"/>
      <c r="MT30" s="17"/>
      <c r="MU30" s="17"/>
      <c r="MV30" s="17"/>
      <c r="MW30" s="17"/>
      <c r="MX30" s="17"/>
      <c r="MY30" s="17"/>
      <c r="MZ30" s="17"/>
      <c r="NA30" s="17"/>
      <c r="NB30" s="17"/>
      <c r="NC30" s="17"/>
      <c r="ND30" s="17"/>
      <c r="NE30" s="17"/>
      <c r="NF30" s="17"/>
      <c r="NG30" s="17"/>
      <c r="NH30" s="17"/>
      <c r="NI30" s="17"/>
      <c r="NJ30" s="17"/>
      <c r="NK30" s="17"/>
      <c r="NL30" s="17"/>
      <c r="NM30" s="17"/>
      <c r="NN30" s="17"/>
      <c r="NO30" s="17"/>
      <c r="NP30" s="17"/>
      <c r="NQ30" s="17"/>
      <c r="NR30" s="17"/>
      <c r="NS30" s="17"/>
      <c r="NT30" s="17"/>
      <c r="NU30" s="17"/>
      <c r="NV30" s="17"/>
      <c r="NW30" s="17"/>
      <c r="NX30" s="17"/>
      <c r="NY30" s="17"/>
      <c r="NZ30" s="17"/>
      <c r="OA30" s="17"/>
      <c r="OB30" s="17"/>
      <c r="OC30" s="17"/>
      <c r="OD30" s="17"/>
      <c r="OE30" s="17"/>
      <c r="OF30" s="17"/>
      <c r="OG30" s="17"/>
      <c r="OH30" s="17"/>
      <c r="OI30" s="17"/>
      <c r="OJ30" s="17"/>
      <c r="OK30" s="17"/>
      <c r="OL30" s="17"/>
      <c r="OM30" s="17"/>
      <c r="ON30" s="17"/>
      <c r="OO30" s="17"/>
      <c r="OP30" s="17"/>
      <c r="OQ30" s="17"/>
      <c r="OR30" s="17"/>
      <c r="OS30" s="17"/>
      <c r="OT30" s="17"/>
      <c r="OU30" s="17"/>
      <c r="OV30" s="17"/>
      <c r="OW30" s="17"/>
      <c r="OX30" s="17"/>
      <c r="OY30" s="17"/>
      <c r="OZ30" s="17"/>
      <c r="PA30" s="17"/>
      <c r="PB30" s="17"/>
      <c r="PC30" s="17"/>
      <c r="PD30" s="17"/>
      <c r="PE30" s="17"/>
      <c r="PF30" s="17"/>
      <c r="PG30" s="17"/>
      <c r="PH30" s="17"/>
      <c r="PI30" s="17"/>
      <c r="PJ30" s="17"/>
      <c r="PK30" s="17"/>
      <c r="PL30" s="17"/>
      <c r="PM30" s="17"/>
      <c r="PN30" s="17"/>
      <c r="PO30" s="17"/>
      <c r="PP30" s="17"/>
      <c r="PQ30" s="17"/>
      <c r="PR30" s="17"/>
      <c r="PS30" s="17"/>
      <c r="PT30" s="17"/>
      <c r="PU30" s="17"/>
      <c r="PV30" s="17"/>
      <c r="PW30" s="17"/>
      <c r="PX30" s="17"/>
      <c r="PY30" s="17"/>
      <c r="PZ30" s="17"/>
      <c r="QA30" s="17"/>
      <c r="QB30" s="17"/>
      <c r="QC30" s="17"/>
      <c r="QD30" s="17"/>
      <c r="QE30" s="17"/>
      <c r="QF30" s="17"/>
      <c r="QG30" s="17"/>
      <c r="QH30" s="17"/>
      <c r="QI30" s="17"/>
      <c r="QJ30" s="17"/>
      <c r="QK30" s="17"/>
      <c r="QL30" s="17"/>
      <c r="QM30" s="17"/>
      <c r="QN30" s="17"/>
      <c r="QO30" s="17"/>
      <c r="QP30" s="17"/>
      <c r="QQ30" s="17"/>
      <c r="QR30" s="17"/>
      <c r="QS30" s="17"/>
      <c r="QT30" s="17"/>
      <c r="QU30" s="17"/>
      <c r="QV30" s="17"/>
      <c r="QW30" s="17"/>
      <c r="QX30" s="17"/>
      <c r="QY30" s="17"/>
      <c r="QZ30" s="17"/>
      <c r="RA30" s="17"/>
      <c r="RB30" s="17"/>
      <c r="RC30" s="17"/>
      <c r="RD30" s="17"/>
      <c r="RE30" s="17"/>
      <c r="RF30" s="17"/>
      <c r="RG30" s="17"/>
      <c r="RH30" s="17"/>
      <c r="RI30" s="17"/>
      <c r="RJ30" s="17"/>
      <c r="RK30" s="17"/>
      <c r="RL30" s="17"/>
      <c r="RM30" s="17"/>
      <c r="RN30" s="17"/>
      <c r="RO30" s="17"/>
      <c r="RP30" s="17"/>
      <c r="RQ30" s="17"/>
      <c r="RR30" s="17"/>
      <c r="RS30" s="17"/>
      <c r="RT30" s="17"/>
      <c r="RU30" s="17"/>
      <c r="RV30" s="17"/>
      <c r="RW30" s="17"/>
      <c r="RX30" s="17"/>
      <c r="RY30" s="17"/>
      <c r="RZ30" s="17"/>
      <c r="SA30" s="17"/>
      <c r="SB30" s="17"/>
      <c r="SC30" s="17"/>
      <c r="SD30" s="17"/>
      <c r="SE30" s="17"/>
      <c r="SF30" s="17"/>
      <c r="SG30" s="17"/>
      <c r="SH30" s="17"/>
      <c r="SI30" s="17"/>
      <c r="SJ30" s="17"/>
      <c r="SK30" s="17"/>
      <c r="SL30" s="17"/>
      <c r="SM30" s="17"/>
      <c r="SN30" s="17"/>
      <c r="SO30" s="17"/>
      <c r="SP30" s="17"/>
      <c r="SQ30" s="17"/>
      <c r="SR30" s="17"/>
      <c r="SS30" s="17"/>
      <c r="ST30" s="17"/>
      <c r="SU30" s="17"/>
      <c r="SV30" s="17"/>
      <c r="SW30" s="17"/>
      <c r="SX30" s="17"/>
      <c r="SY30" s="17"/>
      <c r="SZ30" s="17"/>
      <c r="TA30" s="17"/>
      <c r="TB30" s="17"/>
      <c r="TC30" s="17"/>
      <c r="TD30" s="17"/>
      <c r="TE30" s="17"/>
      <c r="TF30" s="17"/>
      <c r="TG30" s="17"/>
      <c r="TH30" s="17"/>
      <c r="TI30" s="17"/>
      <c r="TJ30" s="17"/>
      <c r="TK30" s="17"/>
      <c r="TL30" s="17"/>
      <c r="TM30" s="17"/>
      <c r="TN30" s="17"/>
      <c r="TO30" s="17"/>
      <c r="TP30" s="17"/>
      <c r="TQ30" s="17"/>
      <c r="TR30" s="17"/>
      <c r="TS30" s="17"/>
      <c r="TT30" s="17"/>
      <c r="TU30" s="17"/>
      <c r="TV30" s="17"/>
      <c r="TW30" s="17"/>
      <c r="TX30" s="17"/>
      <c r="TY30" s="17"/>
      <c r="TZ30" s="17"/>
      <c r="UA30" s="17"/>
      <c r="UB30" s="17"/>
      <c r="UC30" s="17"/>
      <c r="UD30" s="17"/>
      <c r="UE30" s="17"/>
      <c r="UF30" s="17"/>
      <c r="UG30" s="17"/>
      <c r="UH30" s="17"/>
      <c r="UI30" s="17"/>
      <c r="UJ30" s="17"/>
      <c r="UK30" s="17"/>
      <c r="UL30" s="17"/>
      <c r="UM30" s="17"/>
      <c r="UN30" s="17"/>
      <c r="UO30" s="17"/>
      <c r="UP30" s="17"/>
      <c r="UQ30" s="17"/>
      <c r="UR30" s="17"/>
      <c r="US30" s="17"/>
      <c r="UT30" s="17"/>
      <c r="UU30" s="17"/>
      <c r="UV30" s="17"/>
      <c r="UW30" s="17"/>
      <c r="UX30" s="17"/>
      <c r="UY30" s="17"/>
      <c r="UZ30" s="17"/>
      <c r="VA30" s="17"/>
      <c r="VB30" s="17"/>
      <c r="VC30" s="17"/>
      <c r="VD30" s="17"/>
      <c r="VE30" s="17"/>
      <c r="VF30" s="17"/>
      <c r="VG30" s="17"/>
      <c r="VH30" s="17"/>
      <c r="VI30" s="17"/>
      <c r="VJ30" s="17"/>
      <c r="VK30" s="17"/>
      <c r="VL30" s="17"/>
      <c r="VM30" s="17"/>
      <c r="VN30" s="17"/>
      <c r="VO30" s="17"/>
      <c r="VP30" s="17"/>
      <c r="VQ30" s="17"/>
      <c r="VR30" s="17"/>
      <c r="VS30" s="17"/>
      <c r="VT30" s="17"/>
      <c r="VU30" s="17"/>
      <c r="VV30" s="17"/>
      <c r="VW30" s="17"/>
      <c r="VX30" s="17"/>
      <c r="VY30" s="17"/>
      <c r="VZ30" s="17"/>
      <c r="WA30" s="17"/>
      <c r="WB30" s="17"/>
      <c r="WC30" s="17"/>
      <c r="WD30" s="17"/>
      <c r="WE30" s="17"/>
      <c r="WF30" s="17"/>
      <c r="WG30" s="17"/>
      <c r="WH30" s="17"/>
      <c r="WI30" s="17"/>
      <c r="WJ30" s="17"/>
      <c r="WK30" s="17"/>
      <c r="WL30" s="17"/>
      <c r="WM30" s="17"/>
      <c r="WN30" s="17"/>
      <c r="WO30" s="17"/>
      <c r="WP30" s="17"/>
      <c r="WQ30" s="17"/>
      <c r="WR30" s="17"/>
      <c r="WS30" s="17"/>
      <c r="WT30" s="17"/>
      <c r="WU30" s="17"/>
      <c r="WV30" s="17"/>
      <c r="WW30" s="17"/>
      <c r="WX30" s="17"/>
      <c r="WY30" s="17"/>
      <c r="WZ30" s="17"/>
      <c r="XA30" s="17"/>
      <c r="XB30" s="17"/>
      <c r="XC30" s="17"/>
      <c r="XD30" s="17"/>
      <c r="XE30" s="17"/>
      <c r="XF30" s="17"/>
      <c r="XG30" s="17"/>
      <c r="XH30" s="17"/>
      <c r="XI30" s="17"/>
      <c r="XJ30" s="17"/>
      <c r="XK30" s="17"/>
      <c r="XL30" s="17"/>
      <c r="XM30" s="17"/>
      <c r="XN30" s="17"/>
      <c r="XO30" s="17"/>
      <c r="XP30" s="17"/>
      <c r="XQ30" s="17"/>
      <c r="XR30" s="17"/>
      <c r="XS30" s="17"/>
      <c r="XT30" s="17"/>
      <c r="XU30" s="17"/>
      <c r="XV30" s="17"/>
      <c r="XW30" s="17"/>
      <c r="XX30" s="17"/>
      <c r="XY30" s="17"/>
      <c r="XZ30" s="17"/>
      <c r="YA30" s="17"/>
      <c r="YB30" s="17"/>
      <c r="YC30" s="17"/>
      <c r="YD30" s="17"/>
      <c r="YE30" s="17"/>
      <c r="YF30" s="17"/>
      <c r="YG30" s="17"/>
      <c r="YH30" s="17"/>
      <c r="YI30" s="17"/>
      <c r="YJ30" s="17"/>
      <c r="YK30" s="17"/>
      <c r="YL30" s="17"/>
      <c r="YM30" s="17"/>
      <c r="YN30" s="17"/>
      <c r="YO30" s="17"/>
      <c r="YP30" s="17"/>
      <c r="YQ30" s="17"/>
      <c r="YR30" s="17"/>
      <c r="YS30" s="17"/>
      <c r="YT30" s="17"/>
      <c r="YU30" s="17"/>
      <c r="YV30" s="17"/>
      <c r="YW30" s="17"/>
      <c r="YX30" s="17"/>
      <c r="YY30" s="17"/>
      <c r="YZ30" s="17"/>
      <c r="ZA30" s="17"/>
      <c r="ZB30" s="17"/>
      <c r="ZC30" s="17"/>
      <c r="ZD30" s="17"/>
      <c r="ZE30" s="17"/>
      <c r="ZF30" s="17"/>
      <c r="ZG30" s="17"/>
      <c r="ZH30" s="17"/>
      <c r="ZI30" s="17"/>
      <c r="ZJ30" s="17"/>
      <c r="ZK30" s="17"/>
      <c r="ZL30" s="17"/>
      <c r="ZM30" s="17"/>
      <c r="ZN30" s="17"/>
      <c r="ZO30" s="17"/>
      <c r="ZP30" s="17"/>
      <c r="ZQ30" s="17"/>
      <c r="ZR30" s="17"/>
      <c r="ZS30" s="17"/>
      <c r="ZT30" s="17"/>
      <c r="ZU30" s="17"/>
      <c r="ZV30" s="17"/>
      <c r="ZW30" s="17"/>
      <c r="ZX30" s="17"/>
      <c r="ZY30" s="17"/>
      <c r="ZZ30" s="17"/>
    </row>
    <row r="31" spans="1:702" s="33" customFormat="1" x14ac:dyDescent="0.25">
      <c r="A31" s="30" t="str">
        <f>IF(COUNTA(B31:B31)=0,"", MAX(A$2:A30)+1)</f>
        <v/>
      </c>
      <c r="C31" s="34"/>
      <c r="D31" s="63"/>
      <c r="M31" s="34"/>
      <c r="Q31" s="34"/>
      <c r="U31" s="17"/>
      <c r="V31" s="62"/>
      <c r="W31" s="97"/>
      <c r="Z31" s="30" t="str">
        <f t="shared" si="0"/>
        <v/>
      </c>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c r="EC31" s="17"/>
      <c r="ED31" s="17"/>
      <c r="EE31" s="17"/>
      <c r="EF31" s="17"/>
      <c r="EG31" s="17"/>
      <c r="EH31" s="17"/>
      <c r="EI31" s="17"/>
      <c r="EJ31" s="17"/>
      <c r="EK31" s="17"/>
      <c r="EL31" s="17"/>
      <c r="EM31" s="17"/>
      <c r="EN31" s="17"/>
      <c r="EO31" s="17"/>
      <c r="EP31" s="17"/>
      <c r="EQ31" s="17"/>
      <c r="ER31" s="17"/>
      <c r="ES31" s="17"/>
      <c r="ET31" s="17"/>
      <c r="EU31" s="17"/>
      <c r="EV31" s="17"/>
      <c r="EW31" s="17"/>
      <c r="EX31" s="17"/>
      <c r="EY31" s="17"/>
      <c r="EZ31" s="17"/>
      <c r="FA31" s="17"/>
      <c r="FB31" s="17"/>
      <c r="FC31" s="17"/>
      <c r="FD31" s="17"/>
      <c r="FE31" s="17"/>
      <c r="FF31" s="17"/>
      <c r="FG31" s="17"/>
      <c r="FH31" s="17"/>
      <c r="FI31" s="17"/>
      <c r="FJ31" s="17"/>
      <c r="FK31" s="17"/>
      <c r="FL31" s="17"/>
      <c r="FM31" s="17"/>
      <c r="FN31" s="17"/>
      <c r="FO31" s="17"/>
      <c r="FP31" s="17"/>
      <c r="FQ31" s="17"/>
      <c r="FR31" s="17"/>
      <c r="FS31" s="17"/>
      <c r="FT31" s="17"/>
      <c r="FU31" s="17"/>
      <c r="FV31" s="17"/>
      <c r="FW31" s="17"/>
      <c r="FX31" s="17"/>
      <c r="FY31" s="17"/>
      <c r="FZ31" s="17"/>
      <c r="GA31" s="17"/>
      <c r="GB31" s="17"/>
      <c r="GC31" s="17"/>
      <c r="GD31" s="17"/>
      <c r="GE31" s="17"/>
      <c r="GF31" s="17"/>
      <c r="GG31" s="17"/>
      <c r="GH31" s="17"/>
      <c r="GI31" s="17"/>
      <c r="GJ31" s="17"/>
      <c r="GK31" s="17"/>
      <c r="GL31" s="17"/>
      <c r="GM31" s="17"/>
      <c r="GN31" s="17"/>
      <c r="GO31" s="17"/>
      <c r="GP31" s="17"/>
      <c r="GQ31" s="17"/>
      <c r="GR31" s="17"/>
      <c r="GS31" s="17"/>
      <c r="GT31" s="17"/>
      <c r="GU31" s="17"/>
      <c r="GV31" s="17"/>
      <c r="GW31" s="17"/>
      <c r="GX31" s="17"/>
      <c r="GY31" s="17"/>
      <c r="GZ31" s="17"/>
      <c r="HA31" s="17"/>
      <c r="HB31" s="17"/>
      <c r="HC31" s="17"/>
      <c r="HD31" s="17"/>
      <c r="HE31" s="17"/>
      <c r="HF31" s="17"/>
      <c r="HG31" s="17"/>
      <c r="HH31" s="17"/>
      <c r="HI31" s="17"/>
      <c r="HJ31" s="17"/>
      <c r="HK31" s="17"/>
      <c r="HL31" s="17"/>
      <c r="HM31" s="17"/>
      <c r="HN31" s="17"/>
      <c r="HO31" s="17"/>
      <c r="HP31" s="17"/>
      <c r="HQ31" s="17"/>
      <c r="HR31" s="17"/>
      <c r="HS31" s="17"/>
      <c r="HT31" s="17"/>
      <c r="HU31" s="17"/>
      <c r="HV31" s="17"/>
      <c r="HW31" s="17"/>
      <c r="HX31" s="17"/>
      <c r="HY31" s="17"/>
      <c r="HZ31" s="17"/>
      <c r="IA31" s="17"/>
      <c r="IB31" s="17"/>
      <c r="IC31" s="17"/>
      <c r="ID31" s="17"/>
      <c r="IE31" s="17"/>
      <c r="IF31" s="17"/>
      <c r="IG31" s="17"/>
      <c r="IH31" s="17"/>
      <c r="II31" s="17"/>
      <c r="IJ31" s="17"/>
      <c r="IK31" s="17"/>
      <c r="IL31" s="17"/>
      <c r="IM31" s="17"/>
      <c r="IN31" s="17"/>
      <c r="IO31" s="17"/>
      <c r="IP31" s="17"/>
      <c r="IQ31" s="17"/>
      <c r="IR31" s="17"/>
      <c r="IS31" s="17"/>
      <c r="IT31" s="17"/>
      <c r="IU31" s="17"/>
      <c r="IV31" s="17"/>
      <c r="IW31" s="17"/>
      <c r="IX31" s="17"/>
      <c r="IY31" s="17"/>
      <c r="IZ31" s="17"/>
      <c r="JA31" s="17"/>
      <c r="JB31" s="17"/>
      <c r="JC31" s="17"/>
      <c r="JD31" s="17"/>
      <c r="JE31" s="17"/>
      <c r="JF31" s="17"/>
      <c r="JG31" s="17"/>
      <c r="JH31" s="17"/>
      <c r="JI31" s="17"/>
      <c r="JJ31" s="17"/>
      <c r="JK31" s="17"/>
      <c r="JL31" s="17"/>
      <c r="JM31" s="17"/>
      <c r="JN31" s="17"/>
      <c r="JO31" s="17"/>
      <c r="JP31" s="17"/>
      <c r="JQ31" s="17"/>
      <c r="JR31" s="17"/>
      <c r="JS31" s="17"/>
      <c r="JT31" s="17"/>
      <c r="JU31" s="17"/>
      <c r="JV31" s="17"/>
      <c r="JW31" s="17"/>
      <c r="JX31" s="17"/>
      <c r="JY31" s="17"/>
      <c r="JZ31" s="17"/>
      <c r="KA31" s="17"/>
      <c r="KB31" s="17"/>
      <c r="KC31" s="17"/>
      <c r="KD31" s="17"/>
      <c r="KE31" s="17"/>
      <c r="KF31" s="17"/>
      <c r="KG31" s="17"/>
      <c r="KH31" s="17"/>
      <c r="KI31" s="17"/>
      <c r="KJ31" s="17"/>
      <c r="KK31" s="17"/>
      <c r="KL31" s="17"/>
      <c r="KM31" s="17"/>
      <c r="KN31" s="17"/>
      <c r="KO31" s="17"/>
      <c r="KP31" s="17"/>
      <c r="KQ31" s="17"/>
      <c r="KR31" s="17"/>
      <c r="KS31" s="17"/>
      <c r="KT31" s="17"/>
      <c r="KU31" s="17"/>
      <c r="KV31" s="17"/>
      <c r="KW31" s="17"/>
      <c r="KX31" s="17"/>
      <c r="KY31" s="17"/>
      <c r="KZ31" s="17"/>
      <c r="LA31" s="17"/>
      <c r="LB31" s="17"/>
      <c r="LC31" s="17"/>
      <c r="LD31" s="17"/>
      <c r="LE31" s="17"/>
      <c r="LF31" s="17"/>
      <c r="LG31" s="17"/>
      <c r="LH31" s="17"/>
      <c r="LI31" s="17"/>
      <c r="LJ31" s="17"/>
      <c r="LK31" s="17"/>
      <c r="LL31" s="17"/>
      <c r="LM31" s="17"/>
      <c r="LN31" s="17"/>
      <c r="LO31" s="17"/>
      <c r="LP31" s="17"/>
      <c r="LQ31" s="17"/>
      <c r="LR31" s="17"/>
      <c r="LS31" s="17"/>
      <c r="LT31" s="17"/>
      <c r="LU31" s="17"/>
      <c r="LV31" s="17"/>
      <c r="LW31" s="17"/>
      <c r="LX31" s="17"/>
      <c r="LY31" s="17"/>
      <c r="LZ31" s="17"/>
      <c r="MA31" s="17"/>
      <c r="MB31" s="17"/>
      <c r="MC31" s="17"/>
      <c r="MD31" s="17"/>
      <c r="ME31" s="17"/>
      <c r="MF31" s="17"/>
      <c r="MG31" s="17"/>
      <c r="MH31" s="17"/>
      <c r="MI31" s="17"/>
      <c r="MJ31" s="17"/>
      <c r="MK31" s="17"/>
      <c r="ML31" s="17"/>
      <c r="MM31" s="17"/>
      <c r="MN31" s="17"/>
      <c r="MO31" s="17"/>
      <c r="MP31" s="17"/>
      <c r="MQ31" s="17"/>
      <c r="MR31" s="17"/>
      <c r="MS31" s="17"/>
      <c r="MT31" s="17"/>
      <c r="MU31" s="17"/>
      <c r="MV31" s="17"/>
      <c r="MW31" s="17"/>
      <c r="MX31" s="17"/>
      <c r="MY31" s="17"/>
      <c r="MZ31" s="17"/>
      <c r="NA31" s="17"/>
      <c r="NB31" s="17"/>
      <c r="NC31" s="17"/>
      <c r="ND31" s="17"/>
      <c r="NE31" s="17"/>
      <c r="NF31" s="17"/>
      <c r="NG31" s="17"/>
      <c r="NH31" s="17"/>
      <c r="NI31" s="17"/>
      <c r="NJ31" s="17"/>
      <c r="NK31" s="17"/>
      <c r="NL31" s="17"/>
      <c r="NM31" s="17"/>
      <c r="NN31" s="17"/>
      <c r="NO31" s="17"/>
      <c r="NP31" s="17"/>
      <c r="NQ31" s="17"/>
      <c r="NR31" s="17"/>
      <c r="NS31" s="17"/>
      <c r="NT31" s="17"/>
      <c r="NU31" s="17"/>
      <c r="NV31" s="17"/>
      <c r="NW31" s="17"/>
      <c r="NX31" s="17"/>
      <c r="NY31" s="17"/>
      <c r="NZ31" s="17"/>
      <c r="OA31" s="17"/>
      <c r="OB31" s="17"/>
      <c r="OC31" s="17"/>
      <c r="OD31" s="17"/>
      <c r="OE31" s="17"/>
      <c r="OF31" s="17"/>
      <c r="OG31" s="17"/>
      <c r="OH31" s="17"/>
      <c r="OI31" s="17"/>
      <c r="OJ31" s="17"/>
      <c r="OK31" s="17"/>
      <c r="OL31" s="17"/>
      <c r="OM31" s="17"/>
      <c r="ON31" s="17"/>
      <c r="OO31" s="17"/>
      <c r="OP31" s="17"/>
      <c r="OQ31" s="17"/>
      <c r="OR31" s="17"/>
      <c r="OS31" s="17"/>
      <c r="OT31" s="17"/>
      <c r="OU31" s="17"/>
      <c r="OV31" s="17"/>
      <c r="OW31" s="17"/>
      <c r="OX31" s="17"/>
      <c r="OY31" s="17"/>
      <c r="OZ31" s="17"/>
      <c r="PA31" s="17"/>
      <c r="PB31" s="17"/>
      <c r="PC31" s="17"/>
      <c r="PD31" s="17"/>
      <c r="PE31" s="17"/>
      <c r="PF31" s="17"/>
      <c r="PG31" s="17"/>
      <c r="PH31" s="17"/>
      <c r="PI31" s="17"/>
      <c r="PJ31" s="17"/>
      <c r="PK31" s="17"/>
      <c r="PL31" s="17"/>
      <c r="PM31" s="17"/>
      <c r="PN31" s="17"/>
      <c r="PO31" s="17"/>
      <c r="PP31" s="17"/>
      <c r="PQ31" s="17"/>
      <c r="PR31" s="17"/>
      <c r="PS31" s="17"/>
      <c r="PT31" s="17"/>
      <c r="PU31" s="17"/>
      <c r="PV31" s="17"/>
      <c r="PW31" s="17"/>
      <c r="PX31" s="17"/>
      <c r="PY31" s="17"/>
      <c r="PZ31" s="17"/>
      <c r="QA31" s="17"/>
      <c r="QB31" s="17"/>
      <c r="QC31" s="17"/>
      <c r="QD31" s="17"/>
      <c r="QE31" s="17"/>
      <c r="QF31" s="17"/>
      <c r="QG31" s="17"/>
      <c r="QH31" s="17"/>
      <c r="QI31" s="17"/>
      <c r="QJ31" s="17"/>
      <c r="QK31" s="17"/>
      <c r="QL31" s="17"/>
      <c r="QM31" s="17"/>
      <c r="QN31" s="17"/>
      <c r="QO31" s="17"/>
      <c r="QP31" s="17"/>
      <c r="QQ31" s="17"/>
      <c r="QR31" s="17"/>
      <c r="QS31" s="17"/>
      <c r="QT31" s="17"/>
      <c r="QU31" s="17"/>
      <c r="QV31" s="17"/>
      <c r="QW31" s="17"/>
      <c r="QX31" s="17"/>
      <c r="QY31" s="17"/>
      <c r="QZ31" s="17"/>
      <c r="RA31" s="17"/>
      <c r="RB31" s="17"/>
      <c r="RC31" s="17"/>
      <c r="RD31" s="17"/>
      <c r="RE31" s="17"/>
      <c r="RF31" s="17"/>
      <c r="RG31" s="17"/>
      <c r="RH31" s="17"/>
      <c r="RI31" s="17"/>
      <c r="RJ31" s="17"/>
      <c r="RK31" s="17"/>
      <c r="RL31" s="17"/>
      <c r="RM31" s="17"/>
      <c r="RN31" s="17"/>
      <c r="RO31" s="17"/>
      <c r="RP31" s="17"/>
      <c r="RQ31" s="17"/>
      <c r="RR31" s="17"/>
      <c r="RS31" s="17"/>
      <c r="RT31" s="17"/>
      <c r="RU31" s="17"/>
      <c r="RV31" s="17"/>
      <c r="RW31" s="17"/>
      <c r="RX31" s="17"/>
      <c r="RY31" s="17"/>
      <c r="RZ31" s="17"/>
      <c r="SA31" s="17"/>
      <c r="SB31" s="17"/>
      <c r="SC31" s="17"/>
      <c r="SD31" s="17"/>
      <c r="SE31" s="17"/>
      <c r="SF31" s="17"/>
      <c r="SG31" s="17"/>
      <c r="SH31" s="17"/>
      <c r="SI31" s="17"/>
      <c r="SJ31" s="17"/>
      <c r="SK31" s="17"/>
      <c r="SL31" s="17"/>
      <c r="SM31" s="17"/>
      <c r="SN31" s="17"/>
      <c r="SO31" s="17"/>
      <c r="SP31" s="17"/>
      <c r="SQ31" s="17"/>
      <c r="SR31" s="17"/>
      <c r="SS31" s="17"/>
      <c r="ST31" s="17"/>
      <c r="SU31" s="17"/>
      <c r="SV31" s="17"/>
      <c r="SW31" s="17"/>
      <c r="SX31" s="17"/>
      <c r="SY31" s="17"/>
      <c r="SZ31" s="17"/>
      <c r="TA31" s="17"/>
      <c r="TB31" s="17"/>
      <c r="TC31" s="17"/>
      <c r="TD31" s="17"/>
      <c r="TE31" s="17"/>
      <c r="TF31" s="17"/>
      <c r="TG31" s="17"/>
      <c r="TH31" s="17"/>
      <c r="TI31" s="17"/>
      <c r="TJ31" s="17"/>
      <c r="TK31" s="17"/>
      <c r="TL31" s="17"/>
      <c r="TM31" s="17"/>
      <c r="TN31" s="17"/>
      <c r="TO31" s="17"/>
      <c r="TP31" s="17"/>
      <c r="TQ31" s="17"/>
      <c r="TR31" s="17"/>
      <c r="TS31" s="17"/>
      <c r="TT31" s="17"/>
      <c r="TU31" s="17"/>
      <c r="TV31" s="17"/>
      <c r="TW31" s="17"/>
      <c r="TX31" s="17"/>
      <c r="TY31" s="17"/>
      <c r="TZ31" s="17"/>
      <c r="UA31" s="17"/>
      <c r="UB31" s="17"/>
      <c r="UC31" s="17"/>
      <c r="UD31" s="17"/>
      <c r="UE31" s="17"/>
      <c r="UF31" s="17"/>
      <c r="UG31" s="17"/>
      <c r="UH31" s="17"/>
      <c r="UI31" s="17"/>
      <c r="UJ31" s="17"/>
      <c r="UK31" s="17"/>
      <c r="UL31" s="17"/>
      <c r="UM31" s="17"/>
      <c r="UN31" s="17"/>
      <c r="UO31" s="17"/>
      <c r="UP31" s="17"/>
      <c r="UQ31" s="17"/>
      <c r="UR31" s="17"/>
      <c r="US31" s="17"/>
      <c r="UT31" s="17"/>
      <c r="UU31" s="17"/>
      <c r="UV31" s="17"/>
      <c r="UW31" s="17"/>
      <c r="UX31" s="17"/>
      <c r="UY31" s="17"/>
      <c r="UZ31" s="17"/>
      <c r="VA31" s="17"/>
      <c r="VB31" s="17"/>
      <c r="VC31" s="17"/>
      <c r="VD31" s="17"/>
      <c r="VE31" s="17"/>
      <c r="VF31" s="17"/>
      <c r="VG31" s="17"/>
      <c r="VH31" s="17"/>
      <c r="VI31" s="17"/>
      <c r="VJ31" s="17"/>
      <c r="VK31" s="17"/>
      <c r="VL31" s="17"/>
      <c r="VM31" s="17"/>
      <c r="VN31" s="17"/>
      <c r="VO31" s="17"/>
      <c r="VP31" s="17"/>
      <c r="VQ31" s="17"/>
      <c r="VR31" s="17"/>
      <c r="VS31" s="17"/>
      <c r="VT31" s="17"/>
      <c r="VU31" s="17"/>
      <c r="VV31" s="17"/>
      <c r="VW31" s="17"/>
      <c r="VX31" s="17"/>
      <c r="VY31" s="17"/>
      <c r="VZ31" s="17"/>
      <c r="WA31" s="17"/>
      <c r="WB31" s="17"/>
      <c r="WC31" s="17"/>
      <c r="WD31" s="17"/>
      <c r="WE31" s="17"/>
      <c r="WF31" s="17"/>
      <c r="WG31" s="17"/>
      <c r="WH31" s="17"/>
      <c r="WI31" s="17"/>
      <c r="WJ31" s="17"/>
      <c r="WK31" s="17"/>
      <c r="WL31" s="17"/>
      <c r="WM31" s="17"/>
      <c r="WN31" s="17"/>
      <c r="WO31" s="17"/>
      <c r="WP31" s="17"/>
      <c r="WQ31" s="17"/>
      <c r="WR31" s="17"/>
      <c r="WS31" s="17"/>
      <c r="WT31" s="17"/>
      <c r="WU31" s="17"/>
      <c r="WV31" s="17"/>
      <c r="WW31" s="17"/>
      <c r="WX31" s="17"/>
      <c r="WY31" s="17"/>
      <c r="WZ31" s="17"/>
      <c r="XA31" s="17"/>
      <c r="XB31" s="17"/>
      <c r="XC31" s="17"/>
      <c r="XD31" s="17"/>
      <c r="XE31" s="17"/>
      <c r="XF31" s="17"/>
      <c r="XG31" s="17"/>
      <c r="XH31" s="17"/>
      <c r="XI31" s="17"/>
      <c r="XJ31" s="17"/>
      <c r="XK31" s="17"/>
      <c r="XL31" s="17"/>
      <c r="XM31" s="17"/>
      <c r="XN31" s="17"/>
      <c r="XO31" s="17"/>
      <c r="XP31" s="17"/>
      <c r="XQ31" s="17"/>
      <c r="XR31" s="17"/>
      <c r="XS31" s="17"/>
      <c r="XT31" s="17"/>
      <c r="XU31" s="17"/>
      <c r="XV31" s="17"/>
      <c r="XW31" s="17"/>
      <c r="XX31" s="17"/>
      <c r="XY31" s="17"/>
      <c r="XZ31" s="17"/>
      <c r="YA31" s="17"/>
      <c r="YB31" s="17"/>
      <c r="YC31" s="17"/>
      <c r="YD31" s="17"/>
      <c r="YE31" s="17"/>
      <c r="YF31" s="17"/>
      <c r="YG31" s="17"/>
      <c r="YH31" s="17"/>
      <c r="YI31" s="17"/>
      <c r="YJ31" s="17"/>
      <c r="YK31" s="17"/>
      <c r="YL31" s="17"/>
      <c r="YM31" s="17"/>
      <c r="YN31" s="17"/>
      <c r="YO31" s="17"/>
      <c r="YP31" s="17"/>
      <c r="YQ31" s="17"/>
      <c r="YR31" s="17"/>
      <c r="YS31" s="17"/>
      <c r="YT31" s="17"/>
      <c r="YU31" s="17"/>
      <c r="YV31" s="17"/>
      <c r="YW31" s="17"/>
      <c r="YX31" s="17"/>
      <c r="YY31" s="17"/>
      <c r="YZ31" s="17"/>
      <c r="ZA31" s="17"/>
      <c r="ZB31" s="17"/>
      <c r="ZC31" s="17"/>
      <c r="ZD31" s="17"/>
      <c r="ZE31" s="17"/>
      <c r="ZF31" s="17"/>
      <c r="ZG31" s="17"/>
      <c r="ZH31" s="17"/>
      <c r="ZI31" s="17"/>
      <c r="ZJ31" s="17"/>
      <c r="ZK31" s="17"/>
      <c r="ZL31" s="17"/>
      <c r="ZM31" s="17"/>
      <c r="ZN31" s="17"/>
      <c r="ZO31" s="17"/>
      <c r="ZP31" s="17"/>
      <c r="ZQ31" s="17"/>
      <c r="ZR31" s="17"/>
      <c r="ZS31" s="17"/>
      <c r="ZT31" s="17"/>
      <c r="ZU31" s="17"/>
      <c r="ZV31" s="17"/>
      <c r="ZW31" s="17"/>
      <c r="ZX31" s="17"/>
      <c r="ZY31" s="17"/>
      <c r="ZZ31" s="17"/>
    </row>
    <row r="32" spans="1:702" s="33" customFormat="1" x14ac:dyDescent="0.25">
      <c r="A32" s="30" t="str">
        <f>IF(COUNTA(B32:B32)=0,"", MAX(A$2:A31)+1)</f>
        <v/>
      </c>
      <c r="C32" s="34"/>
      <c r="D32" s="63"/>
      <c r="M32" s="34"/>
      <c r="Q32" s="34"/>
      <c r="U32" s="17"/>
      <c r="V32" s="62"/>
      <c r="W32" s="97"/>
      <c r="Z32" s="30" t="str">
        <f t="shared" si="0"/>
        <v/>
      </c>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c r="EM32" s="17"/>
      <c r="EN32" s="17"/>
      <c r="EO32" s="17"/>
      <c r="EP32" s="17"/>
      <c r="EQ32" s="17"/>
      <c r="ER32" s="17"/>
      <c r="ES32" s="17"/>
      <c r="ET32" s="17"/>
      <c r="EU32" s="17"/>
      <c r="EV32" s="17"/>
      <c r="EW32" s="17"/>
      <c r="EX32" s="17"/>
      <c r="EY32" s="17"/>
      <c r="EZ32" s="17"/>
      <c r="FA32" s="17"/>
      <c r="FB32" s="17"/>
      <c r="FC32" s="17"/>
      <c r="FD32" s="17"/>
      <c r="FE32" s="17"/>
      <c r="FF32" s="17"/>
      <c r="FG32" s="17"/>
      <c r="FH32" s="17"/>
      <c r="FI32" s="17"/>
      <c r="FJ32" s="17"/>
      <c r="FK32" s="17"/>
      <c r="FL32" s="17"/>
      <c r="FM32" s="17"/>
      <c r="FN32" s="17"/>
      <c r="FO32" s="17"/>
      <c r="FP32" s="17"/>
      <c r="FQ32" s="17"/>
      <c r="FR32" s="17"/>
      <c r="FS32" s="17"/>
      <c r="FT32" s="17"/>
      <c r="FU32" s="17"/>
      <c r="FV32" s="17"/>
      <c r="FW32" s="17"/>
      <c r="FX32" s="17"/>
      <c r="FY32" s="17"/>
      <c r="FZ32" s="17"/>
      <c r="GA32" s="17"/>
      <c r="GB32" s="17"/>
      <c r="GC32" s="17"/>
      <c r="GD32" s="17"/>
      <c r="GE32" s="17"/>
      <c r="GF32" s="17"/>
      <c r="GG32" s="17"/>
      <c r="GH32" s="17"/>
      <c r="GI32" s="17"/>
      <c r="GJ32" s="17"/>
      <c r="GK32" s="17"/>
      <c r="GL32" s="17"/>
      <c r="GM32" s="17"/>
      <c r="GN32" s="17"/>
      <c r="GO32" s="17"/>
      <c r="GP32" s="17"/>
      <c r="GQ32" s="17"/>
      <c r="GR32" s="17"/>
      <c r="GS32" s="17"/>
      <c r="GT32" s="17"/>
      <c r="GU32" s="17"/>
      <c r="GV32" s="17"/>
      <c r="GW32" s="17"/>
      <c r="GX32" s="17"/>
      <c r="GY32" s="17"/>
      <c r="GZ32" s="17"/>
      <c r="HA32" s="17"/>
      <c r="HB32" s="17"/>
      <c r="HC32" s="17"/>
      <c r="HD32" s="17"/>
      <c r="HE32" s="17"/>
      <c r="HF32" s="17"/>
      <c r="HG32" s="17"/>
      <c r="HH32" s="17"/>
      <c r="HI32" s="17"/>
      <c r="HJ32" s="17"/>
      <c r="HK32" s="17"/>
      <c r="HL32" s="17"/>
      <c r="HM32" s="17"/>
      <c r="HN32" s="17"/>
      <c r="HO32" s="17"/>
      <c r="HP32" s="17"/>
      <c r="HQ32" s="17"/>
      <c r="HR32" s="17"/>
      <c r="HS32" s="17"/>
      <c r="HT32" s="17"/>
      <c r="HU32" s="17"/>
      <c r="HV32" s="17"/>
      <c r="HW32" s="17"/>
      <c r="HX32" s="17"/>
      <c r="HY32" s="17"/>
      <c r="HZ32" s="17"/>
      <c r="IA32" s="17"/>
      <c r="IB32" s="17"/>
      <c r="IC32" s="17"/>
      <c r="ID32" s="17"/>
      <c r="IE32" s="17"/>
      <c r="IF32" s="17"/>
      <c r="IG32" s="17"/>
      <c r="IH32" s="17"/>
      <c r="II32" s="17"/>
      <c r="IJ32" s="17"/>
      <c r="IK32" s="17"/>
      <c r="IL32" s="17"/>
      <c r="IM32" s="17"/>
      <c r="IN32" s="17"/>
      <c r="IO32" s="17"/>
      <c r="IP32" s="17"/>
      <c r="IQ32" s="17"/>
      <c r="IR32" s="17"/>
      <c r="IS32" s="17"/>
      <c r="IT32" s="17"/>
      <c r="IU32" s="17"/>
      <c r="IV32" s="17"/>
      <c r="IW32" s="17"/>
      <c r="IX32" s="17"/>
      <c r="IY32" s="17"/>
      <c r="IZ32" s="17"/>
      <c r="JA32" s="17"/>
      <c r="JB32" s="17"/>
      <c r="JC32" s="17"/>
      <c r="JD32" s="17"/>
      <c r="JE32" s="17"/>
      <c r="JF32" s="17"/>
      <c r="JG32" s="17"/>
      <c r="JH32" s="17"/>
      <c r="JI32" s="17"/>
      <c r="JJ32" s="17"/>
      <c r="JK32" s="17"/>
      <c r="JL32" s="17"/>
      <c r="JM32" s="17"/>
      <c r="JN32" s="17"/>
      <c r="JO32" s="17"/>
      <c r="JP32" s="17"/>
      <c r="JQ32" s="17"/>
      <c r="JR32" s="17"/>
      <c r="JS32" s="17"/>
      <c r="JT32" s="17"/>
      <c r="JU32" s="17"/>
      <c r="JV32" s="17"/>
      <c r="JW32" s="17"/>
      <c r="JX32" s="17"/>
      <c r="JY32" s="17"/>
      <c r="JZ32" s="17"/>
      <c r="KA32" s="17"/>
      <c r="KB32" s="17"/>
      <c r="KC32" s="17"/>
      <c r="KD32" s="17"/>
      <c r="KE32" s="17"/>
      <c r="KF32" s="17"/>
      <c r="KG32" s="17"/>
      <c r="KH32" s="17"/>
      <c r="KI32" s="17"/>
      <c r="KJ32" s="17"/>
      <c r="KK32" s="17"/>
      <c r="KL32" s="17"/>
      <c r="KM32" s="17"/>
      <c r="KN32" s="17"/>
      <c r="KO32" s="17"/>
      <c r="KP32" s="17"/>
      <c r="KQ32" s="17"/>
      <c r="KR32" s="17"/>
      <c r="KS32" s="17"/>
      <c r="KT32" s="17"/>
      <c r="KU32" s="17"/>
      <c r="KV32" s="17"/>
      <c r="KW32" s="17"/>
      <c r="KX32" s="17"/>
      <c r="KY32" s="17"/>
      <c r="KZ32" s="17"/>
      <c r="LA32" s="17"/>
      <c r="LB32" s="17"/>
      <c r="LC32" s="17"/>
      <c r="LD32" s="17"/>
      <c r="LE32" s="17"/>
      <c r="LF32" s="17"/>
      <c r="LG32" s="17"/>
      <c r="LH32" s="17"/>
      <c r="LI32" s="17"/>
      <c r="LJ32" s="17"/>
      <c r="LK32" s="17"/>
      <c r="LL32" s="17"/>
      <c r="LM32" s="17"/>
      <c r="LN32" s="17"/>
      <c r="LO32" s="17"/>
      <c r="LP32" s="17"/>
      <c r="LQ32" s="17"/>
      <c r="LR32" s="17"/>
      <c r="LS32" s="17"/>
      <c r="LT32" s="17"/>
      <c r="LU32" s="17"/>
      <c r="LV32" s="17"/>
      <c r="LW32" s="17"/>
      <c r="LX32" s="17"/>
      <c r="LY32" s="17"/>
      <c r="LZ32" s="17"/>
      <c r="MA32" s="17"/>
      <c r="MB32" s="17"/>
      <c r="MC32" s="17"/>
      <c r="MD32" s="17"/>
      <c r="ME32" s="17"/>
      <c r="MF32" s="17"/>
      <c r="MG32" s="17"/>
      <c r="MH32" s="17"/>
      <c r="MI32" s="17"/>
      <c r="MJ32" s="17"/>
      <c r="MK32" s="17"/>
      <c r="ML32" s="17"/>
      <c r="MM32" s="17"/>
      <c r="MN32" s="17"/>
      <c r="MO32" s="17"/>
      <c r="MP32" s="17"/>
      <c r="MQ32" s="17"/>
      <c r="MR32" s="17"/>
      <c r="MS32" s="17"/>
      <c r="MT32" s="17"/>
      <c r="MU32" s="17"/>
      <c r="MV32" s="17"/>
      <c r="MW32" s="17"/>
      <c r="MX32" s="17"/>
      <c r="MY32" s="17"/>
      <c r="MZ32" s="17"/>
      <c r="NA32" s="17"/>
      <c r="NB32" s="17"/>
      <c r="NC32" s="17"/>
      <c r="ND32" s="17"/>
      <c r="NE32" s="17"/>
      <c r="NF32" s="17"/>
      <c r="NG32" s="17"/>
      <c r="NH32" s="17"/>
      <c r="NI32" s="17"/>
      <c r="NJ32" s="17"/>
      <c r="NK32" s="17"/>
      <c r="NL32" s="17"/>
      <c r="NM32" s="17"/>
      <c r="NN32" s="17"/>
      <c r="NO32" s="17"/>
      <c r="NP32" s="17"/>
      <c r="NQ32" s="17"/>
      <c r="NR32" s="17"/>
      <c r="NS32" s="17"/>
      <c r="NT32" s="17"/>
      <c r="NU32" s="17"/>
      <c r="NV32" s="17"/>
      <c r="NW32" s="17"/>
      <c r="NX32" s="17"/>
      <c r="NY32" s="17"/>
      <c r="NZ32" s="17"/>
      <c r="OA32" s="17"/>
      <c r="OB32" s="17"/>
      <c r="OC32" s="17"/>
      <c r="OD32" s="17"/>
      <c r="OE32" s="17"/>
      <c r="OF32" s="17"/>
      <c r="OG32" s="17"/>
      <c r="OH32" s="17"/>
      <c r="OI32" s="17"/>
      <c r="OJ32" s="17"/>
      <c r="OK32" s="17"/>
      <c r="OL32" s="17"/>
      <c r="OM32" s="17"/>
      <c r="ON32" s="17"/>
      <c r="OO32" s="17"/>
      <c r="OP32" s="17"/>
      <c r="OQ32" s="17"/>
      <c r="OR32" s="17"/>
      <c r="OS32" s="17"/>
      <c r="OT32" s="17"/>
      <c r="OU32" s="17"/>
      <c r="OV32" s="17"/>
      <c r="OW32" s="17"/>
      <c r="OX32" s="17"/>
      <c r="OY32" s="17"/>
      <c r="OZ32" s="17"/>
      <c r="PA32" s="17"/>
      <c r="PB32" s="17"/>
      <c r="PC32" s="17"/>
      <c r="PD32" s="17"/>
      <c r="PE32" s="17"/>
      <c r="PF32" s="17"/>
      <c r="PG32" s="17"/>
      <c r="PH32" s="17"/>
      <c r="PI32" s="17"/>
      <c r="PJ32" s="17"/>
      <c r="PK32" s="17"/>
      <c r="PL32" s="17"/>
      <c r="PM32" s="17"/>
      <c r="PN32" s="17"/>
      <c r="PO32" s="17"/>
      <c r="PP32" s="17"/>
      <c r="PQ32" s="17"/>
      <c r="PR32" s="17"/>
      <c r="PS32" s="17"/>
      <c r="PT32" s="17"/>
      <c r="PU32" s="17"/>
      <c r="PV32" s="17"/>
      <c r="PW32" s="17"/>
      <c r="PX32" s="17"/>
      <c r="PY32" s="17"/>
      <c r="PZ32" s="17"/>
      <c r="QA32" s="17"/>
      <c r="QB32" s="17"/>
      <c r="QC32" s="17"/>
      <c r="QD32" s="17"/>
      <c r="QE32" s="17"/>
      <c r="QF32" s="17"/>
      <c r="QG32" s="17"/>
      <c r="QH32" s="17"/>
      <c r="QI32" s="17"/>
      <c r="QJ32" s="17"/>
      <c r="QK32" s="17"/>
      <c r="QL32" s="17"/>
      <c r="QM32" s="17"/>
      <c r="QN32" s="17"/>
      <c r="QO32" s="17"/>
      <c r="QP32" s="17"/>
      <c r="QQ32" s="17"/>
      <c r="QR32" s="17"/>
      <c r="QS32" s="17"/>
      <c r="QT32" s="17"/>
      <c r="QU32" s="17"/>
      <c r="QV32" s="17"/>
      <c r="QW32" s="17"/>
      <c r="QX32" s="17"/>
      <c r="QY32" s="17"/>
      <c r="QZ32" s="17"/>
      <c r="RA32" s="17"/>
      <c r="RB32" s="17"/>
      <c r="RC32" s="17"/>
      <c r="RD32" s="17"/>
      <c r="RE32" s="17"/>
      <c r="RF32" s="17"/>
      <c r="RG32" s="17"/>
      <c r="RH32" s="17"/>
      <c r="RI32" s="17"/>
      <c r="RJ32" s="17"/>
      <c r="RK32" s="17"/>
      <c r="RL32" s="17"/>
      <c r="RM32" s="17"/>
      <c r="RN32" s="17"/>
      <c r="RO32" s="17"/>
      <c r="RP32" s="17"/>
      <c r="RQ32" s="17"/>
      <c r="RR32" s="17"/>
      <c r="RS32" s="17"/>
      <c r="RT32" s="17"/>
      <c r="RU32" s="17"/>
      <c r="RV32" s="17"/>
      <c r="RW32" s="17"/>
      <c r="RX32" s="17"/>
      <c r="RY32" s="17"/>
      <c r="RZ32" s="17"/>
      <c r="SA32" s="17"/>
      <c r="SB32" s="17"/>
      <c r="SC32" s="17"/>
      <c r="SD32" s="17"/>
      <c r="SE32" s="17"/>
      <c r="SF32" s="17"/>
      <c r="SG32" s="17"/>
      <c r="SH32" s="17"/>
      <c r="SI32" s="17"/>
      <c r="SJ32" s="17"/>
      <c r="SK32" s="17"/>
      <c r="SL32" s="17"/>
      <c r="SM32" s="17"/>
      <c r="SN32" s="17"/>
      <c r="SO32" s="17"/>
      <c r="SP32" s="17"/>
      <c r="SQ32" s="17"/>
      <c r="SR32" s="17"/>
      <c r="SS32" s="17"/>
      <c r="ST32" s="17"/>
      <c r="SU32" s="17"/>
      <c r="SV32" s="17"/>
      <c r="SW32" s="17"/>
      <c r="SX32" s="17"/>
      <c r="SY32" s="17"/>
      <c r="SZ32" s="17"/>
      <c r="TA32" s="17"/>
      <c r="TB32" s="17"/>
      <c r="TC32" s="17"/>
      <c r="TD32" s="17"/>
      <c r="TE32" s="17"/>
      <c r="TF32" s="17"/>
      <c r="TG32" s="17"/>
      <c r="TH32" s="17"/>
      <c r="TI32" s="17"/>
      <c r="TJ32" s="17"/>
      <c r="TK32" s="17"/>
      <c r="TL32" s="17"/>
      <c r="TM32" s="17"/>
      <c r="TN32" s="17"/>
      <c r="TO32" s="17"/>
      <c r="TP32" s="17"/>
      <c r="TQ32" s="17"/>
      <c r="TR32" s="17"/>
      <c r="TS32" s="17"/>
      <c r="TT32" s="17"/>
      <c r="TU32" s="17"/>
      <c r="TV32" s="17"/>
      <c r="TW32" s="17"/>
      <c r="TX32" s="17"/>
      <c r="TY32" s="17"/>
      <c r="TZ32" s="17"/>
      <c r="UA32" s="17"/>
      <c r="UB32" s="17"/>
      <c r="UC32" s="17"/>
      <c r="UD32" s="17"/>
      <c r="UE32" s="17"/>
      <c r="UF32" s="17"/>
      <c r="UG32" s="17"/>
      <c r="UH32" s="17"/>
      <c r="UI32" s="17"/>
      <c r="UJ32" s="17"/>
      <c r="UK32" s="17"/>
      <c r="UL32" s="17"/>
      <c r="UM32" s="17"/>
      <c r="UN32" s="17"/>
      <c r="UO32" s="17"/>
      <c r="UP32" s="17"/>
      <c r="UQ32" s="17"/>
      <c r="UR32" s="17"/>
      <c r="US32" s="17"/>
      <c r="UT32" s="17"/>
      <c r="UU32" s="17"/>
      <c r="UV32" s="17"/>
      <c r="UW32" s="17"/>
      <c r="UX32" s="17"/>
      <c r="UY32" s="17"/>
      <c r="UZ32" s="17"/>
      <c r="VA32" s="17"/>
      <c r="VB32" s="17"/>
      <c r="VC32" s="17"/>
      <c r="VD32" s="17"/>
      <c r="VE32" s="17"/>
      <c r="VF32" s="17"/>
      <c r="VG32" s="17"/>
      <c r="VH32" s="17"/>
      <c r="VI32" s="17"/>
      <c r="VJ32" s="17"/>
      <c r="VK32" s="17"/>
      <c r="VL32" s="17"/>
      <c r="VM32" s="17"/>
      <c r="VN32" s="17"/>
      <c r="VO32" s="17"/>
      <c r="VP32" s="17"/>
      <c r="VQ32" s="17"/>
      <c r="VR32" s="17"/>
      <c r="VS32" s="17"/>
      <c r="VT32" s="17"/>
      <c r="VU32" s="17"/>
      <c r="VV32" s="17"/>
      <c r="VW32" s="17"/>
      <c r="VX32" s="17"/>
      <c r="VY32" s="17"/>
      <c r="VZ32" s="17"/>
      <c r="WA32" s="17"/>
      <c r="WB32" s="17"/>
      <c r="WC32" s="17"/>
      <c r="WD32" s="17"/>
      <c r="WE32" s="17"/>
      <c r="WF32" s="17"/>
      <c r="WG32" s="17"/>
      <c r="WH32" s="17"/>
      <c r="WI32" s="17"/>
      <c r="WJ32" s="17"/>
      <c r="WK32" s="17"/>
      <c r="WL32" s="17"/>
      <c r="WM32" s="17"/>
      <c r="WN32" s="17"/>
      <c r="WO32" s="17"/>
      <c r="WP32" s="17"/>
      <c r="WQ32" s="17"/>
      <c r="WR32" s="17"/>
      <c r="WS32" s="17"/>
      <c r="WT32" s="17"/>
      <c r="WU32" s="17"/>
      <c r="WV32" s="17"/>
      <c r="WW32" s="17"/>
      <c r="WX32" s="17"/>
      <c r="WY32" s="17"/>
      <c r="WZ32" s="17"/>
      <c r="XA32" s="17"/>
      <c r="XB32" s="17"/>
      <c r="XC32" s="17"/>
      <c r="XD32" s="17"/>
      <c r="XE32" s="17"/>
      <c r="XF32" s="17"/>
      <c r="XG32" s="17"/>
      <c r="XH32" s="17"/>
      <c r="XI32" s="17"/>
      <c r="XJ32" s="17"/>
      <c r="XK32" s="17"/>
      <c r="XL32" s="17"/>
      <c r="XM32" s="17"/>
      <c r="XN32" s="17"/>
      <c r="XO32" s="17"/>
      <c r="XP32" s="17"/>
      <c r="XQ32" s="17"/>
      <c r="XR32" s="17"/>
      <c r="XS32" s="17"/>
      <c r="XT32" s="17"/>
      <c r="XU32" s="17"/>
      <c r="XV32" s="17"/>
      <c r="XW32" s="17"/>
      <c r="XX32" s="17"/>
      <c r="XY32" s="17"/>
      <c r="XZ32" s="17"/>
      <c r="YA32" s="17"/>
      <c r="YB32" s="17"/>
      <c r="YC32" s="17"/>
      <c r="YD32" s="17"/>
      <c r="YE32" s="17"/>
      <c r="YF32" s="17"/>
      <c r="YG32" s="17"/>
      <c r="YH32" s="17"/>
      <c r="YI32" s="17"/>
      <c r="YJ32" s="17"/>
      <c r="YK32" s="17"/>
      <c r="YL32" s="17"/>
      <c r="YM32" s="17"/>
      <c r="YN32" s="17"/>
      <c r="YO32" s="17"/>
      <c r="YP32" s="17"/>
      <c r="YQ32" s="17"/>
      <c r="YR32" s="17"/>
      <c r="YS32" s="17"/>
      <c r="YT32" s="17"/>
      <c r="YU32" s="17"/>
      <c r="YV32" s="17"/>
      <c r="YW32" s="17"/>
      <c r="YX32" s="17"/>
      <c r="YY32" s="17"/>
      <c r="YZ32" s="17"/>
      <c r="ZA32" s="17"/>
      <c r="ZB32" s="17"/>
      <c r="ZC32" s="17"/>
      <c r="ZD32" s="17"/>
      <c r="ZE32" s="17"/>
      <c r="ZF32" s="17"/>
      <c r="ZG32" s="17"/>
      <c r="ZH32" s="17"/>
      <c r="ZI32" s="17"/>
      <c r="ZJ32" s="17"/>
      <c r="ZK32" s="17"/>
      <c r="ZL32" s="17"/>
      <c r="ZM32" s="17"/>
      <c r="ZN32" s="17"/>
      <c r="ZO32" s="17"/>
      <c r="ZP32" s="17"/>
      <c r="ZQ32" s="17"/>
      <c r="ZR32" s="17"/>
      <c r="ZS32" s="17"/>
      <c r="ZT32" s="17"/>
      <c r="ZU32" s="17"/>
      <c r="ZV32" s="17"/>
      <c r="ZW32" s="17"/>
      <c r="ZX32" s="17"/>
      <c r="ZY32" s="17"/>
      <c r="ZZ32" s="17"/>
    </row>
    <row r="33" spans="1:702" s="33" customFormat="1" x14ac:dyDescent="0.25">
      <c r="A33" s="30" t="str">
        <f>IF(COUNTA(B33:B33)=0,"", MAX(A$2:A32)+1)</f>
        <v/>
      </c>
      <c r="C33" s="34"/>
      <c r="D33" s="63"/>
      <c r="M33" s="34"/>
      <c r="Q33" s="34"/>
      <c r="U33" s="17"/>
      <c r="V33" s="62"/>
      <c r="W33" s="97"/>
      <c r="Z33" s="30" t="str">
        <f t="shared" si="0"/>
        <v/>
      </c>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c r="EC33" s="17"/>
      <c r="ED33" s="17"/>
      <c r="EE33" s="17"/>
      <c r="EF33" s="17"/>
      <c r="EG33" s="17"/>
      <c r="EH33" s="17"/>
      <c r="EI33" s="17"/>
      <c r="EJ33" s="17"/>
      <c r="EK33" s="17"/>
      <c r="EL33" s="17"/>
      <c r="EM33" s="17"/>
      <c r="EN33" s="17"/>
      <c r="EO33" s="17"/>
      <c r="EP33" s="17"/>
      <c r="EQ33" s="17"/>
      <c r="ER33" s="17"/>
      <c r="ES33" s="17"/>
      <c r="ET33" s="17"/>
      <c r="EU33" s="17"/>
      <c r="EV33" s="17"/>
      <c r="EW33" s="17"/>
      <c r="EX33" s="17"/>
      <c r="EY33" s="17"/>
      <c r="EZ33" s="17"/>
      <c r="FA33" s="17"/>
      <c r="FB33" s="17"/>
      <c r="FC33" s="17"/>
      <c r="FD33" s="17"/>
      <c r="FE33" s="17"/>
      <c r="FF33" s="17"/>
      <c r="FG33" s="17"/>
      <c r="FH33" s="17"/>
      <c r="FI33" s="17"/>
      <c r="FJ33" s="17"/>
      <c r="FK33" s="17"/>
      <c r="FL33" s="17"/>
      <c r="FM33" s="17"/>
      <c r="FN33" s="17"/>
      <c r="FO33" s="17"/>
      <c r="FP33" s="17"/>
      <c r="FQ33" s="17"/>
      <c r="FR33" s="17"/>
      <c r="FS33" s="17"/>
      <c r="FT33" s="17"/>
      <c r="FU33" s="17"/>
      <c r="FV33" s="17"/>
      <c r="FW33" s="17"/>
      <c r="FX33" s="17"/>
      <c r="FY33" s="17"/>
      <c r="FZ33" s="17"/>
      <c r="GA33" s="17"/>
      <c r="GB33" s="17"/>
      <c r="GC33" s="17"/>
      <c r="GD33" s="17"/>
      <c r="GE33" s="17"/>
      <c r="GF33" s="17"/>
      <c r="GG33" s="17"/>
      <c r="GH33" s="17"/>
      <c r="GI33" s="17"/>
      <c r="GJ33" s="17"/>
      <c r="GK33" s="17"/>
      <c r="GL33" s="17"/>
      <c r="GM33" s="17"/>
      <c r="GN33" s="17"/>
      <c r="GO33" s="17"/>
      <c r="GP33" s="17"/>
      <c r="GQ33" s="17"/>
      <c r="GR33" s="17"/>
      <c r="GS33" s="17"/>
      <c r="GT33" s="17"/>
      <c r="GU33" s="17"/>
      <c r="GV33" s="17"/>
      <c r="GW33" s="17"/>
      <c r="GX33" s="17"/>
      <c r="GY33" s="17"/>
      <c r="GZ33" s="17"/>
      <c r="HA33" s="17"/>
      <c r="HB33" s="17"/>
      <c r="HC33" s="17"/>
      <c r="HD33" s="17"/>
      <c r="HE33" s="17"/>
      <c r="HF33" s="17"/>
      <c r="HG33" s="17"/>
      <c r="HH33" s="17"/>
      <c r="HI33" s="17"/>
      <c r="HJ33" s="17"/>
      <c r="HK33" s="17"/>
      <c r="HL33" s="17"/>
      <c r="HM33" s="17"/>
      <c r="HN33" s="17"/>
      <c r="HO33" s="17"/>
      <c r="HP33" s="17"/>
      <c r="HQ33" s="17"/>
      <c r="HR33" s="17"/>
      <c r="HS33" s="17"/>
      <c r="HT33" s="17"/>
      <c r="HU33" s="17"/>
      <c r="HV33" s="17"/>
      <c r="HW33" s="17"/>
      <c r="HX33" s="17"/>
      <c r="HY33" s="17"/>
      <c r="HZ33" s="17"/>
      <c r="IA33" s="17"/>
      <c r="IB33" s="17"/>
      <c r="IC33" s="17"/>
      <c r="ID33" s="17"/>
      <c r="IE33" s="17"/>
      <c r="IF33" s="17"/>
      <c r="IG33" s="17"/>
      <c r="IH33" s="17"/>
      <c r="II33" s="17"/>
      <c r="IJ33" s="17"/>
      <c r="IK33" s="17"/>
      <c r="IL33" s="17"/>
      <c r="IM33" s="17"/>
      <c r="IN33" s="17"/>
      <c r="IO33" s="17"/>
      <c r="IP33" s="17"/>
      <c r="IQ33" s="17"/>
      <c r="IR33" s="17"/>
      <c r="IS33" s="17"/>
      <c r="IT33" s="17"/>
      <c r="IU33" s="17"/>
      <c r="IV33" s="17"/>
      <c r="IW33" s="17"/>
      <c r="IX33" s="17"/>
      <c r="IY33" s="17"/>
      <c r="IZ33" s="17"/>
      <c r="JA33" s="17"/>
      <c r="JB33" s="17"/>
      <c r="JC33" s="17"/>
      <c r="JD33" s="17"/>
      <c r="JE33" s="17"/>
      <c r="JF33" s="17"/>
      <c r="JG33" s="17"/>
      <c r="JH33" s="17"/>
      <c r="JI33" s="17"/>
      <c r="JJ33" s="17"/>
      <c r="JK33" s="17"/>
      <c r="JL33" s="17"/>
      <c r="JM33" s="17"/>
      <c r="JN33" s="17"/>
      <c r="JO33" s="17"/>
      <c r="JP33" s="17"/>
      <c r="JQ33" s="17"/>
      <c r="JR33" s="17"/>
      <c r="JS33" s="17"/>
      <c r="JT33" s="17"/>
      <c r="JU33" s="17"/>
      <c r="JV33" s="17"/>
      <c r="JW33" s="17"/>
      <c r="JX33" s="17"/>
      <c r="JY33" s="17"/>
      <c r="JZ33" s="17"/>
      <c r="KA33" s="17"/>
      <c r="KB33" s="17"/>
      <c r="KC33" s="17"/>
      <c r="KD33" s="17"/>
      <c r="KE33" s="17"/>
      <c r="KF33" s="17"/>
      <c r="KG33" s="17"/>
      <c r="KH33" s="17"/>
      <c r="KI33" s="17"/>
      <c r="KJ33" s="17"/>
      <c r="KK33" s="17"/>
      <c r="KL33" s="17"/>
      <c r="KM33" s="17"/>
      <c r="KN33" s="17"/>
      <c r="KO33" s="17"/>
      <c r="KP33" s="17"/>
      <c r="KQ33" s="17"/>
      <c r="KR33" s="17"/>
      <c r="KS33" s="17"/>
      <c r="KT33" s="17"/>
      <c r="KU33" s="17"/>
      <c r="KV33" s="17"/>
      <c r="KW33" s="17"/>
      <c r="KX33" s="17"/>
      <c r="KY33" s="17"/>
      <c r="KZ33" s="17"/>
      <c r="LA33" s="17"/>
      <c r="LB33" s="17"/>
      <c r="LC33" s="17"/>
      <c r="LD33" s="17"/>
      <c r="LE33" s="17"/>
      <c r="LF33" s="17"/>
      <c r="LG33" s="17"/>
      <c r="LH33" s="17"/>
      <c r="LI33" s="17"/>
      <c r="LJ33" s="17"/>
      <c r="LK33" s="17"/>
      <c r="LL33" s="17"/>
      <c r="LM33" s="17"/>
      <c r="LN33" s="17"/>
      <c r="LO33" s="17"/>
      <c r="LP33" s="17"/>
      <c r="LQ33" s="17"/>
      <c r="LR33" s="17"/>
      <c r="LS33" s="17"/>
      <c r="LT33" s="17"/>
      <c r="LU33" s="17"/>
      <c r="LV33" s="17"/>
      <c r="LW33" s="17"/>
      <c r="LX33" s="17"/>
      <c r="LY33" s="17"/>
      <c r="LZ33" s="17"/>
      <c r="MA33" s="17"/>
      <c r="MB33" s="17"/>
      <c r="MC33" s="17"/>
      <c r="MD33" s="17"/>
      <c r="ME33" s="17"/>
      <c r="MF33" s="17"/>
      <c r="MG33" s="17"/>
      <c r="MH33" s="17"/>
      <c r="MI33" s="17"/>
      <c r="MJ33" s="17"/>
      <c r="MK33" s="17"/>
      <c r="ML33" s="17"/>
      <c r="MM33" s="17"/>
      <c r="MN33" s="17"/>
      <c r="MO33" s="17"/>
      <c r="MP33" s="17"/>
      <c r="MQ33" s="17"/>
      <c r="MR33" s="17"/>
      <c r="MS33" s="17"/>
      <c r="MT33" s="17"/>
      <c r="MU33" s="17"/>
      <c r="MV33" s="17"/>
      <c r="MW33" s="17"/>
      <c r="MX33" s="17"/>
      <c r="MY33" s="17"/>
      <c r="MZ33" s="17"/>
      <c r="NA33" s="17"/>
      <c r="NB33" s="17"/>
      <c r="NC33" s="17"/>
      <c r="ND33" s="17"/>
      <c r="NE33" s="17"/>
      <c r="NF33" s="17"/>
      <c r="NG33" s="17"/>
      <c r="NH33" s="17"/>
      <c r="NI33" s="17"/>
      <c r="NJ33" s="17"/>
      <c r="NK33" s="17"/>
      <c r="NL33" s="17"/>
      <c r="NM33" s="17"/>
      <c r="NN33" s="17"/>
      <c r="NO33" s="17"/>
      <c r="NP33" s="17"/>
      <c r="NQ33" s="17"/>
      <c r="NR33" s="17"/>
      <c r="NS33" s="17"/>
      <c r="NT33" s="17"/>
      <c r="NU33" s="17"/>
      <c r="NV33" s="17"/>
      <c r="NW33" s="17"/>
      <c r="NX33" s="17"/>
      <c r="NY33" s="17"/>
      <c r="NZ33" s="17"/>
      <c r="OA33" s="17"/>
      <c r="OB33" s="17"/>
      <c r="OC33" s="17"/>
      <c r="OD33" s="17"/>
      <c r="OE33" s="17"/>
      <c r="OF33" s="17"/>
      <c r="OG33" s="17"/>
      <c r="OH33" s="17"/>
      <c r="OI33" s="17"/>
      <c r="OJ33" s="17"/>
      <c r="OK33" s="17"/>
      <c r="OL33" s="17"/>
      <c r="OM33" s="17"/>
      <c r="ON33" s="17"/>
      <c r="OO33" s="17"/>
      <c r="OP33" s="17"/>
      <c r="OQ33" s="17"/>
      <c r="OR33" s="17"/>
      <c r="OS33" s="17"/>
      <c r="OT33" s="17"/>
      <c r="OU33" s="17"/>
      <c r="OV33" s="17"/>
      <c r="OW33" s="17"/>
      <c r="OX33" s="17"/>
      <c r="OY33" s="17"/>
      <c r="OZ33" s="17"/>
      <c r="PA33" s="17"/>
      <c r="PB33" s="17"/>
      <c r="PC33" s="17"/>
      <c r="PD33" s="17"/>
      <c r="PE33" s="17"/>
      <c r="PF33" s="17"/>
      <c r="PG33" s="17"/>
      <c r="PH33" s="17"/>
      <c r="PI33" s="17"/>
      <c r="PJ33" s="17"/>
      <c r="PK33" s="17"/>
      <c r="PL33" s="17"/>
      <c r="PM33" s="17"/>
      <c r="PN33" s="17"/>
      <c r="PO33" s="17"/>
      <c r="PP33" s="17"/>
      <c r="PQ33" s="17"/>
      <c r="PR33" s="17"/>
      <c r="PS33" s="17"/>
      <c r="PT33" s="17"/>
      <c r="PU33" s="17"/>
      <c r="PV33" s="17"/>
      <c r="PW33" s="17"/>
      <c r="PX33" s="17"/>
      <c r="PY33" s="17"/>
      <c r="PZ33" s="17"/>
      <c r="QA33" s="17"/>
      <c r="QB33" s="17"/>
      <c r="QC33" s="17"/>
      <c r="QD33" s="17"/>
      <c r="QE33" s="17"/>
      <c r="QF33" s="17"/>
      <c r="QG33" s="17"/>
      <c r="QH33" s="17"/>
      <c r="QI33" s="17"/>
      <c r="QJ33" s="17"/>
      <c r="QK33" s="17"/>
      <c r="QL33" s="17"/>
      <c r="QM33" s="17"/>
      <c r="QN33" s="17"/>
      <c r="QO33" s="17"/>
      <c r="QP33" s="17"/>
      <c r="QQ33" s="17"/>
      <c r="QR33" s="17"/>
      <c r="QS33" s="17"/>
      <c r="QT33" s="17"/>
      <c r="QU33" s="17"/>
      <c r="QV33" s="17"/>
      <c r="QW33" s="17"/>
      <c r="QX33" s="17"/>
      <c r="QY33" s="17"/>
      <c r="QZ33" s="17"/>
      <c r="RA33" s="17"/>
      <c r="RB33" s="17"/>
      <c r="RC33" s="17"/>
      <c r="RD33" s="17"/>
      <c r="RE33" s="17"/>
      <c r="RF33" s="17"/>
      <c r="RG33" s="17"/>
      <c r="RH33" s="17"/>
      <c r="RI33" s="17"/>
      <c r="RJ33" s="17"/>
      <c r="RK33" s="17"/>
      <c r="RL33" s="17"/>
      <c r="RM33" s="17"/>
      <c r="RN33" s="17"/>
      <c r="RO33" s="17"/>
      <c r="RP33" s="17"/>
      <c r="RQ33" s="17"/>
      <c r="RR33" s="17"/>
      <c r="RS33" s="17"/>
      <c r="RT33" s="17"/>
      <c r="RU33" s="17"/>
      <c r="RV33" s="17"/>
      <c r="RW33" s="17"/>
      <c r="RX33" s="17"/>
      <c r="RY33" s="17"/>
      <c r="RZ33" s="17"/>
      <c r="SA33" s="17"/>
      <c r="SB33" s="17"/>
      <c r="SC33" s="17"/>
      <c r="SD33" s="17"/>
      <c r="SE33" s="17"/>
      <c r="SF33" s="17"/>
      <c r="SG33" s="17"/>
      <c r="SH33" s="17"/>
      <c r="SI33" s="17"/>
      <c r="SJ33" s="17"/>
      <c r="SK33" s="17"/>
      <c r="SL33" s="17"/>
      <c r="SM33" s="17"/>
      <c r="SN33" s="17"/>
      <c r="SO33" s="17"/>
      <c r="SP33" s="17"/>
      <c r="SQ33" s="17"/>
      <c r="SR33" s="17"/>
      <c r="SS33" s="17"/>
      <c r="ST33" s="17"/>
      <c r="SU33" s="17"/>
      <c r="SV33" s="17"/>
      <c r="SW33" s="17"/>
      <c r="SX33" s="17"/>
      <c r="SY33" s="17"/>
      <c r="SZ33" s="17"/>
      <c r="TA33" s="17"/>
      <c r="TB33" s="17"/>
      <c r="TC33" s="17"/>
      <c r="TD33" s="17"/>
      <c r="TE33" s="17"/>
      <c r="TF33" s="17"/>
      <c r="TG33" s="17"/>
      <c r="TH33" s="17"/>
      <c r="TI33" s="17"/>
      <c r="TJ33" s="17"/>
      <c r="TK33" s="17"/>
      <c r="TL33" s="17"/>
      <c r="TM33" s="17"/>
      <c r="TN33" s="17"/>
      <c r="TO33" s="17"/>
      <c r="TP33" s="17"/>
      <c r="TQ33" s="17"/>
      <c r="TR33" s="17"/>
      <c r="TS33" s="17"/>
      <c r="TT33" s="17"/>
      <c r="TU33" s="17"/>
      <c r="TV33" s="17"/>
      <c r="TW33" s="17"/>
      <c r="TX33" s="17"/>
      <c r="TY33" s="17"/>
      <c r="TZ33" s="17"/>
      <c r="UA33" s="17"/>
      <c r="UB33" s="17"/>
      <c r="UC33" s="17"/>
      <c r="UD33" s="17"/>
      <c r="UE33" s="17"/>
      <c r="UF33" s="17"/>
      <c r="UG33" s="17"/>
      <c r="UH33" s="17"/>
      <c r="UI33" s="17"/>
      <c r="UJ33" s="17"/>
      <c r="UK33" s="17"/>
      <c r="UL33" s="17"/>
      <c r="UM33" s="17"/>
      <c r="UN33" s="17"/>
      <c r="UO33" s="17"/>
      <c r="UP33" s="17"/>
      <c r="UQ33" s="17"/>
      <c r="UR33" s="17"/>
      <c r="US33" s="17"/>
      <c r="UT33" s="17"/>
      <c r="UU33" s="17"/>
      <c r="UV33" s="17"/>
      <c r="UW33" s="17"/>
      <c r="UX33" s="17"/>
      <c r="UY33" s="17"/>
      <c r="UZ33" s="17"/>
      <c r="VA33" s="17"/>
      <c r="VB33" s="17"/>
      <c r="VC33" s="17"/>
      <c r="VD33" s="17"/>
      <c r="VE33" s="17"/>
      <c r="VF33" s="17"/>
      <c r="VG33" s="17"/>
      <c r="VH33" s="17"/>
      <c r="VI33" s="17"/>
      <c r="VJ33" s="17"/>
      <c r="VK33" s="17"/>
      <c r="VL33" s="17"/>
      <c r="VM33" s="17"/>
      <c r="VN33" s="17"/>
      <c r="VO33" s="17"/>
      <c r="VP33" s="17"/>
      <c r="VQ33" s="17"/>
      <c r="VR33" s="17"/>
      <c r="VS33" s="17"/>
      <c r="VT33" s="17"/>
      <c r="VU33" s="17"/>
      <c r="VV33" s="17"/>
      <c r="VW33" s="17"/>
      <c r="VX33" s="17"/>
      <c r="VY33" s="17"/>
      <c r="VZ33" s="17"/>
      <c r="WA33" s="17"/>
      <c r="WB33" s="17"/>
      <c r="WC33" s="17"/>
      <c r="WD33" s="17"/>
      <c r="WE33" s="17"/>
      <c r="WF33" s="17"/>
      <c r="WG33" s="17"/>
      <c r="WH33" s="17"/>
      <c r="WI33" s="17"/>
      <c r="WJ33" s="17"/>
      <c r="WK33" s="17"/>
      <c r="WL33" s="17"/>
      <c r="WM33" s="17"/>
      <c r="WN33" s="17"/>
      <c r="WO33" s="17"/>
      <c r="WP33" s="17"/>
      <c r="WQ33" s="17"/>
      <c r="WR33" s="17"/>
      <c r="WS33" s="17"/>
      <c r="WT33" s="17"/>
      <c r="WU33" s="17"/>
      <c r="WV33" s="17"/>
      <c r="WW33" s="17"/>
      <c r="WX33" s="17"/>
      <c r="WY33" s="17"/>
      <c r="WZ33" s="17"/>
      <c r="XA33" s="17"/>
      <c r="XB33" s="17"/>
      <c r="XC33" s="17"/>
      <c r="XD33" s="17"/>
      <c r="XE33" s="17"/>
      <c r="XF33" s="17"/>
      <c r="XG33" s="17"/>
      <c r="XH33" s="17"/>
      <c r="XI33" s="17"/>
      <c r="XJ33" s="17"/>
      <c r="XK33" s="17"/>
      <c r="XL33" s="17"/>
      <c r="XM33" s="17"/>
      <c r="XN33" s="17"/>
      <c r="XO33" s="17"/>
      <c r="XP33" s="17"/>
      <c r="XQ33" s="17"/>
      <c r="XR33" s="17"/>
      <c r="XS33" s="17"/>
      <c r="XT33" s="17"/>
      <c r="XU33" s="17"/>
      <c r="XV33" s="17"/>
      <c r="XW33" s="17"/>
      <c r="XX33" s="17"/>
      <c r="XY33" s="17"/>
      <c r="XZ33" s="17"/>
      <c r="YA33" s="17"/>
      <c r="YB33" s="17"/>
      <c r="YC33" s="17"/>
      <c r="YD33" s="17"/>
      <c r="YE33" s="17"/>
      <c r="YF33" s="17"/>
      <c r="YG33" s="17"/>
      <c r="YH33" s="17"/>
      <c r="YI33" s="17"/>
      <c r="YJ33" s="17"/>
      <c r="YK33" s="17"/>
      <c r="YL33" s="17"/>
      <c r="YM33" s="17"/>
      <c r="YN33" s="17"/>
      <c r="YO33" s="17"/>
      <c r="YP33" s="17"/>
      <c r="YQ33" s="17"/>
      <c r="YR33" s="17"/>
      <c r="YS33" s="17"/>
      <c r="YT33" s="17"/>
      <c r="YU33" s="17"/>
      <c r="YV33" s="17"/>
      <c r="YW33" s="17"/>
      <c r="YX33" s="17"/>
      <c r="YY33" s="17"/>
      <c r="YZ33" s="17"/>
      <c r="ZA33" s="17"/>
      <c r="ZB33" s="17"/>
      <c r="ZC33" s="17"/>
      <c r="ZD33" s="17"/>
      <c r="ZE33" s="17"/>
      <c r="ZF33" s="17"/>
      <c r="ZG33" s="17"/>
      <c r="ZH33" s="17"/>
      <c r="ZI33" s="17"/>
      <c r="ZJ33" s="17"/>
      <c r="ZK33" s="17"/>
      <c r="ZL33" s="17"/>
      <c r="ZM33" s="17"/>
      <c r="ZN33" s="17"/>
      <c r="ZO33" s="17"/>
      <c r="ZP33" s="17"/>
      <c r="ZQ33" s="17"/>
      <c r="ZR33" s="17"/>
      <c r="ZS33" s="17"/>
      <c r="ZT33" s="17"/>
      <c r="ZU33" s="17"/>
      <c r="ZV33" s="17"/>
      <c r="ZW33" s="17"/>
      <c r="ZX33" s="17"/>
      <c r="ZY33" s="17"/>
      <c r="ZZ33" s="17"/>
    </row>
    <row r="34" spans="1:702" s="33" customFormat="1" x14ac:dyDescent="0.25">
      <c r="A34" s="30" t="str">
        <f>IF(COUNTA(B34:B34)=0,"", MAX(A$2:A33)+1)</f>
        <v/>
      </c>
      <c r="C34" s="34"/>
      <c r="D34" s="63"/>
      <c r="M34" s="34"/>
      <c r="Q34" s="34"/>
      <c r="U34" s="17"/>
      <c r="V34" s="62"/>
      <c r="W34" s="97"/>
      <c r="Z34" s="30" t="str">
        <f t="shared" si="0"/>
        <v/>
      </c>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c r="FF34" s="17"/>
      <c r="FG34" s="17"/>
      <c r="FH34" s="17"/>
      <c r="FI34" s="17"/>
      <c r="FJ34" s="17"/>
      <c r="FK34" s="17"/>
      <c r="FL34" s="17"/>
      <c r="FM34" s="17"/>
      <c r="FN34" s="17"/>
      <c r="FO34" s="17"/>
      <c r="FP34" s="17"/>
      <c r="FQ34" s="17"/>
      <c r="FR34" s="17"/>
      <c r="FS34" s="17"/>
      <c r="FT34" s="17"/>
      <c r="FU34" s="17"/>
      <c r="FV34" s="17"/>
      <c r="FW34" s="17"/>
      <c r="FX34" s="17"/>
      <c r="FY34" s="17"/>
      <c r="FZ34" s="17"/>
      <c r="GA34" s="17"/>
      <c r="GB34" s="17"/>
      <c r="GC34" s="17"/>
      <c r="GD34" s="17"/>
      <c r="GE34" s="17"/>
      <c r="GF34" s="17"/>
      <c r="GG34" s="17"/>
      <c r="GH34" s="17"/>
      <c r="GI34" s="17"/>
      <c r="GJ34" s="17"/>
      <c r="GK34" s="17"/>
      <c r="GL34" s="17"/>
      <c r="GM34" s="17"/>
      <c r="GN34" s="17"/>
      <c r="GO34" s="17"/>
      <c r="GP34" s="17"/>
      <c r="GQ34" s="17"/>
      <c r="GR34" s="17"/>
      <c r="GS34" s="17"/>
      <c r="GT34" s="17"/>
      <c r="GU34" s="17"/>
      <c r="GV34" s="17"/>
      <c r="GW34" s="17"/>
      <c r="GX34" s="17"/>
      <c r="GY34" s="17"/>
      <c r="GZ34" s="17"/>
      <c r="HA34" s="17"/>
      <c r="HB34" s="17"/>
      <c r="HC34" s="17"/>
      <c r="HD34" s="17"/>
      <c r="HE34" s="17"/>
      <c r="HF34" s="17"/>
      <c r="HG34" s="17"/>
      <c r="HH34" s="17"/>
      <c r="HI34" s="17"/>
      <c r="HJ34" s="17"/>
      <c r="HK34" s="17"/>
      <c r="HL34" s="17"/>
      <c r="HM34" s="17"/>
      <c r="HN34" s="17"/>
      <c r="HO34" s="17"/>
      <c r="HP34" s="17"/>
      <c r="HQ34" s="17"/>
      <c r="HR34" s="17"/>
      <c r="HS34" s="17"/>
      <c r="HT34" s="17"/>
      <c r="HU34" s="17"/>
      <c r="HV34" s="17"/>
      <c r="HW34" s="17"/>
      <c r="HX34" s="17"/>
      <c r="HY34" s="17"/>
      <c r="HZ34" s="17"/>
      <c r="IA34" s="17"/>
      <c r="IB34" s="17"/>
      <c r="IC34" s="17"/>
      <c r="ID34" s="17"/>
      <c r="IE34" s="17"/>
      <c r="IF34" s="17"/>
      <c r="IG34" s="17"/>
      <c r="IH34" s="17"/>
      <c r="II34" s="17"/>
      <c r="IJ34" s="17"/>
      <c r="IK34" s="17"/>
      <c r="IL34" s="17"/>
      <c r="IM34" s="17"/>
      <c r="IN34" s="17"/>
      <c r="IO34" s="17"/>
      <c r="IP34" s="17"/>
      <c r="IQ34" s="17"/>
      <c r="IR34" s="17"/>
      <c r="IS34" s="17"/>
      <c r="IT34" s="17"/>
      <c r="IU34" s="17"/>
      <c r="IV34" s="17"/>
      <c r="IW34" s="17"/>
      <c r="IX34" s="17"/>
      <c r="IY34" s="17"/>
      <c r="IZ34" s="17"/>
      <c r="JA34" s="17"/>
      <c r="JB34" s="17"/>
      <c r="JC34" s="17"/>
      <c r="JD34" s="17"/>
      <c r="JE34" s="17"/>
      <c r="JF34" s="17"/>
      <c r="JG34" s="17"/>
      <c r="JH34" s="17"/>
      <c r="JI34" s="17"/>
      <c r="JJ34" s="17"/>
      <c r="JK34" s="17"/>
      <c r="JL34" s="17"/>
      <c r="JM34" s="17"/>
      <c r="JN34" s="17"/>
      <c r="JO34" s="17"/>
      <c r="JP34" s="17"/>
      <c r="JQ34" s="17"/>
      <c r="JR34" s="17"/>
      <c r="JS34" s="17"/>
      <c r="JT34" s="17"/>
      <c r="JU34" s="17"/>
      <c r="JV34" s="17"/>
      <c r="JW34" s="17"/>
      <c r="JX34" s="17"/>
      <c r="JY34" s="17"/>
      <c r="JZ34" s="17"/>
      <c r="KA34" s="17"/>
      <c r="KB34" s="17"/>
      <c r="KC34" s="17"/>
      <c r="KD34" s="17"/>
      <c r="KE34" s="17"/>
      <c r="KF34" s="17"/>
      <c r="KG34" s="17"/>
      <c r="KH34" s="17"/>
      <c r="KI34" s="17"/>
      <c r="KJ34" s="17"/>
      <c r="KK34" s="17"/>
      <c r="KL34" s="17"/>
      <c r="KM34" s="17"/>
      <c r="KN34" s="17"/>
      <c r="KO34" s="17"/>
      <c r="KP34" s="17"/>
      <c r="KQ34" s="17"/>
      <c r="KR34" s="17"/>
      <c r="KS34" s="17"/>
      <c r="KT34" s="17"/>
      <c r="KU34" s="17"/>
      <c r="KV34" s="17"/>
      <c r="KW34" s="17"/>
      <c r="KX34" s="17"/>
      <c r="KY34" s="17"/>
      <c r="KZ34" s="17"/>
      <c r="LA34" s="17"/>
      <c r="LB34" s="17"/>
      <c r="LC34" s="17"/>
      <c r="LD34" s="17"/>
      <c r="LE34" s="17"/>
      <c r="LF34" s="17"/>
      <c r="LG34" s="17"/>
      <c r="LH34" s="17"/>
      <c r="LI34" s="17"/>
      <c r="LJ34" s="17"/>
      <c r="LK34" s="17"/>
      <c r="LL34" s="17"/>
      <c r="LM34" s="17"/>
      <c r="LN34" s="17"/>
      <c r="LO34" s="17"/>
      <c r="LP34" s="17"/>
      <c r="LQ34" s="17"/>
      <c r="LR34" s="17"/>
      <c r="LS34" s="17"/>
      <c r="LT34" s="17"/>
      <c r="LU34" s="17"/>
      <c r="LV34" s="17"/>
      <c r="LW34" s="17"/>
      <c r="LX34" s="17"/>
      <c r="LY34" s="17"/>
      <c r="LZ34" s="17"/>
      <c r="MA34" s="17"/>
      <c r="MB34" s="17"/>
      <c r="MC34" s="17"/>
      <c r="MD34" s="17"/>
      <c r="ME34" s="17"/>
      <c r="MF34" s="17"/>
      <c r="MG34" s="17"/>
      <c r="MH34" s="17"/>
      <c r="MI34" s="17"/>
      <c r="MJ34" s="17"/>
      <c r="MK34" s="17"/>
      <c r="ML34" s="17"/>
      <c r="MM34" s="17"/>
      <c r="MN34" s="17"/>
      <c r="MO34" s="17"/>
      <c r="MP34" s="17"/>
      <c r="MQ34" s="17"/>
      <c r="MR34" s="17"/>
      <c r="MS34" s="17"/>
      <c r="MT34" s="17"/>
      <c r="MU34" s="17"/>
      <c r="MV34" s="17"/>
      <c r="MW34" s="17"/>
      <c r="MX34" s="17"/>
      <c r="MY34" s="17"/>
      <c r="MZ34" s="17"/>
      <c r="NA34" s="17"/>
      <c r="NB34" s="17"/>
      <c r="NC34" s="17"/>
      <c r="ND34" s="17"/>
      <c r="NE34" s="17"/>
      <c r="NF34" s="17"/>
      <c r="NG34" s="17"/>
      <c r="NH34" s="17"/>
      <c r="NI34" s="17"/>
      <c r="NJ34" s="17"/>
      <c r="NK34" s="17"/>
      <c r="NL34" s="17"/>
      <c r="NM34" s="17"/>
      <c r="NN34" s="17"/>
      <c r="NO34" s="17"/>
      <c r="NP34" s="17"/>
      <c r="NQ34" s="17"/>
      <c r="NR34" s="17"/>
      <c r="NS34" s="17"/>
      <c r="NT34" s="17"/>
      <c r="NU34" s="17"/>
      <c r="NV34" s="17"/>
      <c r="NW34" s="17"/>
      <c r="NX34" s="17"/>
      <c r="NY34" s="17"/>
      <c r="NZ34" s="17"/>
      <c r="OA34" s="17"/>
      <c r="OB34" s="17"/>
      <c r="OC34" s="17"/>
      <c r="OD34" s="17"/>
      <c r="OE34" s="17"/>
      <c r="OF34" s="17"/>
      <c r="OG34" s="17"/>
      <c r="OH34" s="17"/>
      <c r="OI34" s="17"/>
      <c r="OJ34" s="17"/>
      <c r="OK34" s="17"/>
      <c r="OL34" s="17"/>
      <c r="OM34" s="17"/>
      <c r="ON34" s="17"/>
      <c r="OO34" s="17"/>
      <c r="OP34" s="17"/>
      <c r="OQ34" s="17"/>
      <c r="OR34" s="17"/>
      <c r="OS34" s="17"/>
      <c r="OT34" s="17"/>
      <c r="OU34" s="17"/>
      <c r="OV34" s="17"/>
      <c r="OW34" s="17"/>
      <c r="OX34" s="17"/>
      <c r="OY34" s="17"/>
      <c r="OZ34" s="17"/>
      <c r="PA34" s="17"/>
      <c r="PB34" s="17"/>
      <c r="PC34" s="17"/>
      <c r="PD34" s="17"/>
      <c r="PE34" s="17"/>
      <c r="PF34" s="17"/>
      <c r="PG34" s="17"/>
      <c r="PH34" s="17"/>
      <c r="PI34" s="17"/>
      <c r="PJ34" s="17"/>
      <c r="PK34" s="17"/>
      <c r="PL34" s="17"/>
      <c r="PM34" s="17"/>
      <c r="PN34" s="17"/>
      <c r="PO34" s="17"/>
      <c r="PP34" s="17"/>
      <c r="PQ34" s="17"/>
      <c r="PR34" s="17"/>
      <c r="PS34" s="17"/>
      <c r="PT34" s="17"/>
      <c r="PU34" s="17"/>
      <c r="PV34" s="17"/>
      <c r="PW34" s="17"/>
      <c r="PX34" s="17"/>
      <c r="PY34" s="17"/>
      <c r="PZ34" s="17"/>
      <c r="QA34" s="17"/>
      <c r="QB34" s="17"/>
      <c r="QC34" s="17"/>
      <c r="QD34" s="17"/>
      <c r="QE34" s="17"/>
      <c r="QF34" s="17"/>
      <c r="QG34" s="17"/>
      <c r="QH34" s="17"/>
      <c r="QI34" s="17"/>
      <c r="QJ34" s="17"/>
      <c r="QK34" s="17"/>
      <c r="QL34" s="17"/>
      <c r="QM34" s="17"/>
      <c r="QN34" s="17"/>
      <c r="QO34" s="17"/>
      <c r="QP34" s="17"/>
      <c r="QQ34" s="17"/>
      <c r="QR34" s="17"/>
      <c r="QS34" s="17"/>
      <c r="QT34" s="17"/>
      <c r="QU34" s="17"/>
      <c r="QV34" s="17"/>
      <c r="QW34" s="17"/>
      <c r="QX34" s="17"/>
      <c r="QY34" s="17"/>
      <c r="QZ34" s="17"/>
      <c r="RA34" s="17"/>
      <c r="RB34" s="17"/>
      <c r="RC34" s="17"/>
      <c r="RD34" s="17"/>
      <c r="RE34" s="17"/>
      <c r="RF34" s="17"/>
      <c r="RG34" s="17"/>
      <c r="RH34" s="17"/>
      <c r="RI34" s="17"/>
      <c r="RJ34" s="17"/>
      <c r="RK34" s="17"/>
      <c r="RL34" s="17"/>
      <c r="RM34" s="17"/>
      <c r="RN34" s="17"/>
      <c r="RO34" s="17"/>
      <c r="RP34" s="17"/>
      <c r="RQ34" s="17"/>
      <c r="RR34" s="17"/>
      <c r="RS34" s="17"/>
      <c r="RT34" s="17"/>
      <c r="RU34" s="17"/>
      <c r="RV34" s="17"/>
      <c r="RW34" s="17"/>
      <c r="RX34" s="17"/>
      <c r="RY34" s="17"/>
      <c r="RZ34" s="17"/>
      <c r="SA34" s="17"/>
      <c r="SB34" s="17"/>
      <c r="SC34" s="17"/>
      <c r="SD34" s="17"/>
      <c r="SE34" s="17"/>
      <c r="SF34" s="17"/>
      <c r="SG34" s="17"/>
      <c r="SH34" s="17"/>
      <c r="SI34" s="17"/>
      <c r="SJ34" s="17"/>
      <c r="SK34" s="17"/>
      <c r="SL34" s="17"/>
      <c r="SM34" s="17"/>
      <c r="SN34" s="17"/>
      <c r="SO34" s="17"/>
      <c r="SP34" s="17"/>
      <c r="SQ34" s="17"/>
      <c r="SR34" s="17"/>
      <c r="SS34" s="17"/>
      <c r="ST34" s="17"/>
      <c r="SU34" s="17"/>
      <c r="SV34" s="17"/>
      <c r="SW34" s="17"/>
      <c r="SX34" s="17"/>
      <c r="SY34" s="17"/>
      <c r="SZ34" s="17"/>
      <c r="TA34" s="17"/>
      <c r="TB34" s="17"/>
      <c r="TC34" s="17"/>
      <c r="TD34" s="17"/>
      <c r="TE34" s="17"/>
      <c r="TF34" s="17"/>
      <c r="TG34" s="17"/>
      <c r="TH34" s="17"/>
      <c r="TI34" s="17"/>
      <c r="TJ34" s="17"/>
      <c r="TK34" s="17"/>
      <c r="TL34" s="17"/>
      <c r="TM34" s="17"/>
      <c r="TN34" s="17"/>
      <c r="TO34" s="17"/>
      <c r="TP34" s="17"/>
      <c r="TQ34" s="17"/>
      <c r="TR34" s="17"/>
      <c r="TS34" s="17"/>
      <c r="TT34" s="17"/>
      <c r="TU34" s="17"/>
      <c r="TV34" s="17"/>
      <c r="TW34" s="17"/>
      <c r="TX34" s="17"/>
      <c r="TY34" s="17"/>
      <c r="TZ34" s="17"/>
      <c r="UA34" s="17"/>
      <c r="UB34" s="17"/>
      <c r="UC34" s="17"/>
      <c r="UD34" s="17"/>
      <c r="UE34" s="17"/>
      <c r="UF34" s="17"/>
      <c r="UG34" s="17"/>
      <c r="UH34" s="17"/>
      <c r="UI34" s="17"/>
      <c r="UJ34" s="17"/>
      <c r="UK34" s="17"/>
      <c r="UL34" s="17"/>
      <c r="UM34" s="17"/>
      <c r="UN34" s="17"/>
      <c r="UO34" s="17"/>
      <c r="UP34" s="17"/>
      <c r="UQ34" s="17"/>
      <c r="UR34" s="17"/>
      <c r="US34" s="17"/>
      <c r="UT34" s="17"/>
      <c r="UU34" s="17"/>
      <c r="UV34" s="17"/>
      <c r="UW34" s="17"/>
      <c r="UX34" s="17"/>
      <c r="UY34" s="17"/>
      <c r="UZ34" s="17"/>
      <c r="VA34" s="17"/>
      <c r="VB34" s="17"/>
      <c r="VC34" s="17"/>
      <c r="VD34" s="17"/>
      <c r="VE34" s="17"/>
      <c r="VF34" s="17"/>
      <c r="VG34" s="17"/>
      <c r="VH34" s="17"/>
      <c r="VI34" s="17"/>
      <c r="VJ34" s="17"/>
      <c r="VK34" s="17"/>
      <c r="VL34" s="17"/>
      <c r="VM34" s="17"/>
      <c r="VN34" s="17"/>
      <c r="VO34" s="17"/>
      <c r="VP34" s="17"/>
      <c r="VQ34" s="17"/>
      <c r="VR34" s="17"/>
      <c r="VS34" s="17"/>
      <c r="VT34" s="17"/>
      <c r="VU34" s="17"/>
      <c r="VV34" s="17"/>
      <c r="VW34" s="17"/>
      <c r="VX34" s="17"/>
      <c r="VY34" s="17"/>
      <c r="VZ34" s="17"/>
      <c r="WA34" s="17"/>
      <c r="WB34" s="17"/>
      <c r="WC34" s="17"/>
      <c r="WD34" s="17"/>
      <c r="WE34" s="17"/>
      <c r="WF34" s="17"/>
      <c r="WG34" s="17"/>
      <c r="WH34" s="17"/>
      <c r="WI34" s="17"/>
      <c r="WJ34" s="17"/>
      <c r="WK34" s="17"/>
      <c r="WL34" s="17"/>
      <c r="WM34" s="17"/>
      <c r="WN34" s="17"/>
      <c r="WO34" s="17"/>
      <c r="WP34" s="17"/>
      <c r="WQ34" s="17"/>
      <c r="WR34" s="17"/>
      <c r="WS34" s="17"/>
      <c r="WT34" s="17"/>
      <c r="WU34" s="17"/>
      <c r="WV34" s="17"/>
      <c r="WW34" s="17"/>
      <c r="WX34" s="17"/>
      <c r="WY34" s="17"/>
      <c r="WZ34" s="17"/>
      <c r="XA34" s="17"/>
      <c r="XB34" s="17"/>
      <c r="XC34" s="17"/>
      <c r="XD34" s="17"/>
      <c r="XE34" s="17"/>
      <c r="XF34" s="17"/>
      <c r="XG34" s="17"/>
      <c r="XH34" s="17"/>
      <c r="XI34" s="17"/>
      <c r="XJ34" s="17"/>
      <c r="XK34" s="17"/>
      <c r="XL34" s="17"/>
      <c r="XM34" s="17"/>
      <c r="XN34" s="17"/>
      <c r="XO34" s="17"/>
      <c r="XP34" s="17"/>
      <c r="XQ34" s="17"/>
      <c r="XR34" s="17"/>
      <c r="XS34" s="17"/>
      <c r="XT34" s="17"/>
      <c r="XU34" s="17"/>
      <c r="XV34" s="17"/>
      <c r="XW34" s="17"/>
      <c r="XX34" s="17"/>
      <c r="XY34" s="17"/>
      <c r="XZ34" s="17"/>
      <c r="YA34" s="17"/>
      <c r="YB34" s="17"/>
      <c r="YC34" s="17"/>
      <c r="YD34" s="17"/>
      <c r="YE34" s="17"/>
      <c r="YF34" s="17"/>
      <c r="YG34" s="17"/>
      <c r="YH34" s="17"/>
      <c r="YI34" s="17"/>
      <c r="YJ34" s="17"/>
      <c r="YK34" s="17"/>
      <c r="YL34" s="17"/>
      <c r="YM34" s="17"/>
      <c r="YN34" s="17"/>
      <c r="YO34" s="17"/>
      <c r="YP34" s="17"/>
      <c r="YQ34" s="17"/>
      <c r="YR34" s="17"/>
      <c r="YS34" s="17"/>
      <c r="YT34" s="17"/>
      <c r="YU34" s="17"/>
      <c r="YV34" s="17"/>
      <c r="YW34" s="17"/>
      <c r="YX34" s="17"/>
      <c r="YY34" s="17"/>
      <c r="YZ34" s="17"/>
      <c r="ZA34" s="17"/>
      <c r="ZB34" s="17"/>
      <c r="ZC34" s="17"/>
      <c r="ZD34" s="17"/>
      <c r="ZE34" s="17"/>
      <c r="ZF34" s="17"/>
      <c r="ZG34" s="17"/>
      <c r="ZH34" s="17"/>
      <c r="ZI34" s="17"/>
      <c r="ZJ34" s="17"/>
      <c r="ZK34" s="17"/>
      <c r="ZL34" s="17"/>
      <c r="ZM34" s="17"/>
      <c r="ZN34" s="17"/>
      <c r="ZO34" s="17"/>
      <c r="ZP34" s="17"/>
      <c r="ZQ34" s="17"/>
      <c r="ZR34" s="17"/>
      <c r="ZS34" s="17"/>
      <c r="ZT34" s="17"/>
      <c r="ZU34" s="17"/>
      <c r="ZV34" s="17"/>
      <c r="ZW34" s="17"/>
      <c r="ZX34" s="17"/>
      <c r="ZY34" s="17"/>
      <c r="ZZ34" s="17"/>
    </row>
    <row r="35" spans="1:702" s="33" customFormat="1" x14ac:dyDescent="0.25">
      <c r="A35" s="30" t="str">
        <f>IF(COUNTA(B35:B35)=0,"", MAX(A$2:A34)+1)</f>
        <v/>
      </c>
      <c r="C35" s="34"/>
      <c r="D35" s="63"/>
      <c r="M35" s="34"/>
      <c r="Q35" s="34"/>
      <c r="U35" s="17"/>
      <c r="V35" s="62"/>
      <c r="W35" s="97"/>
      <c r="Z35" s="30" t="str">
        <f t="shared" si="0"/>
        <v/>
      </c>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c r="EN35" s="17"/>
      <c r="EO35" s="17"/>
      <c r="EP35" s="17"/>
      <c r="EQ35" s="17"/>
      <c r="ER35" s="17"/>
      <c r="ES35" s="17"/>
      <c r="ET35" s="17"/>
      <c r="EU35" s="17"/>
      <c r="EV35" s="17"/>
      <c r="EW35" s="17"/>
      <c r="EX35" s="17"/>
      <c r="EY35" s="17"/>
      <c r="EZ35" s="17"/>
      <c r="FA35" s="17"/>
      <c r="FB35" s="17"/>
      <c r="FC35" s="17"/>
      <c r="FD35" s="17"/>
      <c r="FE35" s="17"/>
      <c r="FF35" s="17"/>
      <c r="FG35" s="17"/>
      <c r="FH35" s="17"/>
      <c r="FI35" s="17"/>
      <c r="FJ35" s="17"/>
      <c r="FK35" s="17"/>
      <c r="FL35" s="17"/>
      <c r="FM35" s="17"/>
      <c r="FN35" s="17"/>
      <c r="FO35" s="17"/>
      <c r="FP35" s="17"/>
      <c r="FQ35" s="17"/>
      <c r="FR35" s="17"/>
      <c r="FS35" s="17"/>
      <c r="FT35" s="17"/>
      <c r="FU35" s="17"/>
      <c r="FV35" s="17"/>
      <c r="FW35" s="17"/>
      <c r="FX35" s="17"/>
      <c r="FY35" s="17"/>
      <c r="FZ35" s="17"/>
      <c r="GA35" s="17"/>
      <c r="GB35" s="17"/>
      <c r="GC35" s="17"/>
      <c r="GD35" s="17"/>
      <c r="GE35" s="17"/>
      <c r="GF35" s="17"/>
      <c r="GG35" s="17"/>
      <c r="GH35" s="17"/>
      <c r="GI35" s="17"/>
      <c r="GJ35" s="17"/>
      <c r="GK35" s="17"/>
      <c r="GL35" s="17"/>
      <c r="GM35" s="17"/>
      <c r="GN35" s="17"/>
      <c r="GO35" s="17"/>
      <c r="GP35" s="17"/>
      <c r="GQ35" s="17"/>
      <c r="GR35" s="17"/>
      <c r="GS35" s="17"/>
      <c r="GT35" s="17"/>
      <c r="GU35" s="17"/>
      <c r="GV35" s="17"/>
      <c r="GW35" s="17"/>
      <c r="GX35" s="17"/>
      <c r="GY35" s="17"/>
      <c r="GZ35" s="17"/>
      <c r="HA35" s="17"/>
      <c r="HB35" s="17"/>
      <c r="HC35" s="17"/>
      <c r="HD35" s="17"/>
      <c r="HE35" s="17"/>
      <c r="HF35" s="17"/>
      <c r="HG35" s="17"/>
      <c r="HH35" s="17"/>
      <c r="HI35" s="17"/>
      <c r="HJ35" s="17"/>
      <c r="HK35" s="17"/>
      <c r="HL35" s="17"/>
      <c r="HM35" s="17"/>
      <c r="HN35" s="17"/>
      <c r="HO35" s="17"/>
      <c r="HP35" s="17"/>
      <c r="HQ35" s="17"/>
      <c r="HR35" s="17"/>
      <c r="HS35" s="17"/>
      <c r="HT35" s="17"/>
      <c r="HU35" s="17"/>
      <c r="HV35" s="17"/>
      <c r="HW35" s="17"/>
      <c r="HX35" s="17"/>
      <c r="HY35" s="17"/>
      <c r="HZ35" s="17"/>
      <c r="IA35" s="17"/>
      <c r="IB35" s="17"/>
      <c r="IC35" s="17"/>
      <c r="ID35" s="17"/>
      <c r="IE35" s="17"/>
      <c r="IF35" s="17"/>
      <c r="IG35" s="17"/>
      <c r="IH35" s="17"/>
      <c r="II35" s="17"/>
      <c r="IJ35" s="17"/>
      <c r="IK35" s="17"/>
      <c r="IL35" s="17"/>
      <c r="IM35" s="17"/>
      <c r="IN35" s="17"/>
      <c r="IO35" s="17"/>
      <c r="IP35" s="17"/>
      <c r="IQ35" s="17"/>
      <c r="IR35" s="17"/>
      <c r="IS35" s="17"/>
      <c r="IT35" s="17"/>
      <c r="IU35" s="17"/>
      <c r="IV35" s="17"/>
      <c r="IW35" s="17"/>
      <c r="IX35" s="17"/>
      <c r="IY35" s="17"/>
      <c r="IZ35" s="17"/>
      <c r="JA35" s="17"/>
      <c r="JB35" s="17"/>
      <c r="JC35" s="17"/>
      <c r="JD35" s="17"/>
      <c r="JE35" s="17"/>
      <c r="JF35" s="17"/>
      <c r="JG35" s="17"/>
      <c r="JH35" s="17"/>
      <c r="JI35" s="17"/>
      <c r="JJ35" s="17"/>
      <c r="JK35" s="17"/>
      <c r="JL35" s="17"/>
      <c r="JM35" s="17"/>
      <c r="JN35" s="17"/>
      <c r="JO35" s="17"/>
      <c r="JP35" s="17"/>
      <c r="JQ35" s="17"/>
      <c r="JR35" s="17"/>
      <c r="JS35" s="17"/>
      <c r="JT35" s="17"/>
      <c r="JU35" s="17"/>
      <c r="JV35" s="17"/>
      <c r="JW35" s="17"/>
      <c r="JX35" s="17"/>
      <c r="JY35" s="17"/>
      <c r="JZ35" s="17"/>
      <c r="KA35" s="17"/>
      <c r="KB35" s="17"/>
      <c r="KC35" s="17"/>
      <c r="KD35" s="17"/>
      <c r="KE35" s="17"/>
      <c r="KF35" s="17"/>
      <c r="KG35" s="17"/>
      <c r="KH35" s="17"/>
      <c r="KI35" s="17"/>
      <c r="KJ35" s="17"/>
      <c r="KK35" s="17"/>
      <c r="KL35" s="17"/>
      <c r="KM35" s="17"/>
      <c r="KN35" s="17"/>
      <c r="KO35" s="17"/>
      <c r="KP35" s="17"/>
      <c r="KQ35" s="17"/>
      <c r="KR35" s="17"/>
      <c r="KS35" s="17"/>
      <c r="KT35" s="17"/>
      <c r="KU35" s="17"/>
      <c r="KV35" s="17"/>
      <c r="KW35" s="17"/>
      <c r="KX35" s="17"/>
      <c r="KY35" s="17"/>
      <c r="KZ35" s="17"/>
      <c r="LA35" s="17"/>
      <c r="LB35" s="17"/>
      <c r="LC35" s="17"/>
      <c r="LD35" s="17"/>
      <c r="LE35" s="17"/>
      <c r="LF35" s="17"/>
      <c r="LG35" s="17"/>
      <c r="LH35" s="17"/>
      <c r="LI35" s="17"/>
      <c r="LJ35" s="17"/>
      <c r="LK35" s="17"/>
      <c r="LL35" s="17"/>
      <c r="LM35" s="17"/>
      <c r="LN35" s="17"/>
      <c r="LO35" s="17"/>
      <c r="LP35" s="17"/>
      <c r="LQ35" s="17"/>
      <c r="LR35" s="17"/>
      <c r="LS35" s="17"/>
      <c r="LT35" s="17"/>
      <c r="LU35" s="17"/>
      <c r="LV35" s="17"/>
      <c r="LW35" s="17"/>
      <c r="LX35" s="17"/>
      <c r="LY35" s="17"/>
      <c r="LZ35" s="17"/>
      <c r="MA35" s="17"/>
      <c r="MB35" s="17"/>
      <c r="MC35" s="17"/>
      <c r="MD35" s="17"/>
      <c r="ME35" s="17"/>
      <c r="MF35" s="17"/>
      <c r="MG35" s="17"/>
      <c r="MH35" s="17"/>
      <c r="MI35" s="17"/>
      <c r="MJ35" s="17"/>
      <c r="MK35" s="17"/>
      <c r="ML35" s="17"/>
      <c r="MM35" s="17"/>
      <c r="MN35" s="17"/>
      <c r="MO35" s="17"/>
      <c r="MP35" s="17"/>
      <c r="MQ35" s="17"/>
      <c r="MR35" s="17"/>
      <c r="MS35" s="17"/>
      <c r="MT35" s="17"/>
      <c r="MU35" s="17"/>
      <c r="MV35" s="17"/>
      <c r="MW35" s="17"/>
      <c r="MX35" s="17"/>
      <c r="MY35" s="17"/>
      <c r="MZ35" s="17"/>
      <c r="NA35" s="17"/>
      <c r="NB35" s="17"/>
      <c r="NC35" s="17"/>
      <c r="ND35" s="17"/>
      <c r="NE35" s="17"/>
      <c r="NF35" s="17"/>
      <c r="NG35" s="17"/>
      <c r="NH35" s="17"/>
      <c r="NI35" s="17"/>
      <c r="NJ35" s="17"/>
      <c r="NK35" s="17"/>
      <c r="NL35" s="17"/>
      <c r="NM35" s="17"/>
      <c r="NN35" s="17"/>
      <c r="NO35" s="17"/>
      <c r="NP35" s="17"/>
      <c r="NQ35" s="17"/>
      <c r="NR35" s="17"/>
      <c r="NS35" s="17"/>
      <c r="NT35" s="17"/>
      <c r="NU35" s="17"/>
      <c r="NV35" s="17"/>
      <c r="NW35" s="17"/>
      <c r="NX35" s="17"/>
      <c r="NY35" s="17"/>
      <c r="NZ35" s="17"/>
      <c r="OA35" s="17"/>
      <c r="OB35" s="17"/>
      <c r="OC35" s="17"/>
      <c r="OD35" s="17"/>
      <c r="OE35" s="17"/>
      <c r="OF35" s="17"/>
      <c r="OG35" s="17"/>
      <c r="OH35" s="17"/>
      <c r="OI35" s="17"/>
      <c r="OJ35" s="17"/>
      <c r="OK35" s="17"/>
      <c r="OL35" s="17"/>
      <c r="OM35" s="17"/>
      <c r="ON35" s="17"/>
      <c r="OO35" s="17"/>
      <c r="OP35" s="17"/>
      <c r="OQ35" s="17"/>
      <c r="OR35" s="17"/>
      <c r="OS35" s="17"/>
      <c r="OT35" s="17"/>
      <c r="OU35" s="17"/>
      <c r="OV35" s="17"/>
      <c r="OW35" s="17"/>
      <c r="OX35" s="17"/>
      <c r="OY35" s="17"/>
      <c r="OZ35" s="17"/>
      <c r="PA35" s="17"/>
      <c r="PB35" s="17"/>
      <c r="PC35" s="17"/>
      <c r="PD35" s="17"/>
      <c r="PE35" s="17"/>
      <c r="PF35" s="17"/>
      <c r="PG35" s="17"/>
      <c r="PH35" s="17"/>
      <c r="PI35" s="17"/>
      <c r="PJ35" s="17"/>
      <c r="PK35" s="17"/>
      <c r="PL35" s="17"/>
      <c r="PM35" s="17"/>
      <c r="PN35" s="17"/>
      <c r="PO35" s="17"/>
      <c r="PP35" s="17"/>
      <c r="PQ35" s="17"/>
      <c r="PR35" s="17"/>
      <c r="PS35" s="17"/>
      <c r="PT35" s="17"/>
      <c r="PU35" s="17"/>
      <c r="PV35" s="17"/>
      <c r="PW35" s="17"/>
      <c r="PX35" s="17"/>
      <c r="PY35" s="17"/>
      <c r="PZ35" s="17"/>
      <c r="QA35" s="17"/>
      <c r="QB35" s="17"/>
      <c r="QC35" s="17"/>
      <c r="QD35" s="17"/>
      <c r="QE35" s="17"/>
      <c r="QF35" s="17"/>
      <c r="QG35" s="17"/>
      <c r="QH35" s="17"/>
      <c r="QI35" s="17"/>
      <c r="QJ35" s="17"/>
      <c r="QK35" s="17"/>
      <c r="QL35" s="17"/>
      <c r="QM35" s="17"/>
      <c r="QN35" s="17"/>
      <c r="QO35" s="17"/>
      <c r="QP35" s="17"/>
      <c r="QQ35" s="17"/>
      <c r="QR35" s="17"/>
      <c r="QS35" s="17"/>
      <c r="QT35" s="17"/>
      <c r="QU35" s="17"/>
      <c r="QV35" s="17"/>
      <c r="QW35" s="17"/>
      <c r="QX35" s="17"/>
      <c r="QY35" s="17"/>
      <c r="QZ35" s="17"/>
      <c r="RA35" s="17"/>
      <c r="RB35" s="17"/>
      <c r="RC35" s="17"/>
      <c r="RD35" s="17"/>
      <c r="RE35" s="17"/>
      <c r="RF35" s="17"/>
      <c r="RG35" s="17"/>
      <c r="RH35" s="17"/>
      <c r="RI35" s="17"/>
      <c r="RJ35" s="17"/>
      <c r="RK35" s="17"/>
      <c r="RL35" s="17"/>
      <c r="RM35" s="17"/>
      <c r="RN35" s="17"/>
      <c r="RO35" s="17"/>
      <c r="RP35" s="17"/>
      <c r="RQ35" s="17"/>
      <c r="RR35" s="17"/>
      <c r="RS35" s="17"/>
      <c r="RT35" s="17"/>
      <c r="RU35" s="17"/>
      <c r="RV35" s="17"/>
      <c r="RW35" s="17"/>
      <c r="RX35" s="17"/>
      <c r="RY35" s="17"/>
      <c r="RZ35" s="17"/>
      <c r="SA35" s="17"/>
      <c r="SB35" s="17"/>
      <c r="SC35" s="17"/>
      <c r="SD35" s="17"/>
      <c r="SE35" s="17"/>
      <c r="SF35" s="17"/>
      <c r="SG35" s="17"/>
      <c r="SH35" s="17"/>
      <c r="SI35" s="17"/>
      <c r="SJ35" s="17"/>
      <c r="SK35" s="17"/>
      <c r="SL35" s="17"/>
      <c r="SM35" s="17"/>
      <c r="SN35" s="17"/>
      <c r="SO35" s="17"/>
      <c r="SP35" s="17"/>
      <c r="SQ35" s="17"/>
      <c r="SR35" s="17"/>
      <c r="SS35" s="17"/>
      <c r="ST35" s="17"/>
      <c r="SU35" s="17"/>
      <c r="SV35" s="17"/>
      <c r="SW35" s="17"/>
      <c r="SX35" s="17"/>
      <c r="SY35" s="17"/>
      <c r="SZ35" s="17"/>
      <c r="TA35" s="17"/>
      <c r="TB35" s="17"/>
      <c r="TC35" s="17"/>
      <c r="TD35" s="17"/>
      <c r="TE35" s="17"/>
      <c r="TF35" s="17"/>
      <c r="TG35" s="17"/>
      <c r="TH35" s="17"/>
      <c r="TI35" s="17"/>
      <c r="TJ35" s="17"/>
      <c r="TK35" s="17"/>
      <c r="TL35" s="17"/>
      <c r="TM35" s="17"/>
      <c r="TN35" s="17"/>
      <c r="TO35" s="17"/>
      <c r="TP35" s="17"/>
      <c r="TQ35" s="17"/>
      <c r="TR35" s="17"/>
      <c r="TS35" s="17"/>
      <c r="TT35" s="17"/>
      <c r="TU35" s="17"/>
      <c r="TV35" s="17"/>
      <c r="TW35" s="17"/>
      <c r="TX35" s="17"/>
      <c r="TY35" s="17"/>
      <c r="TZ35" s="17"/>
      <c r="UA35" s="17"/>
      <c r="UB35" s="17"/>
      <c r="UC35" s="17"/>
      <c r="UD35" s="17"/>
      <c r="UE35" s="17"/>
      <c r="UF35" s="17"/>
      <c r="UG35" s="17"/>
      <c r="UH35" s="17"/>
      <c r="UI35" s="17"/>
      <c r="UJ35" s="17"/>
      <c r="UK35" s="17"/>
      <c r="UL35" s="17"/>
      <c r="UM35" s="17"/>
      <c r="UN35" s="17"/>
      <c r="UO35" s="17"/>
      <c r="UP35" s="17"/>
      <c r="UQ35" s="17"/>
      <c r="UR35" s="17"/>
      <c r="US35" s="17"/>
      <c r="UT35" s="17"/>
      <c r="UU35" s="17"/>
      <c r="UV35" s="17"/>
      <c r="UW35" s="17"/>
      <c r="UX35" s="17"/>
      <c r="UY35" s="17"/>
      <c r="UZ35" s="17"/>
      <c r="VA35" s="17"/>
      <c r="VB35" s="17"/>
      <c r="VC35" s="17"/>
      <c r="VD35" s="17"/>
      <c r="VE35" s="17"/>
      <c r="VF35" s="17"/>
      <c r="VG35" s="17"/>
      <c r="VH35" s="17"/>
      <c r="VI35" s="17"/>
      <c r="VJ35" s="17"/>
      <c r="VK35" s="17"/>
      <c r="VL35" s="17"/>
      <c r="VM35" s="17"/>
      <c r="VN35" s="17"/>
      <c r="VO35" s="17"/>
      <c r="VP35" s="17"/>
      <c r="VQ35" s="17"/>
      <c r="VR35" s="17"/>
      <c r="VS35" s="17"/>
      <c r="VT35" s="17"/>
      <c r="VU35" s="17"/>
      <c r="VV35" s="17"/>
      <c r="VW35" s="17"/>
      <c r="VX35" s="17"/>
      <c r="VY35" s="17"/>
      <c r="VZ35" s="17"/>
      <c r="WA35" s="17"/>
      <c r="WB35" s="17"/>
      <c r="WC35" s="17"/>
      <c r="WD35" s="17"/>
      <c r="WE35" s="17"/>
      <c r="WF35" s="17"/>
      <c r="WG35" s="17"/>
      <c r="WH35" s="17"/>
      <c r="WI35" s="17"/>
      <c r="WJ35" s="17"/>
      <c r="WK35" s="17"/>
      <c r="WL35" s="17"/>
      <c r="WM35" s="17"/>
      <c r="WN35" s="17"/>
      <c r="WO35" s="17"/>
      <c r="WP35" s="17"/>
      <c r="WQ35" s="17"/>
      <c r="WR35" s="17"/>
      <c r="WS35" s="17"/>
      <c r="WT35" s="17"/>
      <c r="WU35" s="17"/>
      <c r="WV35" s="17"/>
      <c r="WW35" s="17"/>
      <c r="WX35" s="17"/>
      <c r="WY35" s="17"/>
      <c r="WZ35" s="17"/>
      <c r="XA35" s="17"/>
      <c r="XB35" s="17"/>
      <c r="XC35" s="17"/>
      <c r="XD35" s="17"/>
      <c r="XE35" s="17"/>
      <c r="XF35" s="17"/>
      <c r="XG35" s="17"/>
      <c r="XH35" s="17"/>
      <c r="XI35" s="17"/>
      <c r="XJ35" s="17"/>
      <c r="XK35" s="17"/>
      <c r="XL35" s="17"/>
      <c r="XM35" s="17"/>
      <c r="XN35" s="17"/>
      <c r="XO35" s="17"/>
      <c r="XP35" s="17"/>
      <c r="XQ35" s="17"/>
      <c r="XR35" s="17"/>
      <c r="XS35" s="17"/>
      <c r="XT35" s="17"/>
      <c r="XU35" s="17"/>
      <c r="XV35" s="17"/>
      <c r="XW35" s="17"/>
      <c r="XX35" s="17"/>
      <c r="XY35" s="17"/>
      <c r="XZ35" s="17"/>
      <c r="YA35" s="17"/>
      <c r="YB35" s="17"/>
      <c r="YC35" s="17"/>
      <c r="YD35" s="17"/>
      <c r="YE35" s="17"/>
      <c r="YF35" s="17"/>
      <c r="YG35" s="17"/>
      <c r="YH35" s="17"/>
      <c r="YI35" s="17"/>
      <c r="YJ35" s="17"/>
      <c r="YK35" s="17"/>
      <c r="YL35" s="17"/>
      <c r="YM35" s="17"/>
      <c r="YN35" s="17"/>
      <c r="YO35" s="17"/>
      <c r="YP35" s="17"/>
      <c r="YQ35" s="17"/>
      <c r="YR35" s="17"/>
      <c r="YS35" s="17"/>
      <c r="YT35" s="17"/>
      <c r="YU35" s="17"/>
      <c r="YV35" s="17"/>
      <c r="YW35" s="17"/>
      <c r="YX35" s="17"/>
      <c r="YY35" s="17"/>
      <c r="YZ35" s="17"/>
      <c r="ZA35" s="17"/>
      <c r="ZB35" s="17"/>
      <c r="ZC35" s="17"/>
      <c r="ZD35" s="17"/>
      <c r="ZE35" s="17"/>
      <c r="ZF35" s="17"/>
      <c r="ZG35" s="17"/>
      <c r="ZH35" s="17"/>
      <c r="ZI35" s="17"/>
      <c r="ZJ35" s="17"/>
      <c r="ZK35" s="17"/>
      <c r="ZL35" s="17"/>
      <c r="ZM35" s="17"/>
      <c r="ZN35" s="17"/>
      <c r="ZO35" s="17"/>
      <c r="ZP35" s="17"/>
      <c r="ZQ35" s="17"/>
      <c r="ZR35" s="17"/>
      <c r="ZS35" s="17"/>
      <c r="ZT35" s="17"/>
      <c r="ZU35" s="17"/>
      <c r="ZV35" s="17"/>
      <c r="ZW35" s="17"/>
      <c r="ZX35" s="17"/>
      <c r="ZY35" s="17"/>
      <c r="ZZ35" s="17"/>
    </row>
    <row r="36" spans="1:702" s="33" customFormat="1" x14ac:dyDescent="0.25">
      <c r="A36" s="30" t="str">
        <f>IF(COUNTA(B36:B36)=0,"", MAX(A$2:A35)+1)</f>
        <v/>
      </c>
      <c r="C36" s="34"/>
      <c r="D36" s="63"/>
      <c r="M36" s="34"/>
      <c r="Q36" s="34"/>
      <c r="U36" s="17"/>
      <c r="V36" s="62"/>
      <c r="W36" s="97"/>
      <c r="Z36" s="30" t="str">
        <f t="shared" si="0"/>
        <v/>
      </c>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c r="EN36" s="17"/>
      <c r="EO36" s="17"/>
      <c r="EP36" s="17"/>
      <c r="EQ36" s="17"/>
      <c r="ER36" s="17"/>
      <c r="ES36" s="17"/>
      <c r="ET36" s="17"/>
      <c r="EU36" s="17"/>
      <c r="EV36" s="17"/>
      <c r="EW36" s="17"/>
      <c r="EX36" s="17"/>
      <c r="EY36" s="17"/>
      <c r="EZ36" s="17"/>
      <c r="FA36" s="17"/>
      <c r="FB36" s="17"/>
      <c r="FC36" s="17"/>
      <c r="FD36" s="17"/>
      <c r="FE36" s="17"/>
      <c r="FF36" s="17"/>
      <c r="FG36" s="17"/>
      <c r="FH36" s="17"/>
      <c r="FI36" s="17"/>
      <c r="FJ36" s="17"/>
      <c r="FK36" s="17"/>
      <c r="FL36" s="17"/>
      <c r="FM36" s="17"/>
      <c r="FN36" s="17"/>
      <c r="FO36" s="17"/>
      <c r="FP36" s="17"/>
      <c r="FQ36" s="17"/>
      <c r="FR36" s="17"/>
      <c r="FS36" s="17"/>
      <c r="FT36" s="17"/>
      <c r="FU36" s="17"/>
      <c r="FV36" s="17"/>
      <c r="FW36" s="17"/>
      <c r="FX36" s="17"/>
      <c r="FY36" s="17"/>
      <c r="FZ36" s="17"/>
      <c r="GA36" s="17"/>
      <c r="GB36" s="17"/>
      <c r="GC36" s="17"/>
      <c r="GD36" s="17"/>
      <c r="GE36" s="17"/>
      <c r="GF36" s="17"/>
      <c r="GG36" s="17"/>
      <c r="GH36" s="17"/>
      <c r="GI36" s="17"/>
      <c r="GJ36" s="17"/>
      <c r="GK36" s="17"/>
      <c r="GL36" s="17"/>
      <c r="GM36" s="17"/>
      <c r="GN36" s="17"/>
      <c r="GO36" s="17"/>
      <c r="GP36" s="17"/>
      <c r="GQ36" s="17"/>
      <c r="GR36" s="17"/>
      <c r="GS36" s="17"/>
      <c r="GT36" s="17"/>
      <c r="GU36" s="17"/>
      <c r="GV36" s="17"/>
      <c r="GW36" s="17"/>
      <c r="GX36" s="17"/>
      <c r="GY36" s="17"/>
      <c r="GZ36" s="17"/>
      <c r="HA36" s="17"/>
      <c r="HB36" s="17"/>
      <c r="HC36" s="17"/>
      <c r="HD36" s="17"/>
      <c r="HE36" s="17"/>
      <c r="HF36" s="17"/>
      <c r="HG36" s="17"/>
      <c r="HH36" s="17"/>
      <c r="HI36" s="17"/>
      <c r="HJ36" s="17"/>
      <c r="HK36" s="17"/>
      <c r="HL36" s="17"/>
      <c r="HM36" s="17"/>
      <c r="HN36" s="17"/>
      <c r="HO36" s="17"/>
      <c r="HP36" s="17"/>
      <c r="HQ36" s="17"/>
      <c r="HR36" s="17"/>
      <c r="HS36" s="17"/>
      <c r="HT36" s="17"/>
      <c r="HU36" s="17"/>
      <c r="HV36" s="17"/>
      <c r="HW36" s="17"/>
      <c r="HX36" s="17"/>
      <c r="HY36" s="17"/>
      <c r="HZ36" s="17"/>
      <c r="IA36" s="17"/>
      <c r="IB36" s="17"/>
      <c r="IC36" s="17"/>
      <c r="ID36" s="17"/>
      <c r="IE36" s="17"/>
      <c r="IF36" s="17"/>
      <c r="IG36" s="17"/>
      <c r="IH36" s="17"/>
      <c r="II36" s="17"/>
      <c r="IJ36" s="17"/>
      <c r="IK36" s="17"/>
      <c r="IL36" s="17"/>
      <c r="IM36" s="17"/>
      <c r="IN36" s="17"/>
      <c r="IO36" s="17"/>
      <c r="IP36" s="17"/>
      <c r="IQ36" s="17"/>
      <c r="IR36" s="17"/>
      <c r="IS36" s="17"/>
      <c r="IT36" s="17"/>
      <c r="IU36" s="17"/>
      <c r="IV36" s="17"/>
      <c r="IW36" s="17"/>
      <c r="IX36" s="17"/>
      <c r="IY36" s="17"/>
      <c r="IZ36" s="17"/>
      <c r="JA36" s="17"/>
      <c r="JB36" s="17"/>
      <c r="JC36" s="17"/>
      <c r="JD36" s="17"/>
      <c r="JE36" s="17"/>
      <c r="JF36" s="17"/>
      <c r="JG36" s="17"/>
      <c r="JH36" s="17"/>
      <c r="JI36" s="17"/>
      <c r="JJ36" s="17"/>
      <c r="JK36" s="17"/>
      <c r="JL36" s="17"/>
      <c r="JM36" s="17"/>
      <c r="JN36" s="17"/>
      <c r="JO36" s="17"/>
      <c r="JP36" s="17"/>
      <c r="JQ36" s="17"/>
      <c r="JR36" s="17"/>
      <c r="JS36" s="17"/>
      <c r="JT36" s="17"/>
      <c r="JU36" s="17"/>
      <c r="JV36" s="17"/>
      <c r="JW36" s="17"/>
      <c r="JX36" s="17"/>
      <c r="JY36" s="17"/>
      <c r="JZ36" s="17"/>
      <c r="KA36" s="17"/>
      <c r="KB36" s="17"/>
      <c r="KC36" s="17"/>
      <c r="KD36" s="17"/>
      <c r="KE36" s="17"/>
      <c r="KF36" s="17"/>
      <c r="KG36" s="17"/>
      <c r="KH36" s="17"/>
      <c r="KI36" s="17"/>
      <c r="KJ36" s="17"/>
      <c r="KK36" s="17"/>
      <c r="KL36" s="17"/>
      <c r="KM36" s="17"/>
      <c r="KN36" s="17"/>
      <c r="KO36" s="17"/>
      <c r="KP36" s="17"/>
      <c r="KQ36" s="17"/>
      <c r="KR36" s="17"/>
      <c r="KS36" s="17"/>
      <c r="KT36" s="17"/>
      <c r="KU36" s="17"/>
      <c r="KV36" s="17"/>
      <c r="KW36" s="17"/>
      <c r="KX36" s="17"/>
      <c r="KY36" s="17"/>
      <c r="KZ36" s="17"/>
      <c r="LA36" s="17"/>
      <c r="LB36" s="17"/>
      <c r="LC36" s="17"/>
      <c r="LD36" s="17"/>
      <c r="LE36" s="17"/>
      <c r="LF36" s="17"/>
      <c r="LG36" s="17"/>
      <c r="LH36" s="17"/>
      <c r="LI36" s="17"/>
      <c r="LJ36" s="17"/>
      <c r="LK36" s="17"/>
      <c r="LL36" s="17"/>
      <c r="LM36" s="17"/>
      <c r="LN36" s="17"/>
      <c r="LO36" s="17"/>
      <c r="LP36" s="17"/>
      <c r="LQ36" s="17"/>
      <c r="LR36" s="17"/>
      <c r="LS36" s="17"/>
      <c r="LT36" s="17"/>
      <c r="LU36" s="17"/>
      <c r="LV36" s="17"/>
      <c r="LW36" s="17"/>
      <c r="LX36" s="17"/>
      <c r="LY36" s="17"/>
      <c r="LZ36" s="17"/>
      <c r="MA36" s="17"/>
      <c r="MB36" s="17"/>
      <c r="MC36" s="17"/>
      <c r="MD36" s="17"/>
      <c r="ME36" s="17"/>
      <c r="MF36" s="17"/>
      <c r="MG36" s="17"/>
      <c r="MH36" s="17"/>
      <c r="MI36" s="17"/>
      <c r="MJ36" s="17"/>
      <c r="MK36" s="17"/>
      <c r="ML36" s="17"/>
      <c r="MM36" s="17"/>
      <c r="MN36" s="17"/>
      <c r="MO36" s="17"/>
      <c r="MP36" s="17"/>
      <c r="MQ36" s="17"/>
      <c r="MR36" s="17"/>
      <c r="MS36" s="17"/>
      <c r="MT36" s="17"/>
      <c r="MU36" s="17"/>
      <c r="MV36" s="17"/>
      <c r="MW36" s="17"/>
      <c r="MX36" s="17"/>
      <c r="MY36" s="17"/>
      <c r="MZ36" s="17"/>
      <c r="NA36" s="17"/>
      <c r="NB36" s="17"/>
      <c r="NC36" s="17"/>
      <c r="ND36" s="17"/>
      <c r="NE36" s="17"/>
      <c r="NF36" s="17"/>
      <c r="NG36" s="17"/>
      <c r="NH36" s="17"/>
      <c r="NI36" s="17"/>
      <c r="NJ36" s="17"/>
      <c r="NK36" s="17"/>
      <c r="NL36" s="17"/>
      <c r="NM36" s="17"/>
      <c r="NN36" s="17"/>
      <c r="NO36" s="17"/>
      <c r="NP36" s="17"/>
      <c r="NQ36" s="17"/>
      <c r="NR36" s="17"/>
      <c r="NS36" s="17"/>
      <c r="NT36" s="17"/>
      <c r="NU36" s="17"/>
      <c r="NV36" s="17"/>
      <c r="NW36" s="17"/>
      <c r="NX36" s="17"/>
      <c r="NY36" s="17"/>
      <c r="NZ36" s="17"/>
      <c r="OA36" s="17"/>
      <c r="OB36" s="17"/>
      <c r="OC36" s="17"/>
      <c r="OD36" s="17"/>
      <c r="OE36" s="17"/>
      <c r="OF36" s="17"/>
      <c r="OG36" s="17"/>
      <c r="OH36" s="17"/>
      <c r="OI36" s="17"/>
      <c r="OJ36" s="17"/>
      <c r="OK36" s="17"/>
      <c r="OL36" s="17"/>
      <c r="OM36" s="17"/>
      <c r="ON36" s="17"/>
      <c r="OO36" s="17"/>
      <c r="OP36" s="17"/>
      <c r="OQ36" s="17"/>
      <c r="OR36" s="17"/>
      <c r="OS36" s="17"/>
      <c r="OT36" s="17"/>
      <c r="OU36" s="17"/>
      <c r="OV36" s="17"/>
      <c r="OW36" s="17"/>
      <c r="OX36" s="17"/>
      <c r="OY36" s="17"/>
      <c r="OZ36" s="17"/>
      <c r="PA36" s="17"/>
      <c r="PB36" s="17"/>
      <c r="PC36" s="17"/>
      <c r="PD36" s="17"/>
      <c r="PE36" s="17"/>
      <c r="PF36" s="17"/>
      <c r="PG36" s="17"/>
      <c r="PH36" s="17"/>
      <c r="PI36" s="17"/>
      <c r="PJ36" s="17"/>
      <c r="PK36" s="17"/>
      <c r="PL36" s="17"/>
      <c r="PM36" s="17"/>
      <c r="PN36" s="17"/>
      <c r="PO36" s="17"/>
      <c r="PP36" s="17"/>
      <c r="PQ36" s="17"/>
      <c r="PR36" s="17"/>
      <c r="PS36" s="17"/>
      <c r="PT36" s="17"/>
      <c r="PU36" s="17"/>
      <c r="PV36" s="17"/>
      <c r="PW36" s="17"/>
      <c r="PX36" s="17"/>
      <c r="PY36" s="17"/>
      <c r="PZ36" s="17"/>
      <c r="QA36" s="17"/>
      <c r="QB36" s="17"/>
      <c r="QC36" s="17"/>
      <c r="QD36" s="17"/>
      <c r="QE36" s="17"/>
      <c r="QF36" s="17"/>
      <c r="QG36" s="17"/>
      <c r="QH36" s="17"/>
      <c r="QI36" s="17"/>
      <c r="QJ36" s="17"/>
      <c r="QK36" s="17"/>
      <c r="QL36" s="17"/>
      <c r="QM36" s="17"/>
      <c r="QN36" s="17"/>
      <c r="QO36" s="17"/>
      <c r="QP36" s="17"/>
      <c r="QQ36" s="17"/>
      <c r="QR36" s="17"/>
      <c r="QS36" s="17"/>
      <c r="QT36" s="17"/>
      <c r="QU36" s="17"/>
      <c r="QV36" s="17"/>
      <c r="QW36" s="17"/>
      <c r="QX36" s="17"/>
      <c r="QY36" s="17"/>
      <c r="QZ36" s="17"/>
      <c r="RA36" s="17"/>
      <c r="RB36" s="17"/>
      <c r="RC36" s="17"/>
      <c r="RD36" s="17"/>
      <c r="RE36" s="17"/>
      <c r="RF36" s="17"/>
      <c r="RG36" s="17"/>
      <c r="RH36" s="17"/>
      <c r="RI36" s="17"/>
      <c r="RJ36" s="17"/>
      <c r="RK36" s="17"/>
      <c r="RL36" s="17"/>
      <c r="RM36" s="17"/>
      <c r="RN36" s="17"/>
      <c r="RO36" s="17"/>
      <c r="RP36" s="17"/>
      <c r="RQ36" s="17"/>
      <c r="RR36" s="17"/>
      <c r="RS36" s="17"/>
      <c r="RT36" s="17"/>
      <c r="RU36" s="17"/>
      <c r="RV36" s="17"/>
      <c r="RW36" s="17"/>
      <c r="RX36" s="17"/>
      <c r="RY36" s="17"/>
      <c r="RZ36" s="17"/>
      <c r="SA36" s="17"/>
      <c r="SB36" s="17"/>
      <c r="SC36" s="17"/>
      <c r="SD36" s="17"/>
      <c r="SE36" s="17"/>
      <c r="SF36" s="17"/>
      <c r="SG36" s="17"/>
      <c r="SH36" s="17"/>
      <c r="SI36" s="17"/>
      <c r="SJ36" s="17"/>
      <c r="SK36" s="17"/>
      <c r="SL36" s="17"/>
      <c r="SM36" s="17"/>
      <c r="SN36" s="17"/>
      <c r="SO36" s="17"/>
      <c r="SP36" s="17"/>
      <c r="SQ36" s="17"/>
      <c r="SR36" s="17"/>
      <c r="SS36" s="17"/>
      <c r="ST36" s="17"/>
      <c r="SU36" s="17"/>
      <c r="SV36" s="17"/>
      <c r="SW36" s="17"/>
      <c r="SX36" s="17"/>
      <c r="SY36" s="17"/>
      <c r="SZ36" s="17"/>
      <c r="TA36" s="17"/>
      <c r="TB36" s="17"/>
      <c r="TC36" s="17"/>
      <c r="TD36" s="17"/>
      <c r="TE36" s="17"/>
      <c r="TF36" s="17"/>
      <c r="TG36" s="17"/>
      <c r="TH36" s="17"/>
      <c r="TI36" s="17"/>
      <c r="TJ36" s="17"/>
      <c r="TK36" s="17"/>
      <c r="TL36" s="17"/>
      <c r="TM36" s="17"/>
      <c r="TN36" s="17"/>
      <c r="TO36" s="17"/>
      <c r="TP36" s="17"/>
      <c r="TQ36" s="17"/>
      <c r="TR36" s="17"/>
      <c r="TS36" s="17"/>
      <c r="TT36" s="17"/>
      <c r="TU36" s="17"/>
      <c r="TV36" s="17"/>
      <c r="TW36" s="17"/>
      <c r="TX36" s="17"/>
      <c r="TY36" s="17"/>
      <c r="TZ36" s="17"/>
      <c r="UA36" s="17"/>
      <c r="UB36" s="17"/>
      <c r="UC36" s="17"/>
      <c r="UD36" s="17"/>
      <c r="UE36" s="17"/>
      <c r="UF36" s="17"/>
      <c r="UG36" s="17"/>
      <c r="UH36" s="17"/>
      <c r="UI36" s="17"/>
      <c r="UJ36" s="17"/>
      <c r="UK36" s="17"/>
      <c r="UL36" s="17"/>
      <c r="UM36" s="17"/>
      <c r="UN36" s="17"/>
      <c r="UO36" s="17"/>
      <c r="UP36" s="17"/>
      <c r="UQ36" s="17"/>
      <c r="UR36" s="17"/>
      <c r="US36" s="17"/>
      <c r="UT36" s="17"/>
      <c r="UU36" s="17"/>
      <c r="UV36" s="17"/>
      <c r="UW36" s="17"/>
      <c r="UX36" s="17"/>
      <c r="UY36" s="17"/>
      <c r="UZ36" s="17"/>
      <c r="VA36" s="17"/>
      <c r="VB36" s="17"/>
      <c r="VC36" s="17"/>
      <c r="VD36" s="17"/>
      <c r="VE36" s="17"/>
      <c r="VF36" s="17"/>
      <c r="VG36" s="17"/>
      <c r="VH36" s="17"/>
      <c r="VI36" s="17"/>
      <c r="VJ36" s="17"/>
      <c r="VK36" s="17"/>
      <c r="VL36" s="17"/>
      <c r="VM36" s="17"/>
      <c r="VN36" s="17"/>
      <c r="VO36" s="17"/>
      <c r="VP36" s="17"/>
      <c r="VQ36" s="17"/>
      <c r="VR36" s="17"/>
      <c r="VS36" s="17"/>
      <c r="VT36" s="17"/>
      <c r="VU36" s="17"/>
      <c r="VV36" s="17"/>
      <c r="VW36" s="17"/>
      <c r="VX36" s="17"/>
      <c r="VY36" s="17"/>
      <c r="VZ36" s="17"/>
      <c r="WA36" s="17"/>
      <c r="WB36" s="17"/>
      <c r="WC36" s="17"/>
      <c r="WD36" s="17"/>
      <c r="WE36" s="17"/>
      <c r="WF36" s="17"/>
      <c r="WG36" s="17"/>
      <c r="WH36" s="17"/>
      <c r="WI36" s="17"/>
      <c r="WJ36" s="17"/>
      <c r="WK36" s="17"/>
      <c r="WL36" s="17"/>
      <c r="WM36" s="17"/>
      <c r="WN36" s="17"/>
      <c r="WO36" s="17"/>
      <c r="WP36" s="17"/>
      <c r="WQ36" s="17"/>
      <c r="WR36" s="17"/>
      <c r="WS36" s="17"/>
      <c r="WT36" s="17"/>
      <c r="WU36" s="17"/>
      <c r="WV36" s="17"/>
      <c r="WW36" s="17"/>
      <c r="WX36" s="17"/>
      <c r="WY36" s="17"/>
      <c r="WZ36" s="17"/>
      <c r="XA36" s="17"/>
      <c r="XB36" s="17"/>
      <c r="XC36" s="17"/>
      <c r="XD36" s="17"/>
      <c r="XE36" s="17"/>
      <c r="XF36" s="17"/>
      <c r="XG36" s="17"/>
      <c r="XH36" s="17"/>
      <c r="XI36" s="17"/>
      <c r="XJ36" s="17"/>
      <c r="XK36" s="17"/>
      <c r="XL36" s="17"/>
      <c r="XM36" s="17"/>
      <c r="XN36" s="17"/>
      <c r="XO36" s="17"/>
      <c r="XP36" s="17"/>
      <c r="XQ36" s="17"/>
      <c r="XR36" s="17"/>
      <c r="XS36" s="17"/>
      <c r="XT36" s="17"/>
      <c r="XU36" s="17"/>
      <c r="XV36" s="17"/>
      <c r="XW36" s="17"/>
      <c r="XX36" s="17"/>
      <c r="XY36" s="17"/>
      <c r="XZ36" s="17"/>
      <c r="YA36" s="17"/>
      <c r="YB36" s="17"/>
      <c r="YC36" s="17"/>
      <c r="YD36" s="17"/>
      <c r="YE36" s="17"/>
      <c r="YF36" s="17"/>
      <c r="YG36" s="17"/>
      <c r="YH36" s="17"/>
      <c r="YI36" s="17"/>
      <c r="YJ36" s="17"/>
      <c r="YK36" s="17"/>
      <c r="YL36" s="17"/>
      <c r="YM36" s="17"/>
      <c r="YN36" s="17"/>
      <c r="YO36" s="17"/>
      <c r="YP36" s="17"/>
      <c r="YQ36" s="17"/>
      <c r="YR36" s="17"/>
      <c r="YS36" s="17"/>
      <c r="YT36" s="17"/>
      <c r="YU36" s="17"/>
      <c r="YV36" s="17"/>
      <c r="YW36" s="17"/>
      <c r="YX36" s="17"/>
      <c r="YY36" s="17"/>
      <c r="YZ36" s="17"/>
      <c r="ZA36" s="17"/>
      <c r="ZB36" s="17"/>
      <c r="ZC36" s="17"/>
      <c r="ZD36" s="17"/>
      <c r="ZE36" s="17"/>
      <c r="ZF36" s="17"/>
      <c r="ZG36" s="17"/>
      <c r="ZH36" s="17"/>
      <c r="ZI36" s="17"/>
      <c r="ZJ36" s="17"/>
      <c r="ZK36" s="17"/>
      <c r="ZL36" s="17"/>
      <c r="ZM36" s="17"/>
      <c r="ZN36" s="17"/>
      <c r="ZO36" s="17"/>
      <c r="ZP36" s="17"/>
      <c r="ZQ36" s="17"/>
      <c r="ZR36" s="17"/>
      <c r="ZS36" s="17"/>
      <c r="ZT36" s="17"/>
      <c r="ZU36" s="17"/>
      <c r="ZV36" s="17"/>
      <c r="ZW36" s="17"/>
      <c r="ZX36" s="17"/>
      <c r="ZY36" s="17"/>
      <c r="ZZ36" s="17"/>
    </row>
    <row r="37" spans="1:702" s="33" customFormat="1" x14ac:dyDescent="0.25">
      <c r="A37" s="30" t="str">
        <f>IF(COUNTA(B37:B37)=0,"", MAX(A$2:A36)+1)</f>
        <v/>
      </c>
      <c r="C37" s="34"/>
      <c r="D37" s="63"/>
      <c r="M37" s="34"/>
      <c r="Q37" s="34"/>
      <c r="U37" s="17"/>
      <c r="V37" s="62"/>
      <c r="W37" s="97"/>
      <c r="Z37" s="30" t="str">
        <f t="shared" si="0"/>
        <v/>
      </c>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c r="EC37" s="17"/>
      <c r="ED37" s="17"/>
      <c r="EE37" s="17"/>
      <c r="EF37" s="17"/>
      <c r="EG37" s="17"/>
      <c r="EH37" s="17"/>
      <c r="EI37" s="17"/>
      <c r="EJ37" s="17"/>
      <c r="EK37" s="17"/>
      <c r="EL37" s="17"/>
      <c r="EM37" s="17"/>
      <c r="EN37" s="17"/>
      <c r="EO37" s="17"/>
      <c r="EP37" s="17"/>
      <c r="EQ37" s="17"/>
      <c r="ER37" s="17"/>
      <c r="ES37" s="17"/>
      <c r="ET37" s="17"/>
      <c r="EU37" s="17"/>
      <c r="EV37" s="17"/>
      <c r="EW37" s="17"/>
      <c r="EX37" s="17"/>
      <c r="EY37" s="17"/>
      <c r="EZ37" s="17"/>
      <c r="FA37" s="17"/>
      <c r="FB37" s="17"/>
      <c r="FC37" s="17"/>
      <c r="FD37" s="17"/>
      <c r="FE37" s="17"/>
      <c r="FF37" s="17"/>
      <c r="FG37" s="17"/>
      <c r="FH37" s="17"/>
      <c r="FI37" s="17"/>
      <c r="FJ37" s="17"/>
      <c r="FK37" s="17"/>
      <c r="FL37" s="17"/>
      <c r="FM37" s="17"/>
      <c r="FN37" s="17"/>
      <c r="FO37" s="17"/>
      <c r="FP37" s="17"/>
      <c r="FQ37" s="17"/>
      <c r="FR37" s="17"/>
      <c r="FS37" s="17"/>
      <c r="FT37" s="17"/>
      <c r="FU37" s="17"/>
      <c r="FV37" s="17"/>
      <c r="FW37" s="17"/>
      <c r="FX37" s="17"/>
      <c r="FY37" s="17"/>
      <c r="FZ37" s="17"/>
      <c r="GA37" s="17"/>
      <c r="GB37" s="17"/>
      <c r="GC37" s="17"/>
      <c r="GD37" s="17"/>
      <c r="GE37" s="17"/>
      <c r="GF37" s="17"/>
      <c r="GG37" s="17"/>
      <c r="GH37" s="17"/>
      <c r="GI37" s="17"/>
      <c r="GJ37" s="17"/>
      <c r="GK37" s="17"/>
      <c r="GL37" s="17"/>
      <c r="GM37" s="17"/>
      <c r="GN37" s="17"/>
      <c r="GO37" s="17"/>
      <c r="GP37" s="17"/>
      <c r="GQ37" s="17"/>
      <c r="GR37" s="17"/>
      <c r="GS37" s="17"/>
      <c r="GT37" s="17"/>
      <c r="GU37" s="17"/>
      <c r="GV37" s="17"/>
      <c r="GW37" s="17"/>
      <c r="GX37" s="17"/>
      <c r="GY37" s="17"/>
      <c r="GZ37" s="17"/>
      <c r="HA37" s="17"/>
      <c r="HB37" s="17"/>
      <c r="HC37" s="17"/>
      <c r="HD37" s="17"/>
      <c r="HE37" s="17"/>
      <c r="HF37" s="17"/>
      <c r="HG37" s="17"/>
      <c r="HH37" s="17"/>
      <c r="HI37" s="17"/>
      <c r="HJ37" s="17"/>
      <c r="HK37" s="17"/>
      <c r="HL37" s="17"/>
      <c r="HM37" s="17"/>
      <c r="HN37" s="17"/>
      <c r="HO37" s="17"/>
      <c r="HP37" s="17"/>
      <c r="HQ37" s="17"/>
      <c r="HR37" s="17"/>
      <c r="HS37" s="17"/>
      <c r="HT37" s="17"/>
      <c r="HU37" s="17"/>
      <c r="HV37" s="17"/>
      <c r="HW37" s="17"/>
      <c r="HX37" s="17"/>
      <c r="HY37" s="17"/>
      <c r="HZ37" s="17"/>
      <c r="IA37" s="17"/>
      <c r="IB37" s="17"/>
      <c r="IC37" s="17"/>
      <c r="ID37" s="17"/>
      <c r="IE37" s="17"/>
      <c r="IF37" s="17"/>
      <c r="IG37" s="17"/>
      <c r="IH37" s="17"/>
      <c r="II37" s="17"/>
      <c r="IJ37" s="17"/>
      <c r="IK37" s="17"/>
      <c r="IL37" s="17"/>
      <c r="IM37" s="17"/>
      <c r="IN37" s="17"/>
      <c r="IO37" s="17"/>
      <c r="IP37" s="17"/>
      <c r="IQ37" s="17"/>
      <c r="IR37" s="17"/>
      <c r="IS37" s="17"/>
      <c r="IT37" s="17"/>
      <c r="IU37" s="17"/>
      <c r="IV37" s="17"/>
      <c r="IW37" s="17"/>
      <c r="IX37" s="17"/>
      <c r="IY37" s="17"/>
      <c r="IZ37" s="17"/>
      <c r="JA37" s="17"/>
      <c r="JB37" s="17"/>
      <c r="JC37" s="17"/>
      <c r="JD37" s="17"/>
      <c r="JE37" s="17"/>
      <c r="JF37" s="17"/>
      <c r="JG37" s="17"/>
      <c r="JH37" s="17"/>
      <c r="JI37" s="17"/>
      <c r="JJ37" s="17"/>
      <c r="JK37" s="17"/>
      <c r="JL37" s="17"/>
      <c r="JM37" s="17"/>
      <c r="JN37" s="17"/>
      <c r="JO37" s="17"/>
      <c r="JP37" s="17"/>
      <c r="JQ37" s="17"/>
      <c r="JR37" s="17"/>
      <c r="JS37" s="17"/>
      <c r="JT37" s="17"/>
      <c r="JU37" s="17"/>
      <c r="JV37" s="17"/>
      <c r="JW37" s="17"/>
      <c r="JX37" s="17"/>
      <c r="JY37" s="17"/>
      <c r="JZ37" s="17"/>
      <c r="KA37" s="17"/>
      <c r="KB37" s="17"/>
      <c r="KC37" s="17"/>
      <c r="KD37" s="17"/>
      <c r="KE37" s="17"/>
      <c r="KF37" s="17"/>
      <c r="KG37" s="17"/>
      <c r="KH37" s="17"/>
      <c r="KI37" s="17"/>
      <c r="KJ37" s="17"/>
      <c r="KK37" s="17"/>
      <c r="KL37" s="17"/>
      <c r="KM37" s="17"/>
      <c r="KN37" s="17"/>
      <c r="KO37" s="17"/>
      <c r="KP37" s="17"/>
      <c r="KQ37" s="17"/>
      <c r="KR37" s="17"/>
      <c r="KS37" s="17"/>
      <c r="KT37" s="17"/>
      <c r="KU37" s="17"/>
      <c r="KV37" s="17"/>
      <c r="KW37" s="17"/>
      <c r="KX37" s="17"/>
      <c r="KY37" s="17"/>
      <c r="KZ37" s="17"/>
      <c r="LA37" s="17"/>
      <c r="LB37" s="17"/>
      <c r="LC37" s="17"/>
      <c r="LD37" s="17"/>
      <c r="LE37" s="17"/>
      <c r="LF37" s="17"/>
      <c r="LG37" s="17"/>
      <c r="LH37" s="17"/>
      <c r="LI37" s="17"/>
      <c r="LJ37" s="17"/>
      <c r="LK37" s="17"/>
      <c r="LL37" s="17"/>
      <c r="LM37" s="17"/>
      <c r="LN37" s="17"/>
      <c r="LO37" s="17"/>
      <c r="LP37" s="17"/>
      <c r="LQ37" s="17"/>
      <c r="LR37" s="17"/>
      <c r="LS37" s="17"/>
      <c r="LT37" s="17"/>
      <c r="LU37" s="17"/>
      <c r="LV37" s="17"/>
      <c r="LW37" s="17"/>
      <c r="LX37" s="17"/>
      <c r="LY37" s="17"/>
      <c r="LZ37" s="17"/>
      <c r="MA37" s="17"/>
      <c r="MB37" s="17"/>
      <c r="MC37" s="17"/>
      <c r="MD37" s="17"/>
      <c r="ME37" s="17"/>
      <c r="MF37" s="17"/>
      <c r="MG37" s="17"/>
      <c r="MH37" s="17"/>
      <c r="MI37" s="17"/>
      <c r="MJ37" s="17"/>
      <c r="MK37" s="17"/>
      <c r="ML37" s="17"/>
      <c r="MM37" s="17"/>
      <c r="MN37" s="17"/>
      <c r="MO37" s="17"/>
      <c r="MP37" s="17"/>
      <c r="MQ37" s="17"/>
      <c r="MR37" s="17"/>
      <c r="MS37" s="17"/>
      <c r="MT37" s="17"/>
      <c r="MU37" s="17"/>
      <c r="MV37" s="17"/>
      <c r="MW37" s="17"/>
      <c r="MX37" s="17"/>
      <c r="MY37" s="17"/>
      <c r="MZ37" s="17"/>
      <c r="NA37" s="17"/>
      <c r="NB37" s="17"/>
      <c r="NC37" s="17"/>
      <c r="ND37" s="17"/>
      <c r="NE37" s="17"/>
      <c r="NF37" s="17"/>
      <c r="NG37" s="17"/>
      <c r="NH37" s="17"/>
      <c r="NI37" s="17"/>
      <c r="NJ37" s="17"/>
      <c r="NK37" s="17"/>
      <c r="NL37" s="17"/>
      <c r="NM37" s="17"/>
      <c r="NN37" s="17"/>
      <c r="NO37" s="17"/>
      <c r="NP37" s="17"/>
      <c r="NQ37" s="17"/>
      <c r="NR37" s="17"/>
      <c r="NS37" s="17"/>
      <c r="NT37" s="17"/>
      <c r="NU37" s="17"/>
      <c r="NV37" s="17"/>
      <c r="NW37" s="17"/>
      <c r="NX37" s="17"/>
      <c r="NY37" s="17"/>
      <c r="NZ37" s="17"/>
      <c r="OA37" s="17"/>
      <c r="OB37" s="17"/>
      <c r="OC37" s="17"/>
      <c r="OD37" s="17"/>
      <c r="OE37" s="17"/>
      <c r="OF37" s="17"/>
      <c r="OG37" s="17"/>
      <c r="OH37" s="17"/>
      <c r="OI37" s="17"/>
      <c r="OJ37" s="17"/>
      <c r="OK37" s="17"/>
      <c r="OL37" s="17"/>
      <c r="OM37" s="17"/>
      <c r="ON37" s="17"/>
      <c r="OO37" s="17"/>
      <c r="OP37" s="17"/>
      <c r="OQ37" s="17"/>
      <c r="OR37" s="17"/>
      <c r="OS37" s="17"/>
      <c r="OT37" s="17"/>
      <c r="OU37" s="17"/>
      <c r="OV37" s="17"/>
      <c r="OW37" s="17"/>
      <c r="OX37" s="17"/>
      <c r="OY37" s="17"/>
      <c r="OZ37" s="17"/>
      <c r="PA37" s="17"/>
      <c r="PB37" s="17"/>
      <c r="PC37" s="17"/>
      <c r="PD37" s="17"/>
      <c r="PE37" s="17"/>
      <c r="PF37" s="17"/>
      <c r="PG37" s="17"/>
      <c r="PH37" s="17"/>
      <c r="PI37" s="17"/>
      <c r="PJ37" s="17"/>
      <c r="PK37" s="17"/>
      <c r="PL37" s="17"/>
      <c r="PM37" s="17"/>
      <c r="PN37" s="17"/>
      <c r="PO37" s="17"/>
      <c r="PP37" s="17"/>
      <c r="PQ37" s="17"/>
      <c r="PR37" s="17"/>
      <c r="PS37" s="17"/>
      <c r="PT37" s="17"/>
      <c r="PU37" s="17"/>
      <c r="PV37" s="17"/>
      <c r="PW37" s="17"/>
      <c r="PX37" s="17"/>
      <c r="PY37" s="17"/>
      <c r="PZ37" s="17"/>
      <c r="QA37" s="17"/>
      <c r="QB37" s="17"/>
      <c r="QC37" s="17"/>
      <c r="QD37" s="17"/>
      <c r="QE37" s="17"/>
      <c r="QF37" s="17"/>
      <c r="QG37" s="17"/>
      <c r="QH37" s="17"/>
      <c r="QI37" s="17"/>
      <c r="QJ37" s="17"/>
      <c r="QK37" s="17"/>
      <c r="QL37" s="17"/>
      <c r="QM37" s="17"/>
      <c r="QN37" s="17"/>
      <c r="QO37" s="17"/>
      <c r="QP37" s="17"/>
      <c r="QQ37" s="17"/>
      <c r="QR37" s="17"/>
      <c r="QS37" s="17"/>
      <c r="QT37" s="17"/>
      <c r="QU37" s="17"/>
      <c r="QV37" s="17"/>
      <c r="QW37" s="17"/>
      <c r="QX37" s="17"/>
      <c r="QY37" s="17"/>
      <c r="QZ37" s="17"/>
      <c r="RA37" s="17"/>
      <c r="RB37" s="17"/>
      <c r="RC37" s="17"/>
      <c r="RD37" s="17"/>
      <c r="RE37" s="17"/>
      <c r="RF37" s="17"/>
      <c r="RG37" s="17"/>
      <c r="RH37" s="17"/>
      <c r="RI37" s="17"/>
      <c r="RJ37" s="17"/>
      <c r="RK37" s="17"/>
      <c r="RL37" s="17"/>
      <c r="RM37" s="17"/>
      <c r="RN37" s="17"/>
      <c r="RO37" s="17"/>
      <c r="RP37" s="17"/>
      <c r="RQ37" s="17"/>
      <c r="RR37" s="17"/>
      <c r="RS37" s="17"/>
      <c r="RT37" s="17"/>
      <c r="RU37" s="17"/>
      <c r="RV37" s="17"/>
      <c r="RW37" s="17"/>
      <c r="RX37" s="17"/>
      <c r="RY37" s="17"/>
      <c r="RZ37" s="17"/>
      <c r="SA37" s="17"/>
      <c r="SB37" s="17"/>
      <c r="SC37" s="17"/>
      <c r="SD37" s="17"/>
      <c r="SE37" s="17"/>
      <c r="SF37" s="17"/>
      <c r="SG37" s="17"/>
      <c r="SH37" s="17"/>
      <c r="SI37" s="17"/>
      <c r="SJ37" s="17"/>
      <c r="SK37" s="17"/>
      <c r="SL37" s="17"/>
      <c r="SM37" s="17"/>
      <c r="SN37" s="17"/>
      <c r="SO37" s="17"/>
      <c r="SP37" s="17"/>
      <c r="SQ37" s="17"/>
      <c r="SR37" s="17"/>
      <c r="SS37" s="17"/>
      <c r="ST37" s="17"/>
      <c r="SU37" s="17"/>
      <c r="SV37" s="17"/>
      <c r="SW37" s="17"/>
      <c r="SX37" s="17"/>
      <c r="SY37" s="17"/>
      <c r="SZ37" s="17"/>
      <c r="TA37" s="17"/>
      <c r="TB37" s="17"/>
      <c r="TC37" s="17"/>
      <c r="TD37" s="17"/>
      <c r="TE37" s="17"/>
      <c r="TF37" s="17"/>
      <c r="TG37" s="17"/>
      <c r="TH37" s="17"/>
      <c r="TI37" s="17"/>
      <c r="TJ37" s="17"/>
      <c r="TK37" s="17"/>
      <c r="TL37" s="17"/>
      <c r="TM37" s="17"/>
      <c r="TN37" s="17"/>
      <c r="TO37" s="17"/>
      <c r="TP37" s="17"/>
      <c r="TQ37" s="17"/>
      <c r="TR37" s="17"/>
      <c r="TS37" s="17"/>
      <c r="TT37" s="17"/>
      <c r="TU37" s="17"/>
      <c r="TV37" s="17"/>
      <c r="TW37" s="17"/>
      <c r="TX37" s="17"/>
      <c r="TY37" s="17"/>
      <c r="TZ37" s="17"/>
      <c r="UA37" s="17"/>
      <c r="UB37" s="17"/>
      <c r="UC37" s="17"/>
      <c r="UD37" s="17"/>
      <c r="UE37" s="17"/>
      <c r="UF37" s="17"/>
      <c r="UG37" s="17"/>
      <c r="UH37" s="17"/>
      <c r="UI37" s="17"/>
      <c r="UJ37" s="17"/>
      <c r="UK37" s="17"/>
      <c r="UL37" s="17"/>
      <c r="UM37" s="17"/>
      <c r="UN37" s="17"/>
      <c r="UO37" s="17"/>
      <c r="UP37" s="17"/>
      <c r="UQ37" s="17"/>
      <c r="UR37" s="17"/>
      <c r="US37" s="17"/>
      <c r="UT37" s="17"/>
      <c r="UU37" s="17"/>
      <c r="UV37" s="17"/>
      <c r="UW37" s="17"/>
      <c r="UX37" s="17"/>
      <c r="UY37" s="17"/>
      <c r="UZ37" s="17"/>
      <c r="VA37" s="17"/>
      <c r="VB37" s="17"/>
      <c r="VC37" s="17"/>
      <c r="VD37" s="17"/>
      <c r="VE37" s="17"/>
      <c r="VF37" s="17"/>
      <c r="VG37" s="17"/>
      <c r="VH37" s="17"/>
      <c r="VI37" s="17"/>
      <c r="VJ37" s="17"/>
      <c r="VK37" s="17"/>
      <c r="VL37" s="17"/>
      <c r="VM37" s="17"/>
      <c r="VN37" s="17"/>
      <c r="VO37" s="17"/>
      <c r="VP37" s="17"/>
      <c r="VQ37" s="17"/>
      <c r="VR37" s="17"/>
      <c r="VS37" s="17"/>
      <c r="VT37" s="17"/>
      <c r="VU37" s="17"/>
      <c r="VV37" s="17"/>
      <c r="VW37" s="17"/>
      <c r="VX37" s="17"/>
      <c r="VY37" s="17"/>
      <c r="VZ37" s="17"/>
      <c r="WA37" s="17"/>
      <c r="WB37" s="17"/>
      <c r="WC37" s="17"/>
      <c r="WD37" s="17"/>
      <c r="WE37" s="17"/>
      <c r="WF37" s="17"/>
      <c r="WG37" s="17"/>
      <c r="WH37" s="17"/>
      <c r="WI37" s="17"/>
      <c r="WJ37" s="17"/>
      <c r="WK37" s="17"/>
      <c r="WL37" s="17"/>
      <c r="WM37" s="17"/>
      <c r="WN37" s="17"/>
      <c r="WO37" s="17"/>
      <c r="WP37" s="17"/>
      <c r="WQ37" s="17"/>
      <c r="WR37" s="17"/>
      <c r="WS37" s="17"/>
      <c r="WT37" s="17"/>
      <c r="WU37" s="17"/>
      <c r="WV37" s="17"/>
      <c r="WW37" s="17"/>
      <c r="WX37" s="17"/>
      <c r="WY37" s="17"/>
      <c r="WZ37" s="17"/>
      <c r="XA37" s="17"/>
      <c r="XB37" s="17"/>
      <c r="XC37" s="17"/>
      <c r="XD37" s="17"/>
      <c r="XE37" s="17"/>
      <c r="XF37" s="17"/>
      <c r="XG37" s="17"/>
      <c r="XH37" s="17"/>
      <c r="XI37" s="17"/>
      <c r="XJ37" s="17"/>
      <c r="XK37" s="17"/>
      <c r="XL37" s="17"/>
      <c r="XM37" s="17"/>
      <c r="XN37" s="17"/>
      <c r="XO37" s="17"/>
      <c r="XP37" s="17"/>
      <c r="XQ37" s="17"/>
      <c r="XR37" s="17"/>
      <c r="XS37" s="17"/>
      <c r="XT37" s="17"/>
      <c r="XU37" s="17"/>
      <c r="XV37" s="17"/>
      <c r="XW37" s="17"/>
      <c r="XX37" s="17"/>
      <c r="XY37" s="17"/>
      <c r="XZ37" s="17"/>
      <c r="YA37" s="17"/>
      <c r="YB37" s="17"/>
      <c r="YC37" s="17"/>
      <c r="YD37" s="17"/>
      <c r="YE37" s="17"/>
      <c r="YF37" s="17"/>
      <c r="YG37" s="17"/>
      <c r="YH37" s="17"/>
      <c r="YI37" s="17"/>
      <c r="YJ37" s="17"/>
      <c r="YK37" s="17"/>
      <c r="YL37" s="17"/>
      <c r="YM37" s="17"/>
      <c r="YN37" s="17"/>
      <c r="YO37" s="17"/>
      <c r="YP37" s="17"/>
      <c r="YQ37" s="17"/>
      <c r="YR37" s="17"/>
      <c r="YS37" s="17"/>
      <c r="YT37" s="17"/>
      <c r="YU37" s="17"/>
      <c r="YV37" s="17"/>
      <c r="YW37" s="17"/>
      <c r="YX37" s="17"/>
      <c r="YY37" s="17"/>
      <c r="YZ37" s="17"/>
      <c r="ZA37" s="17"/>
      <c r="ZB37" s="17"/>
      <c r="ZC37" s="17"/>
      <c r="ZD37" s="17"/>
      <c r="ZE37" s="17"/>
      <c r="ZF37" s="17"/>
      <c r="ZG37" s="17"/>
      <c r="ZH37" s="17"/>
      <c r="ZI37" s="17"/>
      <c r="ZJ37" s="17"/>
      <c r="ZK37" s="17"/>
      <c r="ZL37" s="17"/>
      <c r="ZM37" s="17"/>
      <c r="ZN37" s="17"/>
      <c r="ZO37" s="17"/>
      <c r="ZP37" s="17"/>
      <c r="ZQ37" s="17"/>
      <c r="ZR37" s="17"/>
      <c r="ZS37" s="17"/>
      <c r="ZT37" s="17"/>
      <c r="ZU37" s="17"/>
      <c r="ZV37" s="17"/>
      <c r="ZW37" s="17"/>
      <c r="ZX37" s="17"/>
      <c r="ZY37" s="17"/>
      <c r="ZZ37" s="17"/>
    </row>
    <row r="38" spans="1:702" s="33" customFormat="1" x14ac:dyDescent="0.25">
      <c r="A38" s="30" t="str">
        <f>IF(COUNTA(B38:B38)=0,"", MAX(A$2:A37)+1)</f>
        <v/>
      </c>
      <c r="C38" s="34"/>
      <c r="D38" s="63"/>
      <c r="M38" s="34"/>
      <c r="Q38" s="34"/>
      <c r="U38" s="17"/>
      <c r="V38" s="62"/>
      <c r="W38" s="97"/>
      <c r="Z38" s="30" t="str">
        <f t="shared" si="0"/>
        <v/>
      </c>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c r="EC38" s="17"/>
      <c r="ED38" s="17"/>
      <c r="EE38" s="17"/>
      <c r="EF38" s="17"/>
      <c r="EG38" s="17"/>
      <c r="EH38" s="17"/>
      <c r="EI38" s="17"/>
      <c r="EJ38" s="17"/>
      <c r="EK38" s="17"/>
      <c r="EL38" s="17"/>
      <c r="EM38" s="17"/>
      <c r="EN38" s="17"/>
      <c r="EO38" s="17"/>
      <c r="EP38" s="17"/>
      <c r="EQ38" s="17"/>
      <c r="ER38" s="17"/>
      <c r="ES38" s="17"/>
      <c r="ET38" s="17"/>
      <c r="EU38" s="17"/>
      <c r="EV38" s="17"/>
      <c r="EW38" s="17"/>
      <c r="EX38" s="17"/>
      <c r="EY38" s="17"/>
      <c r="EZ38" s="17"/>
      <c r="FA38" s="17"/>
      <c r="FB38" s="17"/>
      <c r="FC38" s="17"/>
      <c r="FD38" s="17"/>
      <c r="FE38" s="17"/>
      <c r="FF38" s="17"/>
      <c r="FG38" s="17"/>
      <c r="FH38" s="17"/>
      <c r="FI38" s="17"/>
      <c r="FJ38" s="17"/>
      <c r="FK38" s="17"/>
      <c r="FL38" s="17"/>
      <c r="FM38" s="17"/>
      <c r="FN38" s="17"/>
      <c r="FO38" s="17"/>
      <c r="FP38" s="17"/>
      <c r="FQ38" s="17"/>
      <c r="FR38" s="17"/>
      <c r="FS38" s="17"/>
      <c r="FT38" s="17"/>
      <c r="FU38" s="17"/>
      <c r="FV38" s="17"/>
      <c r="FW38" s="17"/>
      <c r="FX38" s="17"/>
      <c r="FY38" s="17"/>
      <c r="FZ38" s="17"/>
      <c r="GA38" s="17"/>
      <c r="GB38" s="17"/>
      <c r="GC38" s="17"/>
      <c r="GD38" s="17"/>
      <c r="GE38" s="17"/>
      <c r="GF38" s="17"/>
      <c r="GG38" s="17"/>
      <c r="GH38" s="17"/>
      <c r="GI38" s="17"/>
      <c r="GJ38" s="17"/>
      <c r="GK38" s="17"/>
      <c r="GL38" s="17"/>
      <c r="GM38" s="17"/>
      <c r="GN38" s="17"/>
      <c r="GO38" s="17"/>
      <c r="GP38" s="17"/>
      <c r="GQ38" s="17"/>
      <c r="GR38" s="17"/>
      <c r="GS38" s="17"/>
      <c r="GT38" s="17"/>
      <c r="GU38" s="17"/>
      <c r="GV38" s="17"/>
      <c r="GW38" s="17"/>
      <c r="GX38" s="17"/>
      <c r="GY38" s="17"/>
      <c r="GZ38" s="17"/>
      <c r="HA38" s="17"/>
      <c r="HB38" s="17"/>
      <c r="HC38" s="17"/>
      <c r="HD38" s="17"/>
      <c r="HE38" s="17"/>
      <c r="HF38" s="17"/>
      <c r="HG38" s="17"/>
      <c r="HH38" s="17"/>
      <c r="HI38" s="17"/>
      <c r="HJ38" s="17"/>
      <c r="HK38" s="17"/>
      <c r="HL38" s="17"/>
      <c r="HM38" s="17"/>
      <c r="HN38" s="17"/>
      <c r="HO38" s="17"/>
      <c r="HP38" s="17"/>
      <c r="HQ38" s="17"/>
      <c r="HR38" s="17"/>
      <c r="HS38" s="17"/>
      <c r="HT38" s="17"/>
      <c r="HU38" s="17"/>
      <c r="HV38" s="17"/>
      <c r="HW38" s="17"/>
      <c r="HX38" s="17"/>
      <c r="HY38" s="17"/>
      <c r="HZ38" s="17"/>
      <c r="IA38" s="17"/>
      <c r="IB38" s="17"/>
      <c r="IC38" s="17"/>
      <c r="ID38" s="17"/>
      <c r="IE38" s="17"/>
      <c r="IF38" s="17"/>
      <c r="IG38" s="17"/>
      <c r="IH38" s="17"/>
      <c r="II38" s="17"/>
      <c r="IJ38" s="17"/>
      <c r="IK38" s="17"/>
      <c r="IL38" s="17"/>
      <c r="IM38" s="17"/>
      <c r="IN38" s="17"/>
      <c r="IO38" s="17"/>
      <c r="IP38" s="17"/>
      <c r="IQ38" s="17"/>
      <c r="IR38" s="17"/>
      <c r="IS38" s="17"/>
      <c r="IT38" s="17"/>
      <c r="IU38" s="17"/>
      <c r="IV38" s="17"/>
      <c r="IW38" s="17"/>
      <c r="IX38" s="17"/>
      <c r="IY38" s="17"/>
      <c r="IZ38" s="17"/>
      <c r="JA38" s="17"/>
      <c r="JB38" s="17"/>
      <c r="JC38" s="17"/>
      <c r="JD38" s="17"/>
      <c r="JE38" s="17"/>
      <c r="JF38" s="17"/>
      <c r="JG38" s="17"/>
      <c r="JH38" s="17"/>
      <c r="JI38" s="17"/>
      <c r="JJ38" s="17"/>
      <c r="JK38" s="17"/>
      <c r="JL38" s="17"/>
      <c r="JM38" s="17"/>
      <c r="JN38" s="17"/>
      <c r="JO38" s="17"/>
      <c r="JP38" s="17"/>
      <c r="JQ38" s="17"/>
      <c r="JR38" s="17"/>
      <c r="JS38" s="17"/>
      <c r="JT38" s="17"/>
      <c r="JU38" s="17"/>
      <c r="JV38" s="17"/>
      <c r="JW38" s="17"/>
      <c r="JX38" s="17"/>
      <c r="JY38" s="17"/>
      <c r="JZ38" s="17"/>
      <c r="KA38" s="17"/>
      <c r="KB38" s="17"/>
      <c r="KC38" s="17"/>
      <c r="KD38" s="17"/>
      <c r="KE38" s="17"/>
      <c r="KF38" s="17"/>
      <c r="KG38" s="17"/>
      <c r="KH38" s="17"/>
      <c r="KI38" s="17"/>
      <c r="KJ38" s="17"/>
      <c r="KK38" s="17"/>
      <c r="KL38" s="17"/>
      <c r="KM38" s="17"/>
      <c r="KN38" s="17"/>
      <c r="KO38" s="17"/>
      <c r="KP38" s="17"/>
      <c r="KQ38" s="17"/>
      <c r="KR38" s="17"/>
      <c r="KS38" s="17"/>
      <c r="KT38" s="17"/>
      <c r="KU38" s="17"/>
      <c r="KV38" s="17"/>
      <c r="KW38" s="17"/>
      <c r="KX38" s="17"/>
      <c r="KY38" s="17"/>
      <c r="KZ38" s="17"/>
      <c r="LA38" s="17"/>
      <c r="LB38" s="17"/>
      <c r="LC38" s="17"/>
      <c r="LD38" s="17"/>
      <c r="LE38" s="17"/>
      <c r="LF38" s="17"/>
      <c r="LG38" s="17"/>
      <c r="LH38" s="17"/>
      <c r="LI38" s="17"/>
      <c r="LJ38" s="17"/>
      <c r="LK38" s="17"/>
      <c r="LL38" s="17"/>
      <c r="LM38" s="17"/>
      <c r="LN38" s="17"/>
      <c r="LO38" s="17"/>
      <c r="LP38" s="17"/>
      <c r="LQ38" s="17"/>
      <c r="LR38" s="17"/>
      <c r="LS38" s="17"/>
      <c r="LT38" s="17"/>
      <c r="LU38" s="17"/>
      <c r="LV38" s="17"/>
      <c r="LW38" s="17"/>
      <c r="LX38" s="17"/>
      <c r="LY38" s="17"/>
      <c r="LZ38" s="17"/>
      <c r="MA38" s="17"/>
      <c r="MB38" s="17"/>
      <c r="MC38" s="17"/>
      <c r="MD38" s="17"/>
      <c r="ME38" s="17"/>
      <c r="MF38" s="17"/>
      <c r="MG38" s="17"/>
      <c r="MH38" s="17"/>
      <c r="MI38" s="17"/>
      <c r="MJ38" s="17"/>
      <c r="MK38" s="17"/>
      <c r="ML38" s="17"/>
      <c r="MM38" s="17"/>
      <c r="MN38" s="17"/>
      <c r="MO38" s="17"/>
      <c r="MP38" s="17"/>
      <c r="MQ38" s="17"/>
      <c r="MR38" s="17"/>
      <c r="MS38" s="17"/>
      <c r="MT38" s="17"/>
      <c r="MU38" s="17"/>
      <c r="MV38" s="17"/>
      <c r="MW38" s="17"/>
      <c r="MX38" s="17"/>
      <c r="MY38" s="17"/>
      <c r="MZ38" s="17"/>
      <c r="NA38" s="17"/>
      <c r="NB38" s="17"/>
      <c r="NC38" s="17"/>
      <c r="ND38" s="17"/>
      <c r="NE38" s="17"/>
      <c r="NF38" s="17"/>
      <c r="NG38" s="17"/>
      <c r="NH38" s="17"/>
      <c r="NI38" s="17"/>
      <c r="NJ38" s="17"/>
      <c r="NK38" s="17"/>
      <c r="NL38" s="17"/>
      <c r="NM38" s="17"/>
      <c r="NN38" s="17"/>
      <c r="NO38" s="17"/>
      <c r="NP38" s="17"/>
      <c r="NQ38" s="17"/>
      <c r="NR38" s="17"/>
      <c r="NS38" s="17"/>
      <c r="NT38" s="17"/>
      <c r="NU38" s="17"/>
      <c r="NV38" s="17"/>
      <c r="NW38" s="17"/>
      <c r="NX38" s="17"/>
      <c r="NY38" s="17"/>
      <c r="NZ38" s="17"/>
      <c r="OA38" s="17"/>
      <c r="OB38" s="17"/>
      <c r="OC38" s="17"/>
      <c r="OD38" s="17"/>
      <c r="OE38" s="17"/>
      <c r="OF38" s="17"/>
      <c r="OG38" s="17"/>
      <c r="OH38" s="17"/>
      <c r="OI38" s="17"/>
      <c r="OJ38" s="17"/>
      <c r="OK38" s="17"/>
      <c r="OL38" s="17"/>
      <c r="OM38" s="17"/>
      <c r="ON38" s="17"/>
      <c r="OO38" s="17"/>
      <c r="OP38" s="17"/>
      <c r="OQ38" s="17"/>
      <c r="OR38" s="17"/>
      <c r="OS38" s="17"/>
      <c r="OT38" s="17"/>
      <c r="OU38" s="17"/>
      <c r="OV38" s="17"/>
      <c r="OW38" s="17"/>
      <c r="OX38" s="17"/>
      <c r="OY38" s="17"/>
      <c r="OZ38" s="17"/>
      <c r="PA38" s="17"/>
      <c r="PB38" s="17"/>
      <c r="PC38" s="17"/>
      <c r="PD38" s="17"/>
      <c r="PE38" s="17"/>
      <c r="PF38" s="17"/>
      <c r="PG38" s="17"/>
      <c r="PH38" s="17"/>
      <c r="PI38" s="17"/>
      <c r="PJ38" s="17"/>
      <c r="PK38" s="17"/>
      <c r="PL38" s="17"/>
      <c r="PM38" s="17"/>
      <c r="PN38" s="17"/>
      <c r="PO38" s="17"/>
      <c r="PP38" s="17"/>
      <c r="PQ38" s="17"/>
      <c r="PR38" s="17"/>
      <c r="PS38" s="17"/>
      <c r="PT38" s="17"/>
      <c r="PU38" s="17"/>
      <c r="PV38" s="17"/>
      <c r="PW38" s="17"/>
      <c r="PX38" s="17"/>
      <c r="PY38" s="17"/>
      <c r="PZ38" s="17"/>
      <c r="QA38" s="17"/>
      <c r="QB38" s="17"/>
      <c r="QC38" s="17"/>
      <c r="QD38" s="17"/>
      <c r="QE38" s="17"/>
      <c r="QF38" s="17"/>
      <c r="QG38" s="17"/>
      <c r="QH38" s="17"/>
      <c r="QI38" s="17"/>
      <c r="QJ38" s="17"/>
      <c r="QK38" s="17"/>
      <c r="QL38" s="17"/>
      <c r="QM38" s="17"/>
      <c r="QN38" s="17"/>
      <c r="QO38" s="17"/>
      <c r="QP38" s="17"/>
      <c r="QQ38" s="17"/>
      <c r="QR38" s="17"/>
      <c r="QS38" s="17"/>
      <c r="QT38" s="17"/>
      <c r="QU38" s="17"/>
      <c r="QV38" s="17"/>
      <c r="QW38" s="17"/>
      <c r="QX38" s="17"/>
      <c r="QY38" s="17"/>
      <c r="QZ38" s="17"/>
      <c r="RA38" s="17"/>
      <c r="RB38" s="17"/>
      <c r="RC38" s="17"/>
      <c r="RD38" s="17"/>
      <c r="RE38" s="17"/>
      <c r="RF38" s="17"/>
      <c r="RG38" s="17"/>
      <c r="RH38" s="17"/>
      <c r="RI38" s="17"/>
      <c r="RJ38" s="17"/>
      <c r="RK38" s="17"/>
      <c r="RL38" s="17"/>
      <c r="RM38" s="17"/>
      <c r="RN38" s="17"/>
      <c r="RO38" s="17"/>
      <c r="RP38" s="17"/>
      <c r="RQ38" s="17"/>
      <c r="RR38" s="17"/>
      <c r="RS38" s="17"/>
      <c r="RT38" s="17"/>
      <c r="RU38" s="17"/>
      <c r="RV38" s="17"/>
      <c r="RW38" s="17"/>
      <c r="RX38" s="17"/>
      <c r="RY38" s="17"/>
      <c r="RZ38" s="17"/>
      <c r="SA38" s="17"/>
      <c r="SB38" s="17"/>
      <c r="SC38" s="17"/>
      <c r="SD38" s="17"/>
      <c r="SE38" s="17"/>
      <c r="SF38" s="17"/>
      <c r="SG38" s="17"/>
      <c r="SH38" s="17"/>
      <c r="SI38" s="17"/>
      <c r="SJ38" s="17"/>
      <c r="SK38" s="17"/>
      <c r="SL38" s="17"/>
      <c r="SM38" s="17"/>
      <c r="SN38" s="17"/>
      <c r="SO38" s="17"/>
      <c r="SP38" s="17"/>
      <c r="SQ38" s="17"/>
      <c r="SR38" s="17"/>
      <c r="SS38" s="17"/>
      <c r="ST38" s="17"/>
      <c r="SU38" s="17"/>
      <c r="SV38" s="17"/>
      <c r="SW38" s="17"/>
      <c r="SX38" s="17"/>
      <c r="SY38" s="17"/>
      <c r="SZ38" s="17"/>
      <c r="TA38" s="17"/>
      <c r="TB38" s="17"/>
      <c r="TC38" s="17"/>
      <c r="TD38" s="17"/>
      <c r="TE38" s="17"/>
      <c r="TF38" s="17"/>
      <c r="TG38" s="17"/>
      <c r="TH38" s="17"/>
      <c r="TI38" s="17"/>
      <c r="TJ38" s="17"/>
      <c r="TK38" s="17"/>
      <c r="TL38" s="17"/>
      <c r="TM38" s="17"/>
      <c r="TN38" s="17"/>
      <c r="TO38" s="17"/>
      <c r="TP38" s="17"/>
      <c r="TQ38" s="17"/>
      <c r="TR38" s="17"/>
      <c r="TS38" s="17"/>
      <c r="TT38" s="17"/>
      <c r="TU38" s="17"/>
      <c r="TV38" s="17"/>
      <c r="TW38" s="17"/>
      <c r="TX38" s="17"/>
      <c r="TY38" s="17"/>
      <c r="TZ38" s="17"/>
      <c r="UA38" s="17"/>
      <c r="UB38" s="17"/>
      <c r="UC38" s="17"/>
      <c r="UD38" s="17"/>
      <c r="UE38" s="17"/>
      <c r="UF38" s="17"/>
      <c r="UG38" s="17"/>
      <c r="UH38" s="17"/>
      <c r="UI38" s="17"/>
      <c r="UJ38" s="17"/>
      <c r="UK38" s="17"/>
      <c r="UL38" s="17"/>
      <c r="UM38" s="17"/>
      <c r="UN38" s="17"/>
      <c r="UO38" s="17"/>
      <c r="UP38" s="17"/>
      <c r="UQ38" s="17"/>
      <c r="UR38" s="17"/>
      <c r="US38" s="17"/>
      <c r="UT38" s="17"/>
      <c r="UU38" s="17"/>
      <c r="UV38" s="17"/>
      <c r="UW38" s="17"/>
      <c r="UX38" s="17"/>
      <c r="UY38" s="17"/>
      <c r="UZ38" s="17"/>
      <c r="VA38" s="17"/>
      <c r="VB38" s="17"/>
      <c r="VC38" s="17"/>
      <c r="VD38" s="17"/>
      <c r="VE38" s="17"/>
      <c r="VF38" s="17"/>
      <c r="VG38" s="17"/>
      <c r="VH38" s="17"/>
      <c r="VI38" s="17"/>
      <c r="VJ38" s="17"/>
      <c r="VK38" s="17"/>
      <c r="VL38" s="17"/>
      <c r="VM38" s="17"/>
      <c r="VN38" s="17"/>
      <c r="VO38" s="17"/>
      <c r="VP38" s="17"/>
      <c r="VQ38" s="17"/>
      <c r="VR38" s="17"/>
      <c r="VS38" s="17"/>
      <c r="VT38" s="17"/>
      <c r="VU38" s="17"/>
      <c r="VV38" s="17"/>
      <c r="VW38" s="17"/>
      <c r="VX38" s="17"/>
      <c r="VY38" s="17"/>
      <c r="VZ38" s="17"/>
      <c r="WA38" s="17"/>
      <c r="WB38" s="17"/>
      <c r="WC38" s="17"/>
      <c r="WD38" s="17"/>
      <c r="WE38" s="17"/>
      <c r="WF38" s="17"/>
      <c r="WG38" s="17"/>
      <c r="WH38" s="17"/>
      <c r="WI38" s="17"/>
      <c r="WJ38" s="17"/>
      <c r="WK38" s="17"/>
      <c r="WL38" s="17"/>
      <c r="WM38" s="17"/>
      <c r="WN38" s="17"/>
      <c r="WO38" s="17"/>
      <c r="WP38" s="17"/>
      <c r="WQ38" s="17"/>
      <c r="WR38" s="17"/>
      <c r="WS38" s="17"/>
      <c r="WT38" s="17"/>
      <c r="WU38" s="17"/>
      <c r="WV38" s="17"/>
      <c r="WW38" s="17"/>
      <c r="WX38" s="17"/>
      <c r="WY38" s="17"/>
      <c r="WZ38" s="17"/>
      <c r="XA38" s="17"/>
      <c r="XB38" s="17"/>
      <c r="XC38" s="17"/>
      <c r="XD38" s="17"/>
      <c r="XE38" s="17"/>
      <c r="XF38" s="17"/>
      <c r="XG38" s="17"/>
      <c r="XH38" s="17"/>
      <c r="XI38" s="17"/>
      <c r="XJ38" s="17"/>
      <c r="XK38" s="17"/>
      <c r="XL38" s="17"/>
      <c r="XM38" s="17"/>
      <c r="XN38" s="17"/>
      <c r="XO38" s="17"/>
      <c r="XP38" s="17"/>
      <c r="XQ38" s="17"/>
      <c r="XR38" s="17"/>
      <c r="XS38" s="17"/>
      <c r="XT38" s="17"/>
      <c r="XU38" s="17"/>
      <c r="XV38" s="17"/>
      <c r="XW38" s="17"/>
      <c r="XX38" s="17"/>
      <c r="XY38" s="17"/>
      <c r="XZ38" s="17"/>
      <c r="YA38" s="17"/>
      <c r="YB38" s="17"/>
      <c r="YC38" s="17"/>
      <c r="YD38" s="17"/>
      <c r="YE38" s="17"/>
      <c r="YF38" s="17"/>
      <c r="YG38" s="17"/>
      <c r="YH38" s="17"/>
      <c r="YI38" s="17"/>
      <c r="YJ38" s="17"/>
      <c r="YK38" s="17"/>
      <c r="YL38" s="17"/>
      <c r="YM38" s="17"/>
      <c r="YN38" s="17"/>
      <c r="YO38" s="17"/>
      <c r="YP38" s="17"/>
      <c r="YQ38" s="17"/>
      <c r="YR38" s="17"/>
      <c r="YS38" s="17"/>
      <c r="YT38" s="17"/>
      <c r="YU38" s="17"/>
      <c r="YV38" s="17"/>
      <c r="YW38" s="17"/>
      <c r="YX38" s="17"/>
      <c r="YY38" s="17"/>
      <c r="YZ38" s="17"/>
      <c r="ZA38" s="17"/>
      <c r="ZB38" s="17"/>
      <c r="ZC38" s="17"/>
      <c r="ZD38" s="17"/>
      <c r="ZE38" s="17"/>
      <c r="ZF38" s="17"/>
      <c r="ZG38" s="17"/>
      <c r="ZH38" s="17"/>
      <c r="ZI38" s="17"/>
      <c r="ZJ38" s="17"/>
      <c r="ZK38" s="17"/>
      <c r="ZL38" s="17"/>
      <c r="ZM38" s="17"/>
      <c r="ZN38" s="17"/>
      <c r="ZO38" s="17"/>
      <c r="ZP38" s="17"/>
      <c r="ZQ38" s="17"/>
      <c r="ZR38" s="17"/>
      <c r="ZS38" s="17"/>
      <c r="ZT38" s="17"/>
      <c r="ZU38" s="17"/>
      <c r="ZV38" s="17"/>
      <c r="ZW38" s="17"/>
      <c r="ZX38" s="17"/>
      <c r="ZY38" s="17"/>
      <c r="ZZ38" s="17"/>
    </row>
    <row r="39" spans="1:702" s="33" customFormat="1" x14ac:dyDescent="0.25">
      <c r="A39" s="30" t="str">
        <f>IF(COUNTA(B39:B39)=0,"", MAX(A$2:A38)+1)</f>
        <v/>
      </c>
      <c r="C39" s="34"/>
      <c r="D39" s="63"/>
      <c r="M39" s="34"/>
      <c r="Q39" s="34"/>
      <c r="U39" s="17"/>
      <c r="V39" s="62"/>
      <c r="W39" s="97"/>
      <c r="Z39" s="30" t="str">
        <f t="shared" si="0"/>
        <v/>
      </c>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c r="EC39" s="17"/>
      <c r="ED39" s="17"/>
      <c r="EE39" s="17"/>
      <c r="EF39" s="17"/>
      <c r="EG39" s="17"/>
      <c r="EH39" s="17"/>
      <c r="EI39" s="17"/>
      <c r="EJ39" s="17"/>
      <c r="EK39" s="17"/>
      <c r="EL39" s="17"/>
      <c r="EM39" s="17"/>
      <c r="EN39" s="17"/>
      <c r="EO39" s="17"/>
      <c r="EP39" s="17"/>
      <c r="EQ39" s="17"/>
      <c r="ER39" s="17"/>
      <c r="ES39" s="17"/>
      <c r="ET39" s="17"/>
      <c r="EU39" s="17"/>
      <c r="EV39" s="17"/>
      <c r="EW39" s="17"/>
      <c r="EX39" s="17"/>
      <c r="EY39" s="17"/>
      <c r="EZ39" s="17"/>
      <c r="FA39" s="17"/>
      <c r="FB39" s="17"/>
      <c r="FC39" s="17"/>
      <c r="FD39" s="17"/>
      <c r="FE39" s="17"/>
      <c r="FF39" s="17"/>
      <c r="FG39" s="17"/>
      <c r="FH39" s="17"/>
      <c r="FI39" s="17"/>
      <c r="FJ39" s="17"/>
      <c r="FK39" s="17"/>
      <c r="FL39" s="17"/>
      <c r="FM39" s="17"/>
      <c r="FN39" s="17"/>
      <c r="FO39" s="17"/>
      <c r="FP39" s="17"/>
      <c r="FQ39" s="17"/>
      <c r="FR39" s="17"/>
      <c r="FS39" s="17"/>
      <c r="FT39" s="17"/>
      <c r="FU39" s="17"/>
      <c r="FV39" s="17"/>
      <c r="FW39" s="17"/>
      <c r="FX39" s="17"/>
      <c r="FY39" s="17"/>
      <c r="FZ39" s="17"/>
      <c r="GA39" s="17"/>
      <c r="GB39" s="17"/>
      <c r="GC39" s="17"/>
      <c r="GD39" s="17"/>
      <c r="GE39" s="17"/>
      <c r="GF39" s="17"/>
      <c r="GG39" s="17"/>
      <c r="GH39" s="17"/>
      <c r="GI39" s="17"/>
      <c r="GJ39" s="17"/>
      <c r="GK39" s="17"/>
      <c r="GL39" s="17"/>
      <c r="GM39" s="17"/>
      <c r="GN39" s="17"/>
      <c r="GO39" s="17"/>
      <c r="GP39" s="17"/>
      <c r="GQ39" s="17"/>
      <c r="GR39" s="17"/>
      <c r="GS39" s="17"/>
      <c r="GT39" s="17"/>
      <c r="GU39" s="17"/>
      <c r="GV39" s="17"/>
      <c r="GW39" s="17"/>
      <c r="GX39" s="17"/>
      <c r="GY39" s="17"/>
      <c r="GZ39" s="17"/>
      <c r="HA39" s="17"/>
      <c r="HB39" s="17"/>
      <c r="HC39" s="17"/>
      <c r="HD39" s="17"/>
      <c r="HE39" s="17"/>
      <c r="HF39" s="17"/>
      <c r="HG39" s="17"/>
      <c r="HH39" s="17"/>
      <c r="HI39" s="17"/>
      <c r="HJ39" s="17"/>
      <c r="HK39" s="17"/>
      <c r="HL39" s="17"/>
      <c r="HM39" s="17"/>
      <c r="HN39" s="17"/>
      <c r="HO39" s="17"/>
      <c r="HP39" s="17"/>
      <c r="HQ39" s="17"/>
      <c r="HR39" s="17"/>
      <c r="HS39" s="17"/>
      <c r="HT39" s="17"/>
      <c r="HU39" s="17"/>
      <c r="HV39" s="17"/>
      <c r="HW39" s="17"/>
      <c r="HX39" s="17"/>
      <c r="HY39" s="17"/>
      <c r="HZ39" s="17"/>
      <c r="IA39" s="17"/>
      <c r="IB39" s="17"/>
      <c r="IC39" s="17"/>
      <c r="ID39" s="17"/>
      <c r="IE39" s="17"/>
      <c r="IF39" s="17"/>
      <c r="IG39" s="17"/>
      <c r="IH39" s="17"/>
      <c r="II39" s="17"/>
      <c r="IJ39" s="17"/>
      <c r="IK39" s="17"/>
      <c r="IL39" s="17"/>
      <c r="IM39" s="17"/>
      <c r="IN39" s="17"/>
      <c r="IO39" s="17"/>
      <c r="IP39" s="17"/>
      <c r="IQ39" s="17"/>
      <c r="IR39" s="17"/>
      <c r="IS39" s="17"/>
      <c r="IT39" s="17"/>
      <c r="IU39" s="17"/>
      <c r="IV39" s="17"/>
      <c r="IW39" s="17"/>
      <c r="IX39" s="17"/>
      <c r="IY39" s="17"/>
      <c r="IZ39" s="17"/>
      <c r="JA39" s="17"/>
      <c r="JB39" s="17"/>
      <c r="JC39" s="17"/>
      <c r="JD39" s="17"/>
      <c r="JE39" s="17"/>
      <c r="JF39" s="17"/>
      <c r="JG39" s="17"/>
      <c r="JH39" s="17"/>
      <c r="JI39" s="17"/>
      <c r="JJ39" s="17"/>
      <c r="JK39" s="17"/>
      <c r="JL39" s="17"/>
      <c r="JM39" s="17"/>
      <c r="JN39" s="17"/>
      <c r="JO39" s="17"/>
      <c r="JP39" s="17"/>
      <c r="JQ39" s="17"/>
      <c r="JR39" s="17"/>
      <c r="JS39" s="17"/>
      <c r="JT39" s="17"/>
      <c r="JU39" s="17"/>
      <c r="JV39" s="17"/>
      <c r="JW39" s="17"/>
      <c r="JX39" s="17"/>
      <c r="JY39" s="17"/>
      <c r="JZ39" s="17"/>
      <c r="KA39" s="17"/>
      <c r="KB39" s="17"/>
      <c r="KC39" s="17"/>
      <c r="KD39" s="17"/>
      <c r="KE39" s="17"/>
      <c r="KF39" s="17"/>
      <c r="KG39" s="17"/>
      <c r="KH39" s="17"/>
      <c r="KI39" s="17"/>
      <c r="KJ39" s="17"/>
      <c r="KK39" s="17"/>
      <c r="KL39" s="17"/>
      <c r="KM39" s="17"/>
      <c r="KN39" s="17"/>
      <c r="KO39" s="17"/>
      <c r="KP39" s="17"/>
      <c r="KQ39" s="17"/>
      <c r="KR39" s="17"/>
      <c r="KS39" s="17"/>
      <c r="KT39" s="17"/>
      <c r="KU39" s="17"/>
      <c r="KV39" s="17"/>
      <c r="KW39" s="17"/>
      <c r="KX39" s="17"/>
      <c r="KY39" s="17"/>
      <c r="KZ39" s="17"/>
      <c r="LA39" s="17"/>
      <c r="LB39" s="17"/>
      <c r="LC39" s="17"/>
      <c r="LD39" s="17"/>
      <c r="LE39" s="17"/>
      <c r="LF39" s="17"/>
      <c r="LG39" s="17"/>
      <c r="LH39" s="17"/>
      <c r="LI39" s="17"/>
      <c r="LJ39" s="17"/>
      <c r="LK39" s="17"/>
      <c r="LL39" s="17"/>
      <c r="LM39" s="17"/>
      <c r="LN39" s="17"/>
      <c r="LO39" s="17"/>
      <c r="LP39" s="17"/>
      <c r="LQ39" s="17"/>
      <c r="LR39" s="17"/>
      <c r="LS39" s="17"/>
      <c r="LT39" s="17"/>
      <c r="LU39" s="17"/>
      <c r="LV39" s="17"/>
      <c r="LW39" s="17"/>
      <c r="LX39" s="17"/>
      <c r="LY39" s="17"/>
      <c r="LZ39" s="17"/>
      <c r="MA39" s="17"/>
      <c r="MB39" s="17"/>
      <c r="MC39" s="17"/>
      <c r="MD39" s="17"/>
      <c r="ME39" s="17"/>
      <c r="MF39" s="17"/>
      <c r="MG39" s="17"/>
      <c r="MH39" s="17"/>
      <c r="MI39" s="17"/>
      <c r="MJ39" s="17"/>
      <c r="MK39" s="17"/>
      <c r="ML39" s="17"/>
      <c r="MM39" s="17"/>
      <c r="MN39" s="17"/>
      <c r="MO39" s="17"/>
      <c r="MP39" s="17"/>
      <c r="MQ39" s="17"/>
      <c r="MR39" s="17"/>
      <c r="MS39" s="17"/>
      <c r="MT39" s="17"/>
      <c r="MU39" s="17"/>
      <c r="MV39" s="17"/>
      <c r="MW39" s="17"/>
      <c r="MX39" s="17"/>
      <c r="MY39" s="17"/>
      <c r="MZ39" s="17"/>
      <c r="NA39" s="17"/>
      <c r="NB39" s="17"/>
      <c r="NC39" s="17"/>
      <c r="ND39" s="17"/>
      <c r="NE39" s="17"/>
      <c r="NF39" s="17"/>
      <c r="NG39" s="17"/>
      <c r="NH39" s="17"/>
      <c r="NI39" s="17"/>
      <c r="NJ39" s="17"/>
      <c r="NK39" s="17"/>
      <c r="NL39" s="17"/>
      <c r="NM39" s="17"/>
      <c r="NN39" s="17"/>
      <c r="NO39" s="17"/>
      <c r="NP39" s="17"/>
      <c r="NQ39" s="17"/>
      <c r="NR39" s="17"/>
      <c r="NS39" s="17"/>
      <c r="NT39" s="17"/>
      <c r="NU39" s="17"/>
      <c r="NV39" s="17"/>
      <c r="NW39" s="17"/>
      <c r="NX39" s="17"/>
      <c r="NY39" s="17"/>
      <c r="NZ39" s="17"/>
      <c r="OA39" s="17"/>
      <c r="OB39" s="17"/>
      <c r="OC39" s="17"/>
      <c r="OD39" s="17"/>
      <c r="OE39" s="17"/>
      <c r="OF39" s="17"/>
      <c r="OG39" s="17"/>
      <c r="OH39" s="17"/>
      <c r="OI39" s="17"/>
      <c r="OJ39" s="17"/>
      <c r="OK39" s="17"/>
      <c r="OL39" s="17"/>
      <c r="OM39" s="17"/>
      <c r="ON39" s="17"/>
      <c r="OO39" s="17"/>
      <c r="OP39" s="17"/>
      <c r="OQ39" s="17"/>
      <c r="OR39" s="17"/>
      <c r="OS39" s="17"/>
      <c r="OT39" s="17"/>
      <c r="OU39" s="17"/>
      <c r="OV39" s="17"/>
      <c r="OW39" s="17"/>
      <c r="OX39" s="17"/>
      <c r="OY39" s="17"/>
      <c r="OZ39" s="17"/>
      <c r="PA39" s="17"/>
      <c r="PB39" s="17"/>
      <c r="PC39" s="17"/>
      <c r="PD39" s="17"/>
      <c r="PE39" s="17"/>
      <c r="PF39" s="17"/>
      <c r="PG39" s="17"/>
      <c r="PH39" s="17"/>
      <c r="PI39" s="17"/>
      <c r="PJ39" s="17"/>
      <c r="PK39" s="17"/>
      <c r="PL39" s="17"/>
      <c r="PM39" s="17"/>
      <c r="PN39" s="17"/>
      <c r="PO39" s="17"/>
      <c r="PP39" s="17"/>
      <c r="PQ39" s="17"/>
      <c r="PR39" s="17"/>
      <c r="PS39" s="17"/>
      <c r="PT39" s="17"/>
      <c r="PU39" s="17"/>
      <c r="PV39" s="17"/>
      <c r="PW39" s="17"/>
      <c r="PX39" s="17"/>
      <c r="PY39" s="17"/>
      <c r="PZ39" s="17"/>
      <c r="QA39" s="17"/>
      <c r="QB39" s="17"/>
      <c r="QC39" s="17"/>
      <c r="QD39" s="17"/>
      <c r="QE39" s="17"/>
      <c r="QF39" s="17"/>
      <c r="QG39" s="17"/>
      <c r="QH39" s="17"/>
      <c r="QI39" s="17"/>
      <c r="QJ39" s="17"/>
      <c r="QK39" s="17"/>
      <c r="QL39" s="17"/>
      <c r="QM39" s="17"/>
      <c r="QN39" s="17"/>
      <c r="QO39" s="17"/>
      <c r="QP39" s="17"/>
      <c r="QQ39" s="17"/>
      <c r="QR39" s="17"/>
      <c r="QS39" s="17"/>
      <c r="QT39" s="17"/>
      <c r="QU39" s="17"/>
      <c r="QV39" s="17"/>
      <c r="QW39" s="17"/>
      <c r="QX39" s="17"/>
      <c r="QY39" s="17"/>
      <c r="QZ39" s="17"/>
      <c r="RA39" s="17"/>
      <c r="RB39" s="17"/>
      <c r="RC39" s="17"/>
      <c r="RD39" s="17"/>
      <c r="RE39" s="17"/>
      <c r="RF39" s="17"/>
      <c r="RG39" s="17"/>
      <c r="RH39" s="17"/>
      <c r="RI39" s="17"/>
      <c r="RJ39" s="17"/>
      <c r="RK39" s="17"/>
      <c r="RL39" s="17"/>
      <c r="RM39" s="17"/>
      <c r="RN39" s="17"/>
      <c r="RO39" s="17"/>
      <c r="RP39" s="17"/>
      <c r="RQ39" s="17"/>
      <c r="RR39" s="17"/>
      <c r="RS39" s="17"/>
      <c r="RT39" s="17"/>
      <c r="RU39" s="17"/>
      <c r="RV39" s="17"/>
      <c r="RW39" s="17"/>
      <c r="RX39" s="17"/>
      <c r="RY39" s="17"/>
      <c r="RZ39" s="17"/>
      <c r="SA39" s="17"/>
      <c r="SB39" s="17"/>
      <c r="SC39" s="17"/>
      <c r="SD39" s="17"/>
      <c r="SE39" s="17"/>
      <c r="SF39" s="17"/>
      <c r="SG39" s="17"/>
      <c r="SH39" s="17"/>
      <c r="SI39" s="17"/>
      <c r="SJ39" s="17"/>
      <c r="SK39" s="17"/>
      <c r="SL39" s="17"/>
      <c r="SM39" s="17"/>
      <c r="SN39" s="17"/>
      <c r="SO39" s="17"/>
      <c r="SP39" s="17"/>
      <c r="SQ39" s="17"/>
      <c r="SR39" s="17"/>
      <c r="SS39" s="17"/>
      <c r="ST39" s="17"/>
      <c r="SU39" s="17"/>
      <c r="SV39" s="17"/>
      <c r="SW39" s="17"/>
      <c r="SX39" s="17"/>
      <c r="SY39" s="17"/>
      <c r="SZ39" s="17"/>
      <c r="TA39" s="17"/>
      <c r="TB39" s="17"/>
      <c r="TC39" s="17"/>
      <c r="TD39" s="17"/>
      <c r="TE39" s="17"/>
      <c r="TF39" s="17"/>
      <c r="TG39" s="17"/>
      <c r="TH39" s="17"/>
      <c r="TI39" s="17"/>
      <c r="TJ39" s="17"/>
      <c r="TK39" s="17"/>
      <c r="TL39" s="17"/>
      <c r="TM39" s="17"/>
      <c r="TN39" s="17"/>
      <c r="TO39" s="17"/>
      <c r="TP39" s="17"/>
      <c r="TQ39" s="17"/>
      <c r="TR39" s="17"/>
      <c r="TS39" s="17"/>
      <c r="TT39" s="17"/>
      <c r="TU39" s="17"/>
      <c r="TV39" s="17"/>
      <c r="TW39" s="17"/>
      <c r="TX39" s="17"/>
      <c r="TY39" s="17"/>
      <c r="TZ39" s="17"/>
      <c r="UA39" s="17"/>
      <c r="UB39" s="17"/>
      <c r="UC39" s="17"/>
      <c r="UD39" s="17"/>
      <c r="UE39" s="17"/>
      <c r="UF39" s="17"/>
      <c r="UG39" s="17"/>
      <c r="UH39" s="17"/>
      <c r="UI39" s="17"/>
      <c r="UJ39" s="17"/>
      <c r="UK39" s="17"/>
      <c r="UL39" s="17"/>
      <c r="UM39" s="17"/>
      <c r="UN39" s="17"/>
      <c r="UO39" s="17"/>
      <c r="UP39" s="17"/>
      <c r="UQ39" s="17"/>
      <c r="UR39" s="17"/>
      <c r="US39" s="17"/>
      <c r="UT39" s="17"/>
      <c r="UU39" s="17"/>
      <c r="UV39" s="17"/>
      <c r="UW39" s="17"/>
      <c r="UX39" s="17"/>
      <c r="UY39" s="17"/>
      <c r="UZ39" s="17"/>
      <c r="VA39" s="17"/>
      <c r="VB39" s="17"/>
      <c r="VC39" s="17"/>
      <c r="VD39" s="17"/>
      <c r="VE39" s="17"/>
      <c r="VF39" s="17"/>
      <c r="VG39" s="17"/>
      <c r="VH39" s="17"/>
      <c r="VI39" s="17"/>
      <c r="VJ39" s="17"/>
      <c r="VK39" s="17"/>
      <c r="VL39" s="17"/>
      <c r="VM39" s="17"/>
      <c r="VN39" s="17"/>
      <c r="VO39" s="17"/>
      <c r="VP39" s="17"/>
      <c r="VQ39" s="17"/>
      <c r="VR39" s="17"/>
      <c r="VS39" s="17"/>
      <c r="VT39" s="17"/>
      <c r="VU39" s="17"/>
      <c r="VV39" s="17"/>
      <c r="VW39" s="17"/>
      <c r="VX39" s="17"/>
      <c r="VY39" s="17"/>
      <c r="VZ39" s="17"/>
      <c r="WA39" s="17"/>
      <c r="WB39" s="17"/>
      <c r="WC39" s="17"/>
      <c r="WD39" s="17"/>
      <c r="WE39" s="17"/>
      <c r="WF39" s="17"/>
      <c r="WG39" s="17"/>
      <c r="WH39" s="17"/>
      <c r="WI39" s="17"/>
      <c r="WJ39" s="17"/>
      <c r="WK39" s="17"/>
      <c r="WL39" s="17"/>
      <c r="WM39" s="17"/>
      <c r="WN39" s="17"/>
      <c r="WO39" s="17"/>
      <c r="WP39" s="17"/>
      <c r="WQ39" s="17"/>
      <c r="WR39" s="17"/>
      <c r="WS39" s="17"/>
      <c r="WT39" s="17"/>
      <c r="WU39" s="17"/>
      <c r="WV39" s="17"/>
      <c r="WW39" s="17"/>
      <c r="WX39" s="17"/>
      <c r="WY39" s="17"/>
      <c r="WZ39" s="17"/>
      <c r="XA39" s="17"/>
      <c r="XB39" s="17"/>
      <c r="XC39" s="17"/>
      <c r="XD39" s="17"/>
      <c r="XE39" s="17"/>
      <c r="XF39" s="17"/>
      <c r="XG39" s="17"/>
      <c r="XH39" s="17"/>
      <c r="XI39" s="17"/>
      <c r="XJ39" s="17"/>
      <c r="XK39" s="17"/>
      <c r="XL39" s="17"/>
      <c r="XM39" s="17"/>
      <c r="XN39" s="17"/>
      <c r="XO39" s="17"/>
      <c r="XP39" s="17"/>
      <c r="XQ39" s="17"/>
      <c r="XR39" s="17"/>
      <c r="XS39" s="17"/>
      <c r="XT39" s="17"/>
      <c r="XU39" s="17"/>
      <c r="XV39" s="17"/>
      <c r="XW39" s="17"/>
      <c r="XX39" s="17"/>
      <c r="XY39" s="17"/>
      <c r="XZ39" s="17"/>
      <c r="YA39" s="17"/>
      <c r="YB39" s="17"/>
      <c r="YC39" s="17"/>
      <c r="YD39" s="17"/>
      <c r="YE39" s="17"/>
      <c r="YF39" s="17"/>
      <c r="YG39" s="17"/>
      <c r="YH39" s="17"/>
      <c r="YI39" s="17"/>
      <c r="YJ39" s="17"/>
      <c r="YK39" s="17"/>
      <c r="YL39" s="17"/>
      <c r="YM39" s="17"/>
      <c r="YN39" s="17"/>
      <c r="YO39" s="17"/>
      <c r="YP39" s="17"/>
      <c r="YQ39" s="17"/>
      <c r="YR39" s="17"/>
      <c r="YS39" s="17"/>
      <c r="YT39" s="17"/>
      <c r="YU39" s="17"/>
      <c r="YV39" s="17"/>
      <c r="YW39" s="17"/>
      <c r="YX39" s="17"/>
      <c r="YY39" s="17"/>
      <c r="YZ39" s="17"/>
      <c r="ZA39" s="17"/>
      <c r="ZB39" s="17"/>
      <c r="ZC39" s="17"/>
      <c r="ZD39" s="17"/>
      <c r="ZE39" s="17"/>
      <c r="ZF39" s="17"/>
      <c r="ZG39" s="17"/>
      <c r="ZH39" s="17"/>
      <c r="ZI39" s="17"/>
      <c r="ZJ39" s="17"/>
      <c r="ZK39" s="17"/>
      <c r="ZL39" s="17"/>
      <c r="ZM39" s="17"/>
      <c r="ZN39" s="17"/>
      <c r="ZO39" s="17"/>
      <c r="ZP39" s="17"/>
      <c r="ZQ39" s="17"/>
      <c r="ZR39" s="17"/>
      <c r="ZS39" s="17"/>
      <c r="ZT39" s="17"/>
      <c r="ZU39" s="17"/>
      <c r="ZV39" s="17"/>
      <c r="ZW39" s="17"/>
      <c r="ZX39" s="17"/>
      <c r="ZY39" s="17"/>
      <c r="ZZ39" s="17"/>
    </row>
    <row r="40" spans="1:702" s="33" customFormat="1" x14ac:dyDescent="0.25">
      <c r="A40" s="30" t="str">
        <f>IF(COUNTA(B40:B40)=0,"", MAX(A$2:A39)+1)</f>
        <v/>
      </c>
      <c r="C40" s="34"/>
      <c r="D40" s="63"/>
      <c r="M40" s="34"/>
      <c r="Q40" s="34"/>
      <c r="U40" s="17"/>
      <c r="V40" s="62"/>
      <c r="W40" s="97"/>
      <c r="Z40" s="30" t="str">
        <f t="shared" si="0"/>
        <v/>
      </c>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c r="EC40" s="17"/>
      <c r="ED40" s="17"/>
      <c r="EE40" s="17"/>
      <c r="EF40" s="17"/>
      <c r="EG40" s="17"/>
      <c r="EH40" s="17"/>
      <c r="EI40" s="17"/>
      <c r="EJ40" s="17"/>
      <c r="EK40" s="17"/>
      <c r="EL40" s="17"/>
      <c r="EM40" s="17"/>
      <c r="EN40" s="17"/>
      <c r="EO40" s="17"/>
      <c r="EP40" s="17"/>
      <c r="EQ40" s="17"/>
      <c r="ER40" s="17"/>
      <c r="ES40" s="17"/>
      <c r="ET40" s="17"/>
      <c r="EU40" s="17"/>
      <c r="EV40" s="17"/>
      <c r="EW40" s="17"/>
      <c r="EX40" s="17"/>
      <c r="EY40" s="17"/>
      <c r="EZ40" s="17"/>
      <c r="FA40" s="17"/>
      <c r="FB40" s="17"/>
      <c r="FC40" s="17"/>
      <c r="FD40" s="17"/>
      <c r="FE40" s="17"/>
      <c r="FF40" s="17"/>
      <c r="FG40" s="17"/>
      <c r="FH40" s="17"/>
      <c r="FI40" s="17"/>
      <c r="FJ40" s="17"/>
      <c r="FK40" s="17"/>
      <c r="FL40" s="17"/>
      <c r="FM40" s="17"/>
      <c r="FN40" s="17"/>
      <c r="FO40" s="17"/>
      <c r="FP40" s="17"/>
      <c r="FQ40" s="17"/>
      <c r="FR40" s="17"/>
      <c r="FS40" s="17"/>
      <c r="FT40" s="17"/>
      <c r="FU40" s="17"/>
      <c r="FV40" s="17"/>
      <c r="FW40" s="17"/>
      <c r="FX40" s="17"/>
      <c r="FY40" s="17"/>
      <c r="FZ40" s="17"/>
      <c r="GA40" s="17"/>
      <c r="GB40" s="17"/>
      <c r="GC40" s="17"/>
      <c r="GD40" s="17"/>
      <c r="GE40" s="17"/>
      <c r="GF40" s="17"/>
      <c r="GG40" s="17"/>
      <c r="GH40" s="17"/>
      <c r="GI40" s="17"/>
      <c r="GJ40" s="17"/>
      <c r="GK40" s="17"/>
      <c r="GL40" s="17"/>
      <c r="GM40" s="17"/>
      <c r="GN40" s="17"/>
      <c r="GO40" s="17"/>
      <c r="GP40" s="17"/>
      <c r="GQ40" s="17"/>
      <c r="GR40" s="17"/>
      <c r="GS40" s="17"/>
      <c r="GT40" s="17"/>
      <c r="GU40" s="17"/>
      <c r="GV40" s="17"/>
      <c r="GW40" s="17"/>
      <c r="GX40" s="17"/>
      <c r="GY40" s="17"/>
      <c r="GZ40" s="17"/>
      <c r="HA40" s="17"/>
      <c r="HB40" s="17"/>
      <c r="HC40" s="17"/>
      <c r="HD40" s="17"/>
      <c r="HE40" s="17"/>
      <c r="HF40" s="17"/>
      <c r="HG40" s="17"/>
      <c r="HH40" s="17"/>
      <c r="HI40" s="17"/>
      <c r="HJ40" s="17"/>
      <c r="HK40" s="17"/>
      <c r="HL40" s="17"/>
      <c r="HM40" s="17"/>
      <c r="HN40" s="17"/>
      <c r="HO40" s="17"/>
      <c r="HP40" s="17"/>
      <c r="HQ40" s="17"/>
      <c r="HR40" s="17"/>
      <c r="HS40" s="17"/>
      <c r="HT40" s="17"/>
      <c r="HU40" s="17"/>
      <c r="HV40" s="17"/>
      <c r="HW40" s="17"/>
      <c r="HX40" s="17"/>
      <c r="HY40" s="17"/>
      <c r="HZ40" s="17"/>
      <c r="IA40" s="17"/>
      <c r="IB40" s="17"/>
      <c r="IC40" s="17"/>
      <c r="ID40" s="17"/>
      <c r="IE40" s="17"/>
      <c r="IF40" s="17"/>
      <c r="IG40" s="17"/>
      <c r="IH40" s="17"/>
      <c r="II40" s="17"/>
      <c r="IJ40" s="17"/>
      <c r="IK40" s="17"/>
      <c r="IL40" s="17"/>
      <c r="IM40" s="17"/>
      <c r="IN40" s="17"/>
      <c r="IO40" s="17"/>
      <c r="IP40" s="17"/>
      <c r="IQ40" s="17"/>
      <c r="IR40" s="17"/>
      <c r="IS40" s="17"/>
      <c r="IT40" s="17"/>
      <c r="IU40" s="17"/>
      <c r="IV40" s="17"/>
      <c r="IW40" s="17"/>
      <c r="IX40" s="17"/>
      <c r="IY40" s="17"/>
      <c r="IZ40" s="17"/>
      <c r="JA40" s="17"/>
      <c r="JB40" s="17"/>
      <c r="JC40" s="17"/>
      <c r="JD40" s="17"/>
      <c r="JE40" s="17"/>
      <c r="JF40" s="17"/>
      <c r="JG40" s="17"/>
      <c r="JH40" s="17"/>
      <c r="JI40" s="17"/>
      <c r="JJ40" s="17"/>
      <c r="JK40" s="17"/>
      <c r="JL40" s="17"/>
      <c r="JM40" s="17"/>
      <c r="JN40" s="17"/>
      <c r="JO40" s="17"/>
      <c r="JP40" s="17"/>
      <c r="JQ40" s="17"/>
      <c r="JR40" s="17"/>
      <c r="JS40" s="17"/>
      <c r="JT40" s="17"/>
      <c r="JU40" s="17"/>
      <c r="JV40" s="17"/>
      <c r="JW40" s="17"/>
      <c r="JX40" s="17"/>
      <c r="JY40" s="17"/>
      <c r="JZ40" s="17"/>
      <c r="KA40" s="17"/>
      <c r="KB40" s="17"/>
      <c r="KC40" s="17"/>
      <c r="KD40" s="17"/>
      <c r="KE40" s="17"/>
      <c r="KF40" s="17"/>
      <c r="KG40" s="17"/>
      <c r="KH40" s="17"/>
      <c r="KI40" s="17"/>
      <c r="KJ40" s="17"/>
      <c r="KK40" s="17"/>
      <c r="KL40" s="17"/>
      <c r="KM40" s="17"/>
      <c r="KN40" s="17"/>
      <c r="KO40" s="17"/>
      <c r="KP40" s="17"/>
      <c r="KQ40" s="17"/>
      <c r="KR40" s="17"/>
      <c r="KS40" s="17"/>
      <c r="KT40" s="17"/>
      <c r="KU40" s="17"/>
      <c r="KV40" s="17"/>
      <c r="KW40" s="17"/>
      <c r="KX40" s="17"/>
      <c r="KY40" s="17"/>
      <c r="KZ40" s="17"/>
      <c r="LA40" s="17"/>
      <c r="LB40" s="17"/>
      <c r="LC40" s="17"/>
      <c r="LD40" s="17"/>
      <c r="LE40" s="17"/>
      <c r="LF40" s="17"/>
      <c r="LG40" s="17"/>
      <c r="LH40" s="17"/>
      <c r="LI40" s="17"/>
      <c r="LJ40" s="17"/>
      <c r="LK40" s="17"/>
      <c r="LL40" s="17"/>
      <c r="LM40" s="17"/>
      <c r="LN40" s="17"/>
      <c r="LO40" s="17"/>
      <c r="LP40" s="17"/>
      <c r="LQ40" s="17"/>
      <c r="LR40" s="17"/>
      <c r="LS40" s="17"/>
      <c r="LT40" s="17"/>
      <c r="LU40" s="17"/>
      <c r="LV40" s="17"/>
      <c r="LW40" s="17"/>
      <c r="LX40" s="17"/>
      <c r="LY40" s="17"/>
      <c r="LZ40" s="17"/>
      <c r="MA40" s="17"/>
      <c r="MB40" s="17"/>
      <c r="MC40" s="17"/>
      <c r="MD40" s="17"/>
      <c r="ME40" s="17"/>
      <c r="MF40" s="17"/>
      <c r="MG40" s="17"/>
      <c r="MH40" s="17"/>
      <c r="MI40" s="17"/>
      <c r="MJ40" s="17"/>
      <c r="MK40" s="17"/>
      <c r="ML40" s="17"/>
      <c r="MM40" s="17"/>
      <c r="MN40" s="17"/>
      <c r="MO40" s="17"/>
      <c r="MP40" s="17"/>
      <c r="MQ40" s="17"/>
      <c r="MR40" s="17"/>
      <c r="MS40" s="17"/>
      <c r="MT40" s="17"/>
      <c r="MU40" s="17"/>
      <c r="MV40" s="17"/>
      <c r="MW40" s="17"/>
      <c r="MX40" s="17"/>
      <c r="MY40" s="17"/>
      <c r="MZ40" s="17"/>
      <c r="NA40" s="17"/>
      <c r="NB40" s="17"/>
      <c r="NC40" s="17"/>
      <c r="ND40" s="17"/>
      <c r="NE40" s="17"/>
      <c r="NF40" s="17"/>
      <c r="NG40" s="17"/>
      <c r="NH40" s="17"/>
      <c r="NI40" s="17"/>
      <c r="NJ40" s="17"/>
      <c r="NK40" s="17"/>
      <c r="NL40" s="17"/>
      <c r="NM40" s="17"/>
      <c r="NN40" s="17"/>
      <c r="NO40" s="17"/>
      <c r="NP40" s="17"/>
      <c r="NQ40" s="17"/>
      <c r="NR40" s="17"/>
      <c r="NS40" s="17"/>
      <c r="NT40" s="17"/>
      <c r="NU40" s="17"/>
      <c r="NV40" s="17"/>
      <c r="NW40" s="17"/>
      <c r="NX40" s="17"/>
      <c r="NY40" s="17"/>
      <c r="NZ40" s="17"/>
      <c r="OA40" s="17"/>
      <c r="OB40" s="17"/>
      <c r="OC40" s="17"/>
      <c r="OD40" s="17"/>
      <c r="OE40" s="17"/>
      <c r="OF40" s="17"/>
      <c r="OG40" s="17"/>
      <c r="OH40" s="17"/>
      <c r="OI40" s="17"/>
      <c r="OJ40" s="17"/>
      <c r="OK40" s="17"/>
      <c r="OL40" s="17"/>
      <c r="OM40" s="17"/>
      <c r="ON40" s="17"/>
      <c r="OO40" s="17"/>
      <c r="OP40" s="17"/>
      <c r="OQ40" s="17"/>
      <c r="OR40" s="17"/>
      <c r="OS40" s="17"/>
      <c r="OT40" s="17"/>
      <c r="OU40" s="17"/>
      <c r="OV40" s="17"/>
      <c r="OW40" s="17"/>
      <c r="OX40" s="17"/>
      <c r="OY40" s="17"/>
      <c r="OZ40" s="17"/>
      <c r="PA40" s="17"/>
      <c r="PB40" s="17"/>
      <c r="PC40" s="17"/>
      <c r="PD40" s="17"/>
      <c r="PE40" s="17"/>
      <c r="PF40" s="17"/>
      <c r="PG40" s="17"/>
      <c r="PH40" s="17"/>
      <c r="PI40" s="17"/>
      <c r="PJ40" s="17"/>
      <c r="PK40" s="17"/>
      <c r="PL40" s="17"/>
      <c r="PM40" s="17"/>
      <c r="PN40" s="17"/>
      <c r="PO40" s="17"/>
      <c r="PP40" s="17"/>
      <c r="PQ40" s="17"/>
      <c r="PR40" s="17"/>
      <c r="PS40" s="17"/>
      <c r="PT40" s="17"/>
      <c r="PU40" s="17"/>
      <c r="PV40" s="17"/>
      <c r="PW40" s="17"/>
      <c r="PX40" s="17"/>
      <c r="PY40" s="17"/>
      <c r="PZ40" s="17"/>
      <c r="QA40" s="17"/>
      <c r="QB40" s="17"/>
      <c r="QC40" s="17"/>
      <c r="QD40" s="17"/>
      <c r="QE40" s="17"/>
      <c r="QF40" s="17"/>
      <c r="QG40" s="17"/>
      <c r="QH40" s="17"/>
      <c r="QI40" s="17"/>
      <c r="QJ40" s="17"/>
      <c r="QK40" s="17"/>
      <c r="QL40" s="17"/>
      <c r="QM40" s="17"/>
      <c r="QN40" s="17"/>
      <c r="QO40" s="17"/>
      <c r="QP40" s="17"/>
      <c r="QQ40" s="17"/>
      <c r="QR40" s="17"/>
      <c r="QS40" s="17"/>
      <c r="QT40" s="17"/>
      <c r="QU40" s="17"/>
      <c r="QV40" s="17"/>
      <c r="QW40" s="17"/>
      <c r="QX40" s="17"/>
      <c r="QY40" s="17"/>
      <c r="QZ40" s="17"/>
      <c r="RA40" s="17"/>
      <c r="RB40" s="17"/>
      <c r="RC40" s="17"/>
      <c r="RD40" s="17"/>
      <c r="RE40" s="17"/>
      <c r="RF40" s="17"/>
      <c r="RG40" s="17"/>
      <c r="RH40" s="17"/>
      <c r="RI40" s="17"/>
      <c r="RJ40" s="17"/>
      <c r="RK40" s="17"/>
      <c r="RL40" s="17"/>
      <c r="RM40" s="17"/>
      <c r="RN40" s="17"/>
      <c r="RO40" s="17"/>
      <c r="RP40" s="17"/>
      <c r="RQ40" s="17"/>
      <c r="RR40" s="17"/>
      <c r="RS40" s="17"/>
      <c r="RT40" s="17"/>
      <c r="RU40" s="17"/>
      <c r="RV40" s="17"/>
      <c r="RW40" s="17"/>
      <c r="RX40" s="17"/>
      <c r="RY40" s="17"/>
      <c r="RZ40" s="17"/>
      <c r="SA40" s="17"/>
      <c r="SB40" s="17"/>
      <c r="SC40" s="17"/>
      <c r="SD40" s="17"/>
      <c r="SE40" s="17"/>
      <c r="SF40" s="17"/>
      <c r="SG40" s="17"/>
      <c r="SH40" s="17"/>
      <c r="SI40" s="17"/>
      <c r="SJ40" s="17"/>
      <c r="SK40" s="17"/>
      <c r="SL40" s="17"/>
      <c r="SM40" s="17"/>
      <c r="SN40" s="17"/>
      <c r="SO40" s="17"/>
      <c r="SP40" s="17"/>
      <c r="SQ40" s="17"/>
      <c r="SR40" s="17"/>
      <c r="SS40" s="17"/>
      <c r="ST40" s="17"/>
      <c r="SU40" s="17"/>
      <c r="SV40" s="17"/>
      <c r="SW40" s="17"/>
      <c r="SX40" s="17"/>
      <c r="SY40" s="17"/>
      <c r="SZ40" s="17"/>
      <c r="TA40" s="17"/>
      <c r="TB40" s="17"/>
      <c r="TC40" s="17"/>
      <c r="TD40" s="17"/>
      <c r="TE40" s="17"/>
      <c r="TF40" s="17"/>
      <c r="TG40" s="17"/>
      <c r="TH40" s="17"/>
      <c r="TI40" s="17"/>
      <c r="TJ40" s="17"/>
      <c r="TK40" s="17"/>
      <c r="TL40" s="17"/>
      <c r="TM40" s="17"/>
      <c r="TN40" s="17"/>
      <c r="TO40" s="17"/>
      <c r="TP40" s="17"/>
      <c r="TQ40" s="17"/>
      <c r="TR40" s="17"/>
      <c r="TS40" s="17"/>
      <c r="TT40" s="17"/>
      <c r="TU40" s="17"/>
      <c r="TV40" s="17"/>
      <c r="TW40" s="17"/>
      <c r="TX40" s="17"/>
      <c r="TY40" s="17"/>
      <c r="TZ40" s="17"/>
      <c r="UA40" s="17"/>
      <c r="UB40" s="17"/>
      <c r="UC40" s="17"/>
      <c r="UD40" s="17"/>
      <c r="UE40" s="17"/>
      <c r="UF40" s="17"/>
      <c r="UG40" s="17"/>
      <c r="UH40" s="17"/>
      <c r="UI40" s="17"/>
      <c r="UJ40" s="17"/>
      <c r="UK40" s="17"/>
      <c r="UL40" s="17"/>
      <c r="UM40" s="17"/>
      <c r="UN40" s="17"/>
      <c r="UO40" s="17"/>
      <c r="UP40" s="17"/>
      <c r="UQ40" s="17"/>
      <c r="UR40" s="17"/>
      <c r="US40" s="17"/>
      <c r="UT40" s="17"/>
      <c r="UU40" s="17"/>
      <c r="UV40" s="17"/>
      <c r="UW40" s="17"/>
      <c r="UX40" s="17"/>
      <c r="UY40" s="17"/>
      <c r="UZ40" s="17"/>
      <c r="VA40" s="17"/>
      <c r="VB40" s="17"/>
      <c r="VC40" s="17"/>
      <c r="VD40" s="17"/>
      <c r="VE40" s="17"/>
      <c r="VF40" s="17"/>
      <c r="VG40" s="17"/>
      <c r="VH40" s="17"/>
      <c r="VI40" s="17"/>
      <c r="VJ40" s="17"/>
      <c r="VK40" s="17"/>
      <c r="VL40" s="17"/>
      <c r="VM40" s="17"/>
      <c r="VN40" s="17"/>
      <c r="VO40" s="17"/>
      <c r="VP40" s="17"/>
      <c r="VQ40" s="17"/>
      <c r="VR40" s="17"/>
      <c r="VS40" s="17"/>
      <c r="VT40" s="17"/>
      <c r="VU40" s="17"/>
      <c r="VV40" s="17"/>
      <c r="VW40" s="17"/>
      <c r="VX40" s="17"/>
      <c r="VY40" s="17"/>
      <c r="VZ40" s="17"/>
      <c r="WA40" s="17"/>
      <c r="WB40" s="17"/>
      <c r="WC40" s="17"/>
      <c r="WD40" s="17"/>
      <c r="WE40" s="17"/>
      <c r="WF40" s="17"/>
      <c r="WG40" s="17"/>
      <c r="WH40" s="17"/>
      <c r="WI40" s="17"/>
      <c r="WJ40" s="17"/>
      <c r="WK40" s="17"/>
      <c r="WL40" s="17"/>
      <c r="WM40" s="17"/>
      <c r="WN40" s="17"/>
      <c r="WO40" s="17"/>
      <c r="WP40" s="17"/>
      <c r="WQ40" s="17"/>
      <c r="WR40" s="17"/>
      <c r="WS40" s="17"/>
      <c r="WT40" s="17"/>
      <c r="WU40" s="17"/>
      <c r="WV40" s="17"/>
      <c r="WW40" s="17"/>
      <c r="WX40" s="17"/>
      <c r="WY40" s="17"/>
      <c r="WZ40" s="17"/>
      <c r="XA40" s="17"/>
      <c r="XB40" s="17"/>
      <c r="XC40" s="17"/>
      <c r="XD40" s="17"/>
      <c r="XE40" s="17"/>
      <c r="XF40" s="17"/>
      <c r="XG40" s="17"/>
      <c r="XH40" s="17"/>
      <c r="XI40" s="17"/>
      <c r="XJ40" s="17"/>
      <c r="XK40" s="17"/>
      <c r="XL40" s="17"/>
      <c r="XM40" s="17"/>
      <c r="XN40" s="17"/>
      <c r="XO40" s="17"/>
      <c r="XP40" s="17"/>
      <c r="XQ40" s="17"/>
      <c r="XR40" s="17"/>
      <c r="XS40" s="17"/>
      <c r="XT40" s="17"/>
      <c r="XU40" s="17"/>
      <c r="XV40" s="17"/>
      <c r="XW40" s="17"/>
      <c r="XX40" s="17"/>
      <c r="XY40" s="17"/>
      <c r="XZ40" s="17"/>
      <c r="YA40" s="17"/>
      <c r="YB40" s="17"/>
      <c r="YC40" s="17"/>
      <c r="YD40" s="17"/>
      <c r="YE40" s="17"/>
      <c r="YF40" s="17"/>
      <c r="YG40" s="17"/>
      <c r="YH40" s="17"/>
      <c r="YI40" s="17"/>
      <c r="YJ40" s="17"/>
      <c r="YK40" s="17"/>
      <c r="YL40" s="17"/>
      <c r="YM40" s="17"/>
      <c r="YN40" s="17"/>
      <c r="YO40" s="17"/>
      <c r="YP40" s="17"/>
      <c r="YQ40" s="17"/>
      <c r="YR40" s="17"/>
      <c r="YS40" s="17"/>
      <c r="YT40" s="17"/>
      <c r="YU40" s="17"/>
      <c r="YV40" s="17"/>
      <c r="YW40" s="17"/>
      <c r="YX40" s="17"/>
      <c r="YY40" s="17"/>
      <c r="YZ40" s="17"/>
      <c r="ZA40" s="17"/>
      <c r="ZB40" s="17"/>
      <c r="ZC40" s="17"/>
      <c r="ZD40" s="17"/>
      <c r="ZE40" s="17"/>
      <c r="ZF40" s="17"/>
      <c r="ZG40" s="17"/>
      <c r="ZH40" s="17"/>
      <c r="ZI40" s="17"/>
      <c r="ZJ40" s="17"/>
      <c r="ZK40" s="17"/>
      <c r="ZL40" s="17"/>
      <c r="ZM40" s="17"/>
      <c r="ZN40" s="17"/>
      <c r="ZO40" s="17"/>
      <c r="ZP40" s="17"/>
      <c r="ZQ40" s="17"/>
      <c r="ZR40" s="17"/>
      <c r="ZS40" s="17"/>
      <c r="ZT40" s="17"/>
      <c r="ZU40" s="17"/>
      <c r="ZV40" s="17"/>
      <c r="ZW40" s="17"/>
      <c r="ZX40" s="17"/>
      <c r="ZY40" s="17"/>
      <c r="ZZ40" s="17"/>
    </row>
    <row r="41" spans="1:702" s="33" customFormat="1" x14ac:dyDescent="0.25">
      <c r="A41" s="30" t="str">
        <f>IF(COUNTA(B41:B41)=0,"", MAX(A$2:A40)+1)</f>
        <v/>
      </c>
      <c r="C41" s="34"/>
      <c r="D41" s="63"/>
      <c r="M41" s="34"/>
      <c r="Q41" s="34"/>
      <c r="U41" s="17"/>
      <c r="V41" s="62"/>
      <c r="W41" s="97"/>
      <c r="Z41" s="30" t="str">
        <f t="shared" si="0"/>
        <v/>
      </c>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c r="EC41" s="17"/>
      <c r="ED41" s="17"/>
      <c r="EE41" s="17"/>
      <c r="EF41" s="17"/>
      <c r="EG41" s="17"/>
      <c r="EH41" s="17"/>
      <c r="EI41" s="17"/>
      <c r="EJ41" s="17"/>
      <c r="EK41" s="17"/>
      <c r="EL41" s="17"/>
      <c r="EM41" s="17"/>
      <c r="EN41" s="17"/>
      <c r="EO41" s="17"/>
      <c r="EP41" s="17"/>
      <c r="EQ41" s="17"/>
      <c r="ER41" s="17"/>
      <c r="ES41" s="17"/>
      <c r="ET41" s="17"/>
      <c r="EU41" s="17"/>
      <c r="EV41" s="17"/>
      <c r="EW41" s="17"/>
      <c r="EX41" s="17"/>
      <c r="EY41" s="17"/>
      <c r="EZ41" s="17"/>
      <c r="FA41" s="17"/>
      <c r="FB41" s="17"/>
      <c r="FC41" s="17"/>
      <c r="FD41" s="17"/>
      <c r="FE41" s="17"/>
      <c r="FF41" s="17"/>
      <c r="FG41" s="17"/>
      <c r="FH41" s="17"/>
      <c r="FI41" s="17"/>
      <c r="FJ41" s="17"/>
      <c r="FK41" s="17"/>
      <c r="FL41" s="17"/>
      <c r="FM41" s="17"/>
      <c r="FN41" s="17"/>
      <c r="FO41" s="17"/>
      <c r="FP41" s="17"/>
      <c r="FQ41" s="17"/>
      <c r="FR41" s="17"/>
      <c r="FS41" s="17"/>
      <c r="FT41" s="17"/>
      <c r="FU41" s="17"/>
      <c r="FV41" s="17"/>
      <c r="FW41" s="17"/>
      <c r="FX41" s="17"/>
      <c r="FY41" s="17"/>
      <c r="FZ41" s="17"/>
      <c r="GA41" s="17"/>
      <c r="GB41" s="17"/>
      <c r="GC41" s="17"/>
      <c r="GD41" s="17"/>
      <c r="GE41" s="17"/>
      <c r="GF41" s="17"/>
      <c r="GG41" s="17"/>
      <c r="GH41" s="17"/>
      <c r="GI41" s="17"/>
      <c r="GJ41" s="17"/>
      <c r="GK41" s="17"/>
      <c r="GL41" s="17"/>
      <c r="GM41" s="17"/>
      <c r="GN41" s="17"/>
      <c r="GO41" s="17"/>
      <c r="GP41" s="17"/>
      <c r="GQ41" s="17"/>
      <c r="GR41" s="17"/>
      <c r="GS41" s="17"/>
      <c r="GT41" s="17"/>
      <c r="GU41" s="17"/>
      <c r="GV41" s="17"/>
      <c r="GW41" s="17"/>
      <c r="GX41" s="17"/>
      <c r="GY41" s="17"/>
      <c r="GZ41" s="17"/>
      <c r="HA41" s="17"/>
      <c r="HB41" s="17"/>
      <c r="HC41" s="17"/>
      <c r="HD41" s="17"/>
      <c r="HE41" s="17"/>
      <c r="HF41" s="17"/>
      <c r="HG41" s="17"/>
      <c r="HH41" s="17"/>
      <c r="HI41" s="17"/>
      <c r="HJ41" s="17"/>
      <c r="HK41" s="17"/>
      <c r="HL41" s="17"/>
      <c r="HM41" s="17"/>
      <c r="HN41" s="17"/>
      <c r="HO41" s="17"/>
      <c r="HP41" s="17"/>
      <c r="HQ41" s="17"/>
      <c r="HR41" s="17"/>
      <c r="HS41" s="17"/>
      <c r="HT41" s="17"/>
      <c r="HU41" s="17"/>
      <c r="HV41" s="17"/>
      <c r="HW41" s="17"/>
      <c r="HX41" s="17"/>
      <c r="HY41" s="17"/>
      <c r="HZ41" s="17"/>
      <c r="IA41" s="17"/>
      <c r="IB41" s="17"/>
      <c r="IC41" s="17"/>
      <c r="ID41" s="17"/>
      <c r="IE41" s="17"/>
      <c r="IF41" s="17"/>
      <c r="IG41" s="17"/>
      <c r="IH41" s="17"/>
      <c r="II41" s="17"/>
      <c r="IJ41" s="17"/>
      <c r="IK41" s="17"/>
      <c r="IL41" s="17"/>
      <c r="IM41" s="17"/>
      <c r="IN41" s="17"/>
      <c r="IO41" s="17"/>
      <c r="IP41" s="17"/>
      <c r="IQ41" s="17"/>
      <c r="IR41" s="17"/>
      <c r="IS41" s="17"/>
      <c r="IT41" s="17"/>
      <c r="IU41" s="17"/>
      <c r="IV41" s="17"/>
      <c r="IW41" s="17"/>
      <c r="IX41" s="17"/>
      <c r="IY41" s="17"/>
      <c r="IZ41" s="17"/>
      <c r="JA41" s="17"/>
      <c r="JB41" s="17"/>
      <c r="JC41" s="17"/>
      <c r="JD41" s="17"/>
      <c r="JE41" s="17"/>
      <c r="JF41" s="17"/>
      <c r="JG41" s="17"/>
      <c r="JH41" s="17"/>
      <c r="JI41" s="17"/>
      <c r="JJ41" s="17"/>
      <c r="JK41" s="17"/>
      <c r="JL41" s="17"/>
      <c r="JM41" s="17"/>
      <c r="JN41" s="17"/>
      <c r="JO41" s="17"/>
      <c r="JP41" s="17"/>
      <c r="JQ41" s="17"/>
      <c r="JR41" s="17"/>
      <c r="JS41" s="17"/>
      <c r="JT41" s="17"/>
      <c r="JU41" s="17"/>
      <c r="JV41" s="17"/>
      <c r="JW41" s="17"/>
      <c r="JX41" s="17"/>
      <c r="JY41" s="17"/>
      <c r="JZ41" s="17"/>
      <c r="KA41" s="17"/>
      <c r="KB41" s="17"/>
      <c r="KC41" s="17"/>
      <c r="KD41" s="17"/>
      <c r="KE41" s="17"/>
      <c r="KF41" s="17"/>
      <c r="KG41" s="17"/>
      <c r="KH41" s="17"/>
      <c r="KI41" s="17"/>
      <c r="KJ41" s="17"/>
      <c r="KK41" s="17"/>
      <c r="KL41" s="17"/>
      <c r="KM41" s="17"/>
      <c r="KN41" s="17"/>
      <c r="KO41" s="17"/>
      <c r="KP41" s="17"/>
      <c r="KQ41" s="17"/>
      <c r="KR41" s="17"/>
      <c r="KS41" s="17"/>
      <c r="KT41" s="17"/>
      <c r="KU41" s="17"/>
      <c r="KV41" s="17"/>
      <c r="KW41" s="17"/>
      <c r="KX41" s="17"/>
      <c r="KY41" s="17"/>
      <c r="KZ41" s="17"/>
      <c r="LA41" s="17"/>
      <c r="LB41" s="17"/>
      <c r="LC41" s="17"/>
      <c r="LD41" s="17"/>
      <c r="LE41" s="17"/>
      <c r="LF41" s="17"/>
      <c r="LG41" s="17"/>
      <c r="LH41" s="17"/>
      <c r="LI41" s="17"/>
      <c r="LJ41" s="17"/>
      <c r="LK41" s="17"/>
      <c r="LL41" s="17"/>
      <c r="LM41" s="17"/>
      <c r="LN41" s="17"/>
      <c r="LO41" s="17"/>
      <c r="LP41" s="17"/>
      <c r="LQ41" s="17"/>
      <c r="LR41" s="17"/>
      <c r="LS41" s="17"/>
      <c r="LT41" s="17"/>
      <c r="LU41" s="17"/>
      <c r="LV41" s="17"/>
      <c r="LW41" s="17"/>
      <c r="LX41" s="17"/>
      <c r="LY41" s="17"/>
      <c r="LZ41" s="17"/>
      <c r="MA41" s="17"/>
      <c r="MB41" s="17"/>
      <c r="MC41" s="17"/>
      <c r="MD41" s="17"/>
      <c r="ME41" s="17"/>
      <c r="MF41" s="17"/>
      <c r="MG41" s="17"/>
      <c r="MH41" s="17"/>
      <c r="MI41" s="17"/>
      <c r="MJ41" s="17"/>
      <c r="MK41" s="17"/>
      <c r="ML41" s="17"/>
      <c r="MM41" s="17"/>
      <c r="MN41" s="17"/>
      <c r="MO41" s="17"/>
      <c r="MP41" s="17"/>
      <c r="MQ41" s="17"/>
      <c r="MR41" s="17"/>
      <c r="MS41" s="17"/>
      <c r="MT41" s="17"/>
      <c r="MU41" s="17"/>
      <c r="MV41" s="17"/>
      <c r="MW41" s="17"/>
      <c r="MX41" s="17"/>
      <c r="MY41" s="17"/>
      <c r="MZ41" s="17"/>
      <c r="NA41" s="17"/>
      <c r="NB41" s="17"/>
      <c r="NC41" s="17"/>
      <c r="ND41" s="17"/>
      <c r="NE41" s="17"/>
      <c r="NF41" s="17"/>
      <c r="NG41" s="17"/>
      <c r="NH41" s="17"/>
      <c r="NI41" s="17"/>
      <c r="NJ41" s="17"/>
      <c r="NK41" s="17"/>
      <c r="NL41" s="17"/>
      <c r="NM41" s="17"/>
      <c r="NN41" s="17"/>
      <c r="NO41" s="17"/>
      <c r="NP41" s="17"/>
      <c r="NQ41" s="17"/>
      <c r="NR41" s="17"/>
      <c r="NS41" s="17"/>
      <c r="NT41" s="17"/>
      <c r="NU41" s="17"/>
      <c r="NV41" s="17"/>
      <c r="NW41" s="17"/>
      <c r="NX41" s="17"/>
      <c r="NY41" s="17"/>
      <c r="NZ41" s="17"/>
      <c r="OA41" s="17"/>
      <c r="OB41" s="17"/>
      <c r="OC41" s="17"/>
      <c r="OD41" s="17"/>
      <c r="OE41" s="17"/>
      <c r="OF41" s="17"/>
      <c r="OG41" s="17"/>
      <c r="OH41" s="17"/>
      <c r="OI41" s="17"/>
      <c r="OJ41" s="17"/>
      <c r="OK41" s="17"/>
      <c r="OL41" s="17"/>
      <c r="OM41" s="17"/>
      <c r="ON41" s="17"/>
      <c r="OO41" s="17"/>
      <c r="OP41" s="17"/>
      <c r="OQ41" s="17"/>
      <c r="OR41" s="17"/>
      <c r="OS41" s="17"/>
      <c r="OT41" s="17"/>
      <c r="OU41" s="17"/>
      <c r="OV41" s="17"/>
      <c r="OW41" s="17"/>
      <c r="OX41" s="17"/>
      <c r="OY41" s="17"/>
      <c r="OZ41" s="17"/>
      <c r="PA41" s="17"/>
      <c r="PB41" s="17"/>
      <c r="PC41" s="17"/>
      <c r="PD41" s="17"/>
      <c r="PE41" s="17"/>
      <c r="PF41" s="17"/>
      <c r="PG41" s="17"/>
      <c r="PH41" s="17"/>
      <c r="PI41" s="17"/>
      <c r="PJ41" s="17"/>
      <c r="PK41" s="17"/>
      <c r="PL41" s="17"/>
      <c r="PM41" s="17"/>
      <c r="PN41" s="17"/>
      <c r="PO41" s="17"/>
      <c r="PP41" s="17"/>
      <c r="PQ41" s="17"/>
      <c r="PR41" s="17"/>
      <c r="PS41" s="17"/>
      <c r="PT41" s="17"/>
      <c r="PU41" s="17"/>
      <c r="PV41" s="17"/>
      <c r="PW41" s="17"/>
      <c r="PX41" s="17"/>
      <c r="PY41" s="17"/>
      <c r="PZ41" s="17"/>
      <c r="QA41" s="17"/>
      <c r="QB41" s="17"/>
      <c r="QC41" s="17"/>
      <c r="QD41" s="17"/>
      <c r="QE41" s="17"/>
      <c r="QF41" s="17"/>
      <c r="QG41" s="17"/>
      <c r="QH41" s="17"/>
      <c r="QI41" s="17"/>
      <c r="QJ41" s="17"/>
      <c r="QK41" s="17"/>
      <c r="QL41" s="17"/>
      <c r="QM41" s="17"/>
      <c r="QN41" s="17"/>
      <c r="QO41" s="17"/>
      <c r="QP41" s="17"/>
      <c r="QQ41" s="17"/>
      <c r="QR41" s="17"/>
      <c r="QS41" s="17"/>
      <c r="QT41" s="17"/>
      <c r="QU41" s="17"/>
      <c r="QV41" s="17"/>
      <c r="QW41" s="17"/>
      <c r="QX41" s="17"/>
      <c r="QY41" s="17"/>
      <c r="QZ41" s="17"/>
      <c r="RA41" s="17"/>
      <c r="RB41" s="17"/>
      <c r="RC41" s="17"/>
      <c r="RD41" s="17"/>
      <c r="RE41" s="17"/>
      <c r="RF41" s="17"/>
      <c r="RG41" s="17"/>
      <c r="RH41" s="17"/>
      <c r="RI41" s="17"/>
      <c r="RJ41" s="17"/>
      <c r="RK41" s="17"/>
      <c r="RL41" s="17"/>
      <c r="RM41" s="17"/>
      <c r="RN41" s="17"/>
      <c r="RO41" s="17"/>
      <c r="RP41" s="17"/>
      <c r="RQ41" s="17"/>
      <c r="RR41" s="17"/>
      <c r="RS41" s="17"/>
      <c r="RT41" s="17"/>
      <c r="RU41" s="17"/>
      <c r="RV41" s="17"/>
      <c r="RW41" s="17"/>
      <c r="RX41" s="17"/>
      <c r="RY41" s="17"/>
      <c r="RZ41" s="17"/>
      <c r="SA41" s="17"/>
      <c r="SB41" s="17"/>
      <c r="SC41" s="17"/>
      <c r="SD41" s="17"/>
      <c r="SE41" s="17"/>
      <c r="SF41" s="17"/>
      <c r="SG41" s="17"/>
      <c r="SH41" s="17"/>
      <c r="SI41" s="17"/>
      <c r="SJ41" s="17"/>
      <c r="SK41" s="17"/>
      <c r="SL41" s="17"/>
      <c r="SM41" s="17"/>
      <c r="SN41" s="17"/>
      <c r="SO41" s="17"/>
      <c r="SP41" s="17"/>
      <c r="SQ41" s="17"/>
      <c r="SR41" s="17"/>
      <c r="SS41" s="17"/>
      <c r="ST41" s="17"/>
      <c r="SU41" s="17"/>
      <c r="SV41" s="17"/>
      <c r="SW41" s="17"/>
      <c r="SX41" s="17"/>
      <c r="SY41" s="17"/>
      <c r="SZ41" s="17"/>
      <c r="TA41" s="17"/>
      <c r="TB41" s="17"/>
      <c r="TC41" s="17"/>
      <c r="TD41" s="17"/>
      <c r="TE41" s="17"/>
      <c r="TF41" s="17"/>
      <c r="TG41" s="17"/>
      <c r="TH41" s="17"/>
      <c r="TI41" s="17"/>
      <c r="TJ41" s="17"/>
      <c r="TK41" s="17"/>
      <c r="TL41" s="17"/>
      <c r="TM41" s="17"/>
      <c r="TN41" s="17"/>
      <c r="TO41" s="17"/>
      <c r="TP41" s="17"/>
      <c r="TQ41" s="17"/>
      <c r="TR41" s="17"/>
      <c r="TS41" s="17"/>
      <c r="TT41" s="17"/>
      <c r="TU41" s="17"/>
      <c r="TV41" s="17"/>
      <c r="TW41" s="17"/>
      <c r="TX41" s="17"/>
      <c r="TY41" s="17"/>
      <c r="TZ41" s="17"/>
      <c r="UA41" s="17"/>
      <c r="UB41" s="17"/>
      <c r="UC41" s="17"/>
      <c r="UD41" s="17"/>
      <c r="UE41" s="17"/>
      <c r="UF41" s="17"/>
      <c r="UG41" s="17"/>
      <c r="UH41" s="17"/>
      <c r="UI41" s="17"/>
      <c r="UJ41" s="17"/>
      <c r="UK41" s="17"/>
      <c r="UL41" s="17"/>
      <c r="UM41" s="17"/>
      <c r="UN41" s="17"/>
      <c r="UO41" s="17"/>
      <c r="UP41" s="17"/>
      <c r="UQ41" s="17"/>
      <c r="UR41" s="17"/>
      <c r="US41" s="17"/>
      <c r="UT41" s="17"/>
      <c r="UU41" s="17"/>
      <c r="UV41" s="17"/>
      <c r="UW41" s="17"/>
      <c r="UX41" s="17"/>
      <c r="UY41" s="17"/>
      <c r="UZ41" s="17"/>
      <c r="VA41" s="17"/>
      <c r="VB41" s="17"/>
      <c r="VC41" s="17"/>
      <c r="VD41" s="17"/>
      <c r="VE41" s="17"/>
      <c r="VF41" s="17"/>
      <c r="VG41" s="17"/>
      <c r="VH41" s="17"/>
      <c r="VI41" s="17"/>
      <c r="VJ41" s="17"/>
      <c r="VK41" s="17"/>
      <c r="VL41" s="17"/>
      <c r="VM41" s="17"/>
      <c r="VN41" s="17"/>
      <c r="VO41" s="17"/>
      <c r="VP41" s="17"/>
      <c r="VQ41" s="17"/>
      <c r="VR41" s="17"/>
      <c r="VS41" s="17"/>
      <c r="VT41" s="17"/>
      <c r="VU41" s="17"/>
      <c r="VV41" s="17"/>
      <c r="VW41" s="17"/>
      <c r="VX41" s="17"/>
      <c r="VY41" s="17"/>
      <c r="VZ41" s="17"/>
      <c r="WA41" s="17"/>
      <c r="WB41" s="17"/>
      <c r="WC41" s="17"/>
      <c r="WD41" s="17"/>
      <c r="WE41" s="17"/>
      <c r="WF41" s="17"/>
      <c r="WG41" s="17"/>
      <c r="WH41" s="17"/>
      <c r="WI41" s="17"/>
      <c r="WJ41" s="17"/>
      <c r="WK41" s="17"/>
      <c r="WL41" s="17"/>
      <c r="WM41" s="17"/>
      <c r="WN41" s="17"/>
      <c r="WO41" s="17"/>
      <c r="WP41" s="17"/>
      <c r="WQ41" s="17"/>
      <c r="WR41" s="17"/>
      <c r="WS41" s="17"/>
      <c r="WT41" s="17"/>
      <c r="WU41" s="17"/>
      <c r="WV41" s="17"/>
      <c r="WW41" s="17"/>
      <c r="WX41" s="17"/>
      <c r="WY41" s="17"/>
      <c r="WZ41" s="17"/>
      <c r="XA41" s="17"/>
      <c r="XB41" s="17"/>
      <c r="XC41" s="17"/>
      <c r="XD41" s="17"/>
      <c r="XE41" s="17"/>
      <c r="XF41" s="17"/>
      <c r="XG41" s="17"/>
      <c r="XH41" s="17"/>
      <c r="XI41" s="17"/>
      <c r="XJ41" s="17"/>
      <c r="XK41" s="17"/>
      <c r="XL41" s="17"/>
      <c r="XM41" s="17"/>
      <c r="XN41" s="17"/>
      <c r="XO41" s="17"/>
      <c r="XP41" s="17"/>
      <c r="XQ41" s="17"/>
      <c r="XR41" s="17"/>
      <c r="XS41" s="17"/>
      <c r="XT41" s="17"/>
      <c r="XU41" s="17"/>
      <c r="XV41" s="17"/>
      <c r="XW41" s="17"/>
      <c r="XX41" s="17"/>
      <c r="XY41" s="17"/>
      <c r="XZ41" s="17"/>
      <c r="YA41" s="17"/>
      <c r="YB41" s="17"/>
      <c r="YC41" s="17"/>
      <c r="YD41" s="17"/>
      <c r="YE41" s="17"/>
      <c r="YF41" s="17"/>
      <c r="YG41" s="17"/>
      <c r="YH41" s="17"/>
      <c r="YI41" s="17"/>
      <c r="YJ41" s="17"/>
      <c r="YK41" s="17"/>
      <c r="YL41" s="17"/>
      <c r="YM41" s="17"/>
      <c r="YN41" s="17"/>
      <c r="YO41" s="17"/>
      <c r="YP41" s="17"/>
      <c r="YQ41" s="17"/>
      <c r="YR41" s="17"/>
      <c r="YS41" s="17"/>
      <c r="YT41" s="17"/>
      <c r="YU41" s="17"/>
      <c r="YV41" s="17"/>
      <c r="YW41" s="17"/>
      <c r="YX41" s="17"/>
      <c r="YY41" s="17"/>
      <c r="YZ41" s="17"/>
      <c r="ZA41" s="17"/>
      <c r="ZB41" s="17"/>
      <c r="ZC41" s="17"/>
      <c r="ZD41" s="17"/>
      <c r="ZE41" s="17"/>
      <c r="ZF41" s="17"/>
      <c r="ZG41" s="17"/>
      <c r="ZH41" s="17"/>
      <c r="ZI41" s="17"/>
      <c r="ZJ41" s="17"/>
      <c r="ZK41" s="17"/>
      <c r="ZL41" s="17"/>
      <c r="ZM41" s="17"/>
      <c r="ZN41" s="17"/>
      <c r="ZO41" s="17"/>
      <c r="ZP41" s="17"/>
      <c r="ZQ41" s="17"/>
      <c r="ZR41" s="17"/>
      <c r="ZS41" s="17"/>
      <c r="ZT41" s="17"/>
      <c r="ZU41" s="17"/>
      <c r="ZV41" s="17"/>
      <c r="ZW41" s="17"/>
      <c r="ZX41" s="17"/>
      <c r="ZY41" s="17"/>
      <c r="ZZ41" s="17"/>
    </row>
    <row r="42" spans="1:702" s="33" customFormat="1" x14ac:dyDescent="0.25">
      <c r="A42" s="30" t="str">
        <f>IF(COUNTA(B42:B42)=0,"", MAX(A$2:A41)+1)</f>
        <v/>
      </c>
      <c r="C42" s="34"/>
      <c r="D42" s="63"/>
      <c r="M42" s="34"/>
      <c r="Q42" s="34"/>
      <c r="U42" s="17"/>
      <c r="V42" s="62"/>
      <c r="W42" s="97"/>
      <c r="Z42" s="30" t="str">
        <f t="shared" si="0"/>
        <v/>
      </c>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c r="IB42" s="17"/>
      <c r="IC42" s="17"/>
      <c r="ID42" s="17"/>
      <c r="IE42" s="17"/>
      <c r="IF42" s="17"/>
      <c r="IG42" s="17"/>
      <c r="IH42" s="17"/>
      <c r="II42" s="17"/>
      <c r="IJ42" s="17"/>
      <c r="IK42" s="17"/>
      <c r="IL42" s="17"/>
      <c r="IM42" s="17"/>
      <c r="IN42" s="17"/>
      <c r="IO42" s="17"/>
      <c r="IP42" s="17"/>
      <c r="IQ42" s="17"/>
      <c r="IR42" s="17"/>
      <c r="IS42" s="17"/>
      <c r="IT42" s="17"/>
      <c r="IU42" s="17"/>
      <c r="IV42" s="17"/>
      <c r="IW42" s="17"/>
      <c r="IX42" s="17"/>
      <c r="IY42" s="17"/>
      <c r="IZ42" s="17"/>
      <c r="JA42" s="17"/>
      <c r="JB42" s="17"/>
      <c r="JC42" s="17"/>
      <c r="JD42" s="17"/>
      <c r="JE42" s="17"/>
      <c r="JF42" s="17"/>
      <c r="JG42" s="17"/>
      <c r="JH42" s="17"/>
      <c r="JI42" s="17"/>
      <c r="JJ42" s="17"/>
      <c r="JK42" s="17"/>
      <c r="JL42" s="17"/>
      <c r="JM42" s="17"/>
      <c r="JN42" s="17"/>
      <c r="JO42" s="17"/>
      <c r="JP42" s="17"/>
      <c r="JQ42" s="17"/>
      <c r="JR42" s="17"/>
      <c r="JS42" s="17"/>
      <c r="JT42" s="17"/>
      <c r="JU42" s="17"/>
      <c r="JV42" s="17"/>
      <c r="JW42" s="17"/>
      <c r="JX42" s="17"/>
      <c r="JY42" s="17"/>
      <c r="JZ42" s="17"/>
      <c r="KA42" s="17"/>
      <c r="KB42" s="17"/>
      <c r="KC42" s="17"/>
      <c r="KD42" s="17"/>
      <c r="KE42" s="17"/>
      <c r="KF42" s="17"/>
      <c r="KG42" s="17"/>
      <c r="KH42" s="17"/>
      <c r="KI42" s="17"/>
      <c r="KJ42" s="17"/>
      <c r="KK42" s="17"/>
      <c r="KL42" s="17"/>
      <c r="KM42" s="17"/>
      <c r="KN42" s="17"/>
      <c r="KO42" s="17"/>
      <c r="KP42" s="17"/>
      <c r="KQ42" s="17"/>
      <c r="KR42" s="17"/>
      <c r="KS42" s="17"/>
      <c r="KT42" s="17"/>
      <c r="KU42" s="17"/>
      <c r="KV42" s="17"/>
      <c r="KW42" s="17"/>
      <c r="KX42" s="17"/>
      <c r="KY42" s="17"/>
      <c r="KZ42" s="17"/>
      <c r="LA42" s="17"/>
      <c r="LB42" s="17"/>
      <c r="LC42" s="17"/>
      <c r="LD42" s="17"/>
      <c r="LE42" s="17"/>
      <c r="LF42" s="17"/>
      <c r="LG42" s="17"/>
      <c r="LH42" s="17"/>
      <c r="LI42" s="17"/>
      <c r="LJ42" s="17"/>
      <c r="LK42" s="17"/>
      <c r="LL42" s="17"/>
      <c r="LM42" s="17"/>
      <c r="LN42" s="17"/>
      <c r="LO42" s="17"/>
      <c r="LP42" s="17"/>
      <c r="LQ42" s="17"/>
      <c r="LR42" s="17"/>
      <c r="LS42" s="17"/>
      <c r="LT42" s="17"/>
      <c r="LU42" s="17"/>
      <c r="LV42" s="17"/>
      <c r="LW42" s="17"/>
      <c r="LX42" s="17"/>
      <c r="LY42" s="17"/>
      <c r="LZ42" s="17"/>
      <c r="MA42" s="17"/>
      <c r="MB42" s="17"/>
      <c r="MC42" s="17"/>
      <c r="MD42" s="17"/>
      <c r="ME42" s="17"/>
      <c r="MF42" s="17"/>
      <c r="MG42" s="17"/>
      <c r="MH42" s="17"/>
      <c r="MI42" s="17"/>
      <c r="MJ42" s="17"/>
      <c r="MK42" s="17"/>
      <c r="ML42" s="17"/>
      <c r="MM42" s="17"/>
      <c r="MN42" s="17"/>
      <c r="MO42" s="17"/>
      <c r="MP42" s="17"/>
      <c r="MQ42" s="17"/>
      <c r="MR42" s="17"/>
      <c r="MS42" s="17"/>
      <c r="MT42" s="17"/>
      <c r="MU42" s="17"/>
      <c r="MV42" s="17"/>
      <c r="MW42" s="17"/>
      <c r="MX42" s="17"/>
      <c r="MY42" s="17"/>
      <c r="MZ42" s="17"/>
      <c r="NA42" s="17"/>
      <c r="NB42" s="17"/>
      <c r="NC42" s="17"/>
      <c r="ND42" s="17"/>
      <c r="NE42" s="17"/>
      <c r="NF42" s="17"/>
      <c r="NG42" s="17"/>
      <c r="NH42" s="17"/>
      <c r="NI42" s="17"/>
      <c r="NJ42" s="17"/>
      <c r="NK42" s="17"/>
      <c r="NL42" s="17"/>
      <c r="NM42" s="17"/>
      <c r="NN42" s="17"/>
      <c r="NO42" s="17"/>
      <c r="NP42" s="17"/>
      <c r="NQ42" s="17"/>
      <c r="NR42" s="17"/>
      <c r="NS42" s="17"/>
      <c r="NT42" s="17"/>
      <c r="NU42" s="17"/>
      <c r="NV42" s="17"/>
      <c r="NW42" s="17"/>
      <c r="NX42" s="17"/>
      <c r="NY42" s="17"/>
      <c r="NZ42" s="17"/>
      <c r="OA42" s="17"/>
      <c r="OB42" s="17"/>
      <c r="OC42" s="17"/>
      <c r="OD42" s="17"/>
      <c r="OE42" s="17"/>
      <c r="OF42" s="17"/>
      <c r="OG42" s="17"/>
      <c r="OH42" s="17"/>
      <c r="OI42" s="17"/>
      <c r="OJ42" s="17"/>
      <c r="OK42" s="17"/>
      <c r="OL42" s="17"/>
      <c r="OM42" s="17"/>
      <c r="ON42" s="17"/>
      <c r="OO42" s="17"/>
      <c r="OP42" s="17"/>
      <c r="OQ42" s="17"/>
      <c r="OR42" s="17"/>
      <c r="OS42" s="17"/>
      <c r="OT42" s="17"/>
      <c r="OU42" s="17"/>
      <c r="OV42" s="17"/>
      <c r="OW42" s="17"/>
      <c r="OX42" s="17"/>
      <c r="OY42" s="17"/>
      <c r="OZ42" s="17"/>
      <c r="PA42" s="17"/>
      <c r="PB42" s="17"/>
      <c r="PC42" s="17"/>
      <c r="PD42" s="17"/>
      <c r="PE42" s="17"/>
      <c r="PF42" s="17"/>
      <c r="PG42" s="17"/>
      <c r="PH42" s="17"/>
      <c r="PI42" s="17"/>
      <c r="PJ42" s="17"/>
      <c r="PK42" s="17"/>
      <c r="PL42" s="17"/>
      <c r="PM42" s="17"/>
      <c r="PN42" s="17"/>
      <c r="PO42" s="17"/>
      <c r="PP42" s="17"/>
      <c r="PQ42" s="17"/>
      <c r="PR42" s="17"/>
      <c r="PS42" s="17"/>
      <c r="PT42" s="17"/>
      <c r="PU42" s="17"/>
      <c r="PV42" s="17"/>
      <c r="PW42" s="17"/>
      <c r="PX42" s="17"/>
      <c r="PY42" s="17"/>
      <c r="PZ42" s="17"/>
      <c r="QA42" s="17"/>
      <c r="QB42" s="17"/>
      <c r="QC42" s="17"/>
      <c r="QD42" s="17"/>
      <c r="QE42" s="17"/>
      <c r="QF42" s="17"/>
      <c r="QG42" s="17"/>
      <c r="QH42" s="17"/>
      <c r="QI42" s="17"/>
      <c r="QJ42" s="17"/>
      <c r="QK42" s="17"/>
      <c r="QL42" s="17"/>
      <c r="QM42" s="17"/>
      <c r="QN42" s="17"/>
      <c r="QO42" s="17"/>
      <c r="QP42" s="17"/>
      <c r="QQ42" s="17"/>
      <c r="QR42" s="17"/>
      <c r="QS42" s="17"/>
      <c r="QT42" s="17"/>
      <c r="QU42" s="17"/>
      <c r="QV42" s="17"/>
      <c r="QW42" s="17"/>
      <c r="QX42" s="17"/>
      <c r="QY42" s="17"/>
      <c r="QZ42" s="17"/>
      <c r="RA42" s="17"/>
      <c r="RB42" s="17"/>
      <c r="RC42" s="17"/>
      <c r="RD42" s="17"/>
      <c r="RE42" s="17"/>
      <c r="RF42" s="17"/>
      <c r="RG42" s="17"/>
      <c r="RH42" s="17"/>
      <c r="RI42" s="17"/>
      <c r="RJ42" s="17"/>
      <c r="RK42" s="17"/>
      <c r="RL42" s="17"/>
      <c r="RM42" s="17"/>
      <c r="RN42" s="17"/>
      <c r="RO42" s="17"/>
      <c r="RP42" s="17"/>
      <c r="RQ42" s="17"/>
      <c r="RR42" s="17"/>
      <c r="RS42" s="17"/>
      <c r="RT42" s="17"/>
      <c r="RU42" s="17"/>
      <c r="RV42" s="17"/>
      <c r="RW42" s="17"/>
      <c r="RX42" s="17"/>
      <c r="RY42" s="17"/>
      <c r="RZ42" s="17"/>
      <c r="SA42" s="17"/>
      <c r="SB42" s="17"/>
      <c r="SC42" s="17"/>
      <c r="SD42" s="17"/>
      <c r="SE42" s="17"/>
      <c r="SF42" s="17"/>
      <c r="SG42" s="17"/>
      <c r="SH42" s="17"/>
      <c r="SI42" s="17"/>
      <c r="SJ42" s="17"/>
      <c r="SK42" s="17"/>
      <c r="SL42" s="17"/>
      <c r="SM42" s="17"/>
      <c r="SN42" s="17"/>
      <c r="SO42" s="17"/>
      <c r="SP42" s="17"/>
      <c r="SQ42" s="17"/>
      <c r="SR42" s="17"/>
      <c r="SS42" s="17"/>
      <c r="ST42" s="17"/>
      <c r="SU42" s="17"/>
      <c r="SV42" s="17"/>
      <c r="SW42" s="17"/>
      <c r="SX42" s="17"/>
      <c r="SY42" s="17"/>
      <c r="SZ42" s="17"/>
      <c r="TA42" s="17"/>
      <c r="TB42" s="17"/>
      <c r="TC42" s="17"/>
      <c r="TD42" s="17"/>
      <c r="TE42" s="17"/>
      <c r="TF42" s="17"/>
      <c r="TG42" s="17"/>
      <c r="TH42" s="17"/>
      <c r="TI42" s="17"/>
      <c r="TJ42" s="17"/>
      <c r="TK42" s="17"/>
      <c r="TL42" s="17"/>
      <c r="TM42" s="17"/>
      <c r="TN42" s="17"/>
      <c r="TO42" s="17"/>
      <c r="TP42" s="17"/>
      <c r="TQ42" s="17"/>
      <c r="TR42" s="17"/>
      <c r="TS42" s="17"/>
      <c r="TT42" s="17"/>
      <c r="TU42" s="17"/>
      <c r="TV42" s="17"/>
      <c r="TW42" s="17"/>
      <c r="TX42" s="17"/>
      <c r="TY42" s="17"/>
      <c r="TZ42" s="17"/>
      <c r="UA42" s="17"/>
      <c r="UB42" s="17"/>
      <c r="UC42" s="17"/>
      <c r="UD42" s="17"/>
      <c r="UE42" s="17"/>
      <c r="UF42" s="17"/>
      <c r="UG42" s="17"/>
      <c r="UH42" s="17"/>
      <c r="UI42" s="17"/>
      <c r="UJ42" s="17"/>
      <c r="UK42" s="17"/>
      <c r="UL42" s="17"/>
      <c r="UM42" s="17"/>
      <c r="UN42" s="17"/>
      <c r="UO42" s="17"/>
      <c r="UP42" s="17"/>
      <c r="UQ42" s="17"/>
      <c r="UR42" s="17"/>
      <c r="US42" s="17"/>
      <c r="UT42" s="17"/>
      <c r="UU42" s="17"/>
      <c r="UV42" s="17"/>
      <c r="UW42" s="17"/>
      <c r="UX42" s="17"/>
      <c r="UY42" s="17"/>
      <c r="UZ42" s="17"/>
      <c r="VA42" s="17"/>
      <c r="VB42" s="17"/>
      <c r="VC42" s="17"/>
      <c r="VD42" s="17"/>
      <c r="VE42" s="17"/>
      <c r="VF42" s="17"/>
      <c r="VG42" s="17"/>
      <c r="VH42" s="17"/>
      <c r="VI42" s="17"/>
      <c r="VJ42" s="17"/>
      <c r="VK42" s="17"/>
      <c r="VL42" s="17"/>
      <c r="VM42" s="17"/>
      <c r="VN42" s="17"/>
      <c r="VO42" s="17"/>
      <c r="VP42" s="17"/>
      <c r="VQ42" s="17"/>
      <c r="VR42" s="17"/>
      <c r="VS42" s="17"/>
      <c r="VT42" s="17"/>
      <c r="VU42" s="17"/>
      <c r="VV42" s="17"/>
      <c r="VW42" s="17"/>
      <c r="VX42" s="17"/>
      <c r="VY42" s="17"/>
      <c r="VZ42" s="17"/>
      <c r="WA42" s="17"/>
      <c r="WB42" s="17"/>
      <c r="WC42" s="17"/>
      <c r="WD42" s="17"/>
      <c r="WE42" s="17"/>
      <c r="WF42" s="17"/>
      <c r="WG42" s="17"/>
      <c r="WH42" s="17"/>
      <c r="WI42" s="17"/>
      <c r="WJ42" s="17"/>
      <c r="WK42" s="17"/>
      <c r="WL42" s="17"/>
      <c r="WM42" s="17"/>
      <c r="WN42" s="17"/>
      <c r="WO42" s="17"/>
      <c r="WP42" s="17"/>
      <c r="WQ42" s="17"/>
      <c r="WR42" s="17"/>
      <c r="WS42" s="17"/>
      <c r="WT42" s="17"/>
      <c r="WU42" s="17"/>
      <c r="WV42" s="17"/>
      <c r="WW42" s="17"/>
      <c r="WX42" s="17"/>
      <c r="WY42" s="17"/>
      <c r="WZ42" s="17"/>
      <c r="XA42" s="17"/>
      <c r="XB42" s="17"/>
      <c r="XC42" s="17"/>
      <c r="XD42" s="17"/>
      <c r="XE42" s="17"/>
      <c r="XF42" s="17"/>
      <c r="XG42" s="17"/>
      <c r="XH42" s="17"/>
      <c r="XI42" s="17"/>
      <c r="XJ42" s="17"/>
      <c r="XK42" s="17"/>
      <c r="XL42" s="17"/>
      <c r="XM42" s="17"/>
      <c r="XN42" s="17"/>
      <c r="XO42" s="17"/>
      <c r="XP42" s="17"/>
      <c r="XQ42" s="17"/>
      <c r="XR42" s="17"/>
      <c r="XS42" s="17"/>
      <c r="XT42" s="17"/>
      <c r="XU42" s="17"/>
      <c r="XV42" s="17"/>
      <c r="XW42" s="17"/>
      <c r="XX42" s="17"/>
      <c r="XY42" s="17"/>
      <c r="XZ42" s="17"/>
      <c r="YA42" s="17"/>
      <c r="YB42" s="17"/>
      <c r="YC42" s="17"/>
      <c r="YD42" s="17"/>
      <c r="YE42" s="17"/>
      <c r="YF42" s="17"/>
      <c r="YG42" s="17"/>
      <c r="YH42" s="17"/>
      <c r="YI42" s="17"/>
      <c r="YJ42" s="17"/>
      <c r="YK42" s="17"/>
      <c r="YL42" s="17"/>
      <c r="YM42" s="17"/>
      <c r="YN42" s="17"/>
      <c r="YO42" s="17"/>
      <c r="YP42" s="17"/>
      <c r="YQ42" s="17"/>
      <c r="YR42" s="17"/>
      <c r="YS42" s="17"/>
      <c r="YT42" s="17"/>
      <c r="YU42" s="17"/>
      <c r="YV42" s="17"/>
      <c r="YW42" s="17"/>
      <c r="YX42" s="17"/>
      <c r="YY42" s="17"/>
      <c r="YZ42" s="17"/>
      <c r="ZA42" s="17"/>
      <c r="ZB42" s="17"/>
      <c r="ZC42" s="17"/>
      <c r="ZD42" s="17"/>
      <c r="ZE42" s="17"/>
      <c r="ZF42" s="17"/>
      <c r="ZG42" s="17"/>
      <c r="ZH42" s="17"/>
      <c r="ZI42" s="17"/>
      <c r="ZJ42" s="17"/>
      <c r="ZK42" s="17"/>
      <c r="ZL42" s="17"/>
      <c r="ZM42" s="17"/>
      <c r="ZN42" s="17"/>
      <c r="ZO42" s="17"/>
      <c r="ZP42" s="17"/>
      <c r="ZQ42" s="17"/>
      <c r="ZR42" s="17"/>
      <c r="ZS42" s="17"/>
      <c r="ZT42" s="17"/>
      <c r="ZU42" s="17"/>
      <c r="ZV42" s="17"/>
      <c r="ZW42" s="17"/>
      <c r="ZX42" s="17"/>
      <c r="ZY42" s="17"/>
      <c r="ZZ42" s="17"/>
    </row>
    <row r="43" spans="1:702" s="33" customFormat="1" x14ac:dyDescent="0.25">
      <c r="A43" s="30" t="str">
        <f>IF(COUNTA(B43:B43)=0,"", MAX(A$2:A42)+1)</f>
        <v/>
      </c>
      <c r="C43" s="34"/>
      <c r="D43" s="63"/>
      <c r="M43" s="34"/>
      <c r="Q43" s="34"/>
      <c r="U43" s="17"/>
      <c r="V43" s="62"/>
      <c r="W43" s="97"/>
      <c r="Z43" s="30" t="str">
        <f t="shared" si="0"/>
        <v/>
      </c>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c r="IB43" s="17"/>
      <c r="IC43" s="17"/>
      <c r="ID43" s="17"/>
      <c r="IE43" s="17"/>
      <c r="IF43" s="17"/>
      <c r="IG43" s="17"/>
      <c r="IH43" s="17"/>
      <c r="II43" s="17"/>
      <c r="IJ43" s="17"/>
      <c r="IK43" s="17"/>
      <c r="IL43" s="17"/>
      <c r="IM43" s="17"/>
      <c r="IN43" s="17"/>
      <c r="IO43" s="17"/>
      <c r="IP43" s="17"/>
      <c r="IQ43" s="17"/>
      <c r="IR43" s="17"/>
      <c r="IS43" s="17"/>
      <c r="IT43" s="17"/>
      <c r="IU43" s="17"/>
      <c r="IV43" s="17"/>
      <c r="IW43" s="17"/>
      <c r="IX43" s="17"/>
      <c r="IY43" s="17"/>
      <c r="IZ43" s="17"/>
      <c r="JA43" s="17"/>
      <c r="JB43" s="17"/>
      <c r="JC43" s="17"/>
      <c r="JD43" s="17"/>
      <c r="JE43" s="17"/>
      <c r="JF43" s="17"/>
      <c r="JG43" s="17"/>
      <c r="JH43" s="17"/>
      <c r="JI43" s="17"/>
      <c r="JJ43" s="17"/>
      <c r="JK43" s="17"/>
      <c r="JL43" s="17"/>
      <c r="JM43" s="17"/>
      <c r="JN43" s="17"/>
      <c r="JO43" s="17"/>
      <c r="JP43" s="17"/>
      <c r="JQ43" s="17"/>
      <c r="JR43" s="17"/>
      <c r="JS43" s="17"/>
      <c r="JT43" s="17"/>
      <c r="JU43" s="17"/>
      <c r="JV43" s="17"/>
      <c r="JW43" s="17"/>
      <c r="JX43" s="17"/>
      <c r="JY43" s="17"/>
      <c r="JZ43" s="17"/>
      <c r="KA43" s="17"/>
      <c r="KB43" s="17"/>
      <c r="KC43" s="17"/>
      <c r="KD43" s="17"/>
      <c r="KE43" s="17"/>
      <c r="KF43" s="17"/>
      <c r="KG43" s="17"/>
      <c r="KH43" s="17"/>
      <c r="KI43" s="17"/>
      <c r="KJ43" s="17"/>
      <c r="KK43" s="17"/>
      <c r="KL43" s="17"/>
      <c r="KM43" s="17"/>
      <c r="KN43" s="17"/>
      <c r="KO43" s="17"/>
      <c r="KP43" s="17"/>
      <c r="KQ43" s="17"/>
      <c r="KR43" s="17"/>
      <c r="KS43" s="17"/>
      <c r="KT43" s="17"/>
      <c r="KU43" s="17"/>
      <c r="KV43" s="17"/>
      <c r="KW43" s="17"/>
      <c r="KX43" s="17"/>
      <c r="KY43" s="17"/>
      <c r="KZ43" s="17"/>
      <c r="LA43" s="17"/>
      <c r="LB43" s="17"/>
      <c r="LC43" s="17"/>
      <c r="LD43" s="17"/>
      <c r="LE43" s="17"/>
      <c r="LF43" s="17"/>
      <c r="LG43" s="17"/>
      <c r="LH43" s="17"/>
      <c r="LI43" s="17"/>
      <c r="LJ43" s="17"/>
      <c r="LK43" s="17"/>
      <c r="LL43" s="17"/>
      <c r="LM43" s="17"/>
      <c r="LN43" s="17"/>
      <c r="LO43" s="17"/>
      <c r="LP43" s="17"/>
      <c r="LQ43" s="17"/>
      <c r="LR43" s="17"/>
      <c r="LS43" s="17"/>
      <c r="LT43" s="17"/>
      <c r="LU43" s="17"/>
      <c r="LV43" s="17"/>
      <c r="LW43" s="17"/>
      <c r="LX43" s="17"/>
      <c r="LY43" s="17"/>
      <c r="LZ43" s="17"/>
      <c r="MA43" s="17"/>
      <c r="MB43" s="17"/>
      <c r="MC43" s="17"/>
      <c r="MD43" s="17"/>
      <c r="ME43" s="17"/>
      <c r="MF43" s="17"/>
      <c r="MG43" s="17"/>
      <c r="MH43" s="17"/>
      <c r="MI43" s="17"/>
      <c r="MJ43" s="17"/>
      <c r="MK43" s="17"/>
      <c r="ML43" s="17"/>
      <c r="MM43" s="17"/>
      <c r="MN43" s="17"/>
      <c r="MO43" s="17"/>
      <c r="MP43" s="17"/>
      <c r="MQ43" s="17"/>
      <c r="MR43" s="17"/>
      <c r="MS43" s="17"/>
      <c r="MT43" s="17"/>
      <c r="MU43" s="17"/>
      <c r="MV43" s="17"/>
      <c r="MW43" s="17"/>
      <c r="MX43" s="17"/>
      <c r="MY43" s="17"/>
      <c r="MZ43" s="17"/>
      <c r="NA43" s="17"/>
      <c r="NB43" s="17"/>
      <c r="NC43" s="17"/>
      <c r="ND43" s="17"/>
      <c r="NE43" s="17"/>
      <c r="NF43" s="17"/>
      <c r="NG43" s="17"/>
      <c r="NH43" s="17"/>
      <c r="NI43" s="17"/>
      <c r="NJ43" s="17"/>
      <c r="NK43" s="17"/>
      <c r="NL43" s="17"/>
      <c r="NM43" s="17"/>
      <c r="NN43" s="17"/>
      <c r="NO43" s="17"/>
      <c r="NP43" s="17"/>
      <c r="NQ43" s="17"/>
      <c r="NR43" s="17"/>
      <c r="NS43" s="17"/>
      <c r="NT43" s="17"/>
      <c r="NU43" s="17"/>
      <c r="NV43" s="17"/>
      <c r="NW43" s="17"/>
      <c r="NX43" s="17"/>
      <c r="NY43" s="17"/>
      <c r="NZ43" s="17"/>
      <c r="OA43" s="17"/>
      <c r="OB43" s="17"/>
      <c r="OC43" s="17"/>
      <c r="OD43" s="17"/>
      <c r="OE43" s="17"/>
      <c r="OF43" s="17"/>
      <c r="OG43" s="17"/>
      <c r="OH43" s="17"/>
      <c r="OI43" s="17"/>
      <c r="OJ43" s="17"/>
      <c r="OK43" s="17"/>
      <c r="OL43" s="17"/>
      <c r="OM43" s="17"/>
      <c r="ON43" s="17"/>
      <c r="OO43" s="17"/>
      <c r="OP43" s="17"/>
      <c r="OQ43" s="17"/>
      <c r="OR43" s="17"/>
      <c r="OS43" s="17"/>
      <c r="OT43" s="17"/>
      <c r="OU43" s="17"/>
      <c r="OV43" s="17"/>
      <c r="OW43" s="17"/>
      <c r="OX43" s="17"/>
      <c r="OY43" s="17"/>
      <c r="OZ43" s="17"/>
      <c r="PA43" s="17"/>
      <c r="PB43" s="17"/>
      <c r="PC43" s="17"/>
      <c r="PD43" s="17"/>
      <c r="PE43" s="17"/>
      <c r="PF43" s="17"/>
      <c r="PG43" s="17"/>
      <c r="PH43" s="17"/>
      <c r="PI43" s="17"/>
      <c r="PJ43" s="17"/>
      <c r="PK43" s="17"/>
      <c r="PL43" s="17"/>
      <c r="PM43" s="17"/>
      <c r="PN43" s="17"/>
      <c r="PO43" s="17"/>
      <c r="PP43" s="17"/>
      <c r="PQ43" s="17"/>
      <c r="PR43" s="17"/>
      <c r="PS43" s="17"/>
      <c r="PT43" s="17"/>
      <c r="PU43" s="17"/>
      <c r="PV43" s="17"/>
      <c r="PW43" s="17"/>
      <c r="PX43" s="17"/>
      <c r="PY43" s="17"/>
      <c r="PZ43" s="17"/>
      <c r="QA43" s="17"/>
      <c r="QB43" s="17"/>
      <c r="QC43" s="17"/>
      <c r="QD43" s="17"/>
      <c r="QE43" s="17"/>
      <c r="QF43" s="17"/>
      <c r="QG43" s="17"/>
      <c r="QH43" s="17"/>
      <c r="QI43" s="17"/>
      <c r="QJ43" s="17"/>
      <c r="QK43" s="17"/>
      <c r="QL43" s="17"/>
      <c r="QM43" s="17"/>
      <c r="QN43" s="17"/>
      <c r="QO43" s="17"/>
      <c r="QP43" s="17"/>
      <c r="QQ43" s="17"/>
      <c r="QR43" s="17"/>
      <c r="QS43" s="17"/>
      <c r="QT43" s="17"/>
      <c r="QU43" s="17"/>
      <c r="QV43" s="17"/>
      <c r="QW43" s="17"/>
      <c r="QX43" s="17"/>
      <c r="QY43" s="17"/>
      <c r="QZ43" s="17"/>
      <c r="RA43" s="17"/>
      <c r="RB43" s="17"/>
      <c r="RC43" s="17"/>
      <c r="RD43" s="17"/>
      <c r="RE43" s="17"/>
      <c r="RF43" s="17"/>
      <c r="RG43" s="17"/>
      <c r="RH43" s="17"/>
      <c r="RI43" s="17"/>
      <c r="RJ43" s="17"/>
      <c r="RK43" s="17"/>
      <c r="RL43" s="17"/>
      <c r="RM43" s="17"/>
      <c r="RN43" s="17"/>
      <c r="RO43" s="17"/>
      <c r="RP43" s="17"/>
      <c r="RQ43" s="17"/>
      <c r="RR43" s="17"/>
      <c r="RS43" s="17"/>
      <c r="RT43" s="17"/>
      <c r="RU43" s="17"/>
      <c r="RV43" s="17"/>
      <c r="RW43" s="17"/>
      <c r="RX43" s="17"/>
      <c r="RY43" s="17"/>
      <c r="RZ43" s="17"/>
      <c r="SA43" s="17"/>
      <c r="SB43" s="17"/>
      <c r="SC43" s="17"/>
      <c r="SD43" s="17"/>
      <c r="SE43" s="17"/>
      <c r="SF43" s="17"/>
      <c r="SG43" s="17"/>
      <c r="SH43" s="17"/>
      <c r="SI43" s="17"/>
      <c r="SJ43" s="17"/>
      <c r="SK43" s="17"/>
      <c r="SL43" s="17"/>
      <c r="SM43" s="17"/>
      <c r="SN43" s="17"/>
      <c r="SO43" s="17"/>
      <c r="SP43" s="17"/>
      <c r="SQ43" s="17"/>
      <c r="SR43" s="17"/>
      <c r="SS43" s="17"/>
      <c r="ST43" s="17"/>
      <c r="SU43" s="17"/>
      <c r="SV43" s="17"/>
      <c r="SW43" s="17"/>
      <c r="SX43" s="17"/>
      <c r="SY43" s="17"/>
      <c r="SZ43" s="17"/>
      <c r="TA43" s="17"/>
      <c r="TB43" s="17"/>
      <c r="TC43" s="17"/>
      <c r="TD43" s="17"/>
      <c r="TE43" s="17"/>
      <c r="TF43" s="17"/>
      <c r="TG43" s="17"/>
      <c r="TH43" s="17"/>
      <c r="TI43" s="17"/>
      <c r="TJ43" s="17"/>
      <c r="TK43" s="17"/>
      <c r="TL43" s="17"/>
      <c r="TM43" s="17"/>
      <c r="TN43" s="17"/>
      <c r="TO43" s="17"/>
      <c r="TP43" s="17"/>
      <c r="TQ43" s="17"/>
      <c r="TR43" s="17"/>
      <c r="TS43" s="17"/>
      <c r="TT43" s="17"/>
      <c r="TU43" s="17"/>
      <c r="TV43" s="17"/>
      <c r="TW43" s="17"/>
      <c r="TX43" s="17"/>
      <c r="TY43" s="17"/>
      <c r="TZ43" s="17"/>
      <c r="UA43" s="17"/>
      <c r="UB43" s="17"/>
      <c r="UC43" s="17"/>
      <c r="UD43" s="17"/>
      <c r="UE43" s="17"/>
      <c r="UF43" s="17"/>
      <c r="UG43" s="17"/>
      <c r="UH43" s="17"/>
      <c r="UI43" s="17"/>
      <c r="UJ43" s="17"/>
      <c r="UK43" s="17"/>
      <c r="UL43" s="17"/>
      <c r="UM43" s="17"/>
      <c r="UN43" s="17"/>
      <c r="UO43" s="17"/>
      <c r="UP43" s="17"/>
      <c r="UQ43" s="17"/>
      <c r="UR43" s="17"/>
      <c r="US43" s="17"/>
      <c r="UT43" s="17"/>
      <c r="UU43" s="17"/>
      <c r="UV43" s="17"/>
      <c r="UW43" s="17"/>
      <c r="UX43" s="17"/>
      <c r="UY43" s="17"/>
      <c r="UZ43" s="17"/>
      <c r="VA43" s="17"/>
      <c r="VB43" s="17"/>
      <c r="VC43" s="17"/>
      <c r="VD43" s="17"/>
      <c r="VE43" s="17"/>
      <c r="VF43" s="17"/>
      <c r="VG43" s="17"/>
      <c r="VH43" s="17"/>
      <c r="VI43" s="17"/>
      <c r="VJ43" s="17"/>
      <c r="VK43" s="17"/>
      <c r="VL43" s="17"/>
      <c r="VM43" s="17"/>
      <c r="VN43" s="17"/>
      <c r="VO43" s="17"/>
      <c r="VP43" s="17"/>
      <c r="VQ43" s="17"/>
      <c r="VR43" s="17"/>
      <c r="VS43" s="17"/>
      <c r="VT43" s="17"/>
      <c r="VU43" s="17"/>
      <c r="VV43" s="17"/>
      <c r="VW43" s="17"/>
      <c r="VX43" s="17"/>
      <c r="VY43" s="17"/>
      <c r="VZ43" s="17"/>
      <c r="WA43" s="17"/>
      <c r="WB43" s="17"/>
      <c r="WC43" s="17"/>
      <c r="WD43" s="17"/>
      <c r="WE43" s="17"/>
      <c r="WF43" s="17"/>
      <c r="WG43" s="17"/>
      <c r="WH43" s="17"/>
      <c r="WI43" s="17"/>
      <c r="WJ43" s="17"/>
      <c r="WK43" s="17"/>
      <c r="WL43" s="17"/>
      <c r="WM43" s="17"/>
      <c r="WN43" s="17"/>
      <c r="WO43" s="17"/>
      <c r="WP43" s="17"/>
      <c r="WQ43" s="17"/>
      <c r="WR43" s="17"/>
      <c r="WS43" s="17"/>
      <c r="WT43" s="17"/>
      <c r="WU43" s="17"/>
      <c r="WV43" s="17"/>
      <c r="WW43" s="17"/>
      <c r="WX43" s="17"/>
      <c r="WY43" s="17"/>
      <c r="WZ43" s="17"/>
      <c r="XA43" s="17"/>
      <c r="XB43" s="17"/>
      <c r="XC43" s="17"/>
      <c r="XD43" s="17"/>
      <c r="XE43" s="17"/>
      <c r="XF43" s="17"/>
      <c r="XG43" s="17"/>
      <c r="XH43" s="17"/>
      <c r="XI43" s="17"/>
      <c r="XJ43" s="17"/>
      <c r="XK43" s="17"/>
      <c r="XL43" s="17"/>
      <c r="XM43" s="17"/>
      <c r="XN43" s="17"/>
      <c r="XO43" s="17"/>
      <c r="XP43" s="17"/>
      <c r="XQ43" s="17"/>
      <c r="XR43" s="17"/>
      <c r="XS43" s="17"/>
      <c r="XT43" s="17"/>
      <c r="XU43" s="17"/>
      <c r="XV43" s="17"/>
      <c r="XW43" s="17"/>
      <c r="XX43" s="17"/>
      <c r="XY43" s="17"/>
      <c r="XZ43" s="17"/>
      <c r="YA43" s="17"/>
      <c r="YB43" s="17"/>
      <c r="YC43" s="17"/>
      <c r="YD43" s="17"/>
      <c r="YE43" s="17"/>
      <c r="YF43" s="17"/>
      <c r="YG43" s="17"/>
      <c r="YH43" s="17"/>
      <c r="YI43" s="17"/>
      <c r="YJ43" s="17"/>
      <c r="YK43" s="17"/>
      <c r="YL43" s="17"/>
      <c r="YM43" s="17"/>
      <c r="YN43" s="17"/>
      <c r="YO43" s="17"/>
      <c r="YP43" s="17"/>
      <c r="YQ43" s="17"/>
      <c r="YR43" s="17"/>
      <c r="YS43" s="17"/>
      <c r="YT43" s="17"/>
      <c r="YU43" s="17"/>
      <c r="YV43" s="17"/>
      <c r="YW43" s="17"/>
      <c r="YX43" s="17"/>
      <c r="YY43" s="17"/>
      <c r="YZ43" s="17"/>
      <c r="ZA43" s="17"/>
      <c r="ZB43" s="17"/>
      <c r="ZC43" s="17"/>
      <c r="ZD43" s="17"/>
      <c r="ZE43" s="17"/>
      <c r="ZF43" s="17"/>
      <c r="ZG43" s="17"/>
      <c r="ZH43" s="17"/>
      <c r="ZI43" s="17"/>
      <c r="ZJ43" s="17"/>
      <c r="ZK43" s="17"/>
      <c r="ZL43" s="17"/>
      <c r="ZM43" s="17"/>
      <c r="ZN43" s="17"/>
      <c r="ZO43" s="17"/>
      <c r="ZP43" s="17"/>
      <c r="ZQ43" s="17"/>
      <c r="ZR43" s="17"/>
      <c r="ZS43" s="17"/>
      <c r="ZT43" s="17"/>
      <c r="ZU43" s="17"/>
      <c r="ZV43" s="17"/>
      <c r="ZW43" s="17"/>
      <c r="ZX43" s="17"/>
      <c r="ZY43" s="17"/>
      <c r="ZZ43" s="17"/>
    </row>
    <row r="44" spans="1:702" s="33" customFormat="1" x14ac:dyDescent="0.25">
      <c r="A44" s="30" t="str">
        <f>IF(COUNTA(B44:B44)=0,"", MAX(A$2:A43)+1)</f>
        <v/>
      </c>
      <c r="C44" s="34"/>
      <c r="D44" s="63"/>
      <c r="M44" s="34"/>
      <c r="Q44" s="34"/>
      <c r="U44" s="17"/>
      <c r="V44" s="62"/>
      <c r="W44" s="97"/>
      <c r="Z44" s="30" t="str">
        <f t="shared" si="0"/>
        <v/>
      </c>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c r="IB44" s="17"/>
      <c r="IC44" s="17"/>
      <c r="ID44" s="17"/>
      <c r="IE44" s="17"/>
      <c r="IF44" s="17"/>
      <c r="IG44" s="17"/>
      <c r="IH44" s="17"/>
      <c r="II44" s="17"/>
      <c r="IJ44" s="17"/>
      <c r="IK44" s="17"/>
      <c r="IL44" s="17"/>
      <c r="IM44" s="17"/>
      <c r="IN44" s="17"/>
      <c r="IO44" s="17"/>
      <c r="IP44" s="17"/>
      <c r="IQ44" s="17"/>
      <c r="IR44" s="17"/>
      <c r="IS44" s="17"/>
      <c r="IT44" s="17"/>
      <c r="IU44" s="17"/>
      <c r="IV44" s="17"/>
      <c r="IW44" s="17"/>
      <c r="IX44" s="17"/>
      <c r="IY44" s="17"/>
      <c r="IZ44" s="17"/>
      <c r="JA44" s="17"/>
      <c r="JB44" s="17"/>
      <c r="JC44" s="17"/>
      <c r="JD44" s="17"/>
      <c r="JE44" s="17"/>
      <c r="JF44" s="17"/>
      <c r="JG44" s="17"/>
      <c r="JH44" s="17"/>
      <c r="JI44" s="17"/>
      <c r="JJ44" s="17"/>
      <c r="JK44" s="17"/>
      <c r="JL44" s="17"/>
      <c r="JM44" s="17"/>
      <c r="JN44" s="17"/>
      <c r="JO44" s="17"/>
      <c r="JP44" s="17"/>
      <c r="JQ44" s="17"/>
      <c r="JR44" s="17"/>
      <c r="JS44" s="17"/>
      <c r="JT44" s="17"/>
      <c r="JU44" s="17"/>
      <c r="JV44" s="17"/>
      <c r="JW44" s="17"/>
      <c r="JX44" s="17"/>
      <c r="JY44" s="17"/>
      <c r="JZ44" s="17"/>
      <c r="KA44" s="17"/>
      <c r="KB44" s="17"/>
      <c r="KC44" s="17"/>
      <c r="KD44" s="17"/>
      <c r="KE44" s="17"/>
      <c r="KF44" s="17"/>
      <c r="KG44" s="17"/>
      <c r="KH44" s="17"/>
      <c r="KI44" s="17"/>
      <c r="KJ44" s="17"/>
      <c r="KK44" s="17"/>
      <c r="KL44" s="17"/>
      <c r="KM44" s="17"/>
      <c r="KN44" s="17"/>
      <c r="KO44" s="17"/>
      <c r="KP44" s="17"/>
      <c r="KQ44" s="17"/>
      <c r="KR44" s="17"/>
      <c r="KS44" s="17"/>
      <c r="KT44" s="17"/>
      <c r="KU44" s="17"/>
      <c r="KV44" s="17"/>
      <c r="KW44" s="17"/>
      <c r="KX44" s="17"/>
      <c r="KY44" s="17"/>
      <c r="KZ44" s="17"/>
      <c r="LA44" s="17"/>
      <c r="LB44" s="17"/>
      <c r="LC44" s="17"/>
      <c r="LD44" s="17"/>
      <c r="LE44" s="17"/>
      <c r="LF44" s="17"/>
      <c r="LG44" s="17"/>
      <c r="LH44" s="17"/>
      <c r="LI44" s="17"/>
      <c r="LJ44" s="17"/>
      <c r="LK44" s="17"/>
      <c r="LL44" s="17"/>
      <c r="LM44" s="17"/>
      <c r="LN44" s="17"/>
      <c r="LO44" s="17"/>
      <c r="LP44" s="17"/>
      <c r="LQ44" s="17"/>
      <c r="LR44" s="17"/>
      <c r="LS44" s="17"/>
      <c r="LT44" s="17"/>
      <c r="LU44" s="17"/>
      <c r="LV44" s="17"/>
      <c r="LW44" s="17"/>
      <c r="LX44" s="17"/>
      <c r="LY44" s="17"/>
      <c r="LZ44" s="17"/>
      <c r="MA44" s="17"/>
      <c r="MB44" s="17"/>
      <c r="MC44" s="17"/>
      <c r="MD44" s="17"/>
      <c r="ME44" s="17"/>
      <c r="MF44" s="17"/>
      <c r="MG44" s="17"/>
      <c r="MH44" s="17"/>
      <c r="MI44" s="17"/>
      <c r="MJ44" s="17"/>
      <c r="MK44" s="17"/>
      <c r="ML44" s="17"/>
      <c r="MM44" s="17"/>
      <c r="MN44" s="17"/>
      <c r="MO44" s="17"/>
      <c r="MP44" s="17"/>
      <c r="MQ44" s="17"/>
      <c r="MR44" s="17"/>
      <c r="MS44" s="17"/>
      <c r="MT44" s="17"/>
      <c r="MU44" s="17"/>
      <c r="MV44" s="17"/>
      <c r="MW44" s="17"/>
      <c r="MX44" s="17"/>
      <c r="MY44" s="17"/>
      <c r="MZ44" s="17"/>
      <c r="NA44" s="17"/>
      <c r="NB44" s="17"/>
      <c r="NC44" s="17"/>
      <c r="ND44" s="17"/>
      <c r="NE44" s="17"/>
      <c r="NF44" s="17"/>
      <c r="NG44" s="17"/>
      <c r="NH44" s="17"/>
      <c r="NI44" s="17"/>
      <c r="NJ44" s="17"/>
      <c r="NK44" s="17"/>
      <c r="NL44" s="17"/>
      <c r="NM44" s="17"/>
      <c r="NN44" s="17"/>
      <c r="NO44" s="17"/>
      <c r="NP44" s="17"/>
      <c r="NQ44" s="17"/>
      <c r="NR44" s="17"/>
      <c r="NS44" s="17"/>
      <c r="NT44" s="17"/>
      <c r="NU44" s="17"/>
      <c r="NV44" s="17"/>
      <c r="NW44" s="17"/>
      <c r="NX44" s="17"/>
      <c r="NY44" s="17"/>
      <c r="NZ44" s="17"/>
      <c r="OA44" s="17"/>
      <c r="OB44" s="17"/>
      <c r="OC44" s="17"/>
      <c r="OD44" s="17"/>
      <c r="OE44" s="17"/>
      <c r="OF44" s="17"/>
      <c r="OG44" s="17"/>
      <c r="OH44" s="17"/>
      <c r="OI44" s="17"/>
      <c r="OJ44" s="17"/>
      <c r="OK44" s="17"/>
      <c r="OL44" s="17"/>
      <c r="OM44" s="17"/>
      <c r="ON44" s="17"/>
      <c r="OO44" s="17"/>
      <c r="OP44" s="17"/>
      <c r="OQ44" s="17"/>
      <c r="OR44" s="17"/>
      <c r="OS44" s="17"/>
      <c r="OT44" s="17"/>
      <c r="OU44" s="17"/>
      <c r="OV44" s="17"/>
      <c r="OW44" s="17"/>
      <c r="OX44" s="17"/>
      <c r="OY44" s="17"/>
      <c r="OZ44" s="17"/>
      <c r="PA44" s="17"/>
      <c r="PB44" s="17"/>
      <c r="PC44" s="17"/>
      <c r="PD44" s="17"/>
      <c r="PE44" s="17"/>
      <c r="PF44" s="17"/>
      <c r="PG44" s="17"/>
      <c r="PH44" s="17"/>
      <c r="PI44" s="17"/>
      <c r="PJ44" s="17"/>
      <c r="PK44" s="17"/>
      <c r="PL44" s="17"/>
      <c r="PM44" s="17"/>
      <c r="PN44" s="17"/>
      <c r="PO44" s="17"/>
      <c r="PP44" s="17"/>
      <c r="PQ44" s="17"/>
      <c r="PR44" s="17"/>
      <c r="PS44" s="17"/>
      <c r="PT44" s="17"/>
      <c r="PU44" s="17"/>
      <c r="PV44" s="17"/>
      <c r="PW44" s="17"/>
      <c r="PX44" s="17"/>
      <c r="PY44" s="17"/>
      <c r="PZ44" s="17"/>
      <c r="QA44" s="17"/>
      <c r="QB44" s="17"/>
      <c r="QC44" s="17"/>
      <c r="QD44" s="17"/>
      <c r="QE44" s="17"/>
      <c r="QF44" s="17"/>
      <c r="QG44" s="17"/>
      <c r="QH44" s="17"/>
      <c r="QI44" s="17"/>
      <c r="QJ44" s="17"/>
      <c r="QK44" s="17"/>
      <c r="QL44" s="17"/>
      <c r="QM44" s="17"/>
      <c r="QN44" s="17"/>
      <c r="QO44" s="17"/>
      <c r="QP44" s="17"/>
      <c r="QQ44" s="17"/>
      <c r="QR44" s="17"/>
      <c r="QS44" s="17"/>
      <c r="QT44" s="17"/>
      <c r="QU44" s="17"/>
      <c r="QV44" s="17"/>
      <c r="QW44" s="17"/>
      <c r="QX44" s="17"/>
      <c r="QY44" s="17"/>
      <c r="QZ44" s="17"/>
      <c r="RA44" s="17"/>
      <c r="RB44" s="17"/>
      <c r="RC44" s="17"/>
      <c r="RD44" s="17"/>
      <c r="RE44" s="17"/>
      <c r="RF44" s="17"/>
      <c r="RG44" s="17"/>
      <c r="RH44" s="17"/>
      <c r="RI44" s="17"/>
      <c r="RJ44" s="17"/>
      <c r="RK44" s="17"/>
      <c r="RL44" s="17"/>
      <c r="RM44" s="17"/>
      <c r="RN44" s="17"/>
      <c r="RO44" s="17"/>
      <c r="RP44" s="17"/>
      <c r="RQ44" s="17"/>
      <c r="RR44" s="17"/>
      <c r="RS44" s="17"/>
      <c r="RT44" s="17"/>
      <c r="RU44" s="17"/>
      <c r="RV44" s="17"/>
      <c r="RW44" s="17"/>
      <c r="RX44" s="17"/>
      <c r="RY44" s="17"/>
      <c r="RZ44" s="17"/>
      <c r="SA44" s="17"/>
      <c r="SB44" s="17"/>
      <c r="SC44" s="17"/>
      <c r="SD44" s="17"/>
      <c r="SE44" s="17"/>
      <c r="SF44" s="17"/>
      <c r="SG44" s="17"/>
      <c r="SH44" s="17"/>
      <c r="SI44" s="17"/>
      <c r="SJ44" s="17"/>
      <c r="SK44" s="17"/>
      <c r="SL44" s="17"/>
      <c r="SM44" s="17"/>
      <c r="SN44" s="17"/>
      <c r="SO44" s="17"/>
      <c r="SP44" s="17"/>
      <c r="SQ44" s="17"/>
      <c r="SR44" s="17"/>
      <c r="SS44" s="17"/>
      <c r="ST44" s="17"/>
      <c r="SU44" s="17"/>
      <c r="SV44" s="17"/>
      <c r="SW44" s="17"/>
      <c r="SX44" s="17"/>
      <c r="SY44" s="17"/>
      <c r="SZ44" s="17"/>
      <c r="TA44" s="17"/>
      <c r="TB44" s="17"/>
      <c r="TC44" s="17"/>
      <c r="TD44" s="17"/>
      <c r="TE44" s="17"/>
      <c r="TF44" s="17"/>
      <c r="TG44" s="17"/>
      <c r="TH44" s="17"/>
      <c r="TI44" s="17"/>
      <c r="TJ44" s="17"/>
      <c r="TK44" s="17"/>
      <c r="TL44" s="17"/>
      <c r="TM44" s="17"/>
      <c r="TN44" s="17"/>
      <c r="TO44" s="17"/>
      <c r="TP44" s="17"/>
      <c r="TQ44" s="17"/>
      <c r="TR44" s="17"/>
      <c r="TS44" s="17"/>
      <c r="TT44" s="17"/>
      <c r="TU44" s="17"/>
      <c r="TV44" s="17"/>
      <c r="TW44" s="17"/>
      <c r="TX44" s="17"/>
      <c r="TY44" s="17"/>
      <c r="TZ44" s="17"/>
      <c r="UA44" s="17"/>
      <c r="UB44" s="17"/>
      <c r="UC44" s="17"/>
      <c r="UD44" s="17"/>
      <c r="UE44" s="17"/>
      <c r="UF44" s="17"/>
      <c r="UG44" s="17"/>
      <c r="UH44" s="17"/>
      <c r="UI44" s="17"/>
      <c r="UJ44" s="17"/>
      <c r="UK44" s="17"/>
      <c r="UL44" s="17"/>
      <c r="UM44" s="17"/>
      <c r="UN44" s="17"/>
      <c r="UO44" s="17"/>
      <c r="UP44" s="17"/>
      <c r="UQ44" s="17"/>
      <c r="UR44" s="17"/>
      <c r="US44" s="17"/>
      <c r="UT44" s="17"/>
      <c r="UU44" s="17"/>
      <c r="UV44" s="17"/>
      <c r="UW44" s="17"/>
      <c r="UX44" s="17"/>
      <c r="UY44" s="17"/>
      <c r="UZ44" s="17"/>
      <c r="VA44" s="17"/>
      <c r="VB44" s="17"/>
      <c r="VC44" s="17"/>
      <c r="VD44" s="17"/>
      <c r="VE44" s="17"/>
      <c r="VF44" s="17"/>
      <c r="VG44" s="17"/>
      <c r="VH44" s="17"/>
      <c r="VI44" s="17"/>
      <c r="VJ44" s="17"/>
      <c r="VK44" s="17"/>
      <c r="VL44" s="17"/>
      <c r="VM44" s="17"/>
      <c r="VN44" s="17"/>
      <c r="VO44" s="17"/>
      <c r="VP44" s="17"/>
      <c r="VQ44" s="17"/>
      <c r="VR44" s="17"/>
      <c r="VS44" s="17"/>
      <c r="VT44" s="17"/>
      <c r="VU44" s="17"/>
      <c r="VV44" s="17"/>
      <c r="VW44" s="17"/>
      <c r="VX44" s="17"/>
      <c r="VY44" s="17"/>
      <c r="VZ44" s="17"/>
      <c r="WA44" s="17"/>
      <c r="WB44" s="17"/>
      <c r="WC44" s="17"/>
      <c r="WD44" s="17"/>
      <c r="WE44" s="17"/>
      <c r="WF44" s="17"/>
      <c r="WG44" s="17"/>
      <c r="WH44" s="17"/>
      <c r="WI44" s="17"/>
      <c r="WJ44" s="17"/>
      <c r="WK44" s="17"/>
      <c r="WL44" s="17"/>
      <c r="WM44" s="17"/>
      <c r="WN44" s="17"/>
      <c r="WO44" s="17"/>
      <c r="WP44" s="17"/>
      <c r="WQ44" s="17"/>
      <c r="WR44" s="17"/>
      <c r="WS44" s="17"/>
      <c r="WT44" s="17"/>
      <c r="WU44" s="17"/>
      <c r="WV44" s="17"/>
      <c r="WW44" s="17"/>
      <c r="WX44" s="17"/>
      <c r="WY44" s="17"/>
      <c r="WZ44" s="17"/>
      <c r="XA44" s="17"/>
      <c r="XB44" s="17"/>
      <c r="XC44" s="17"/>
      <c r="XD44" s="17"/>
      <c r="XE44" s="17"/>
      <c r="XF44" s="17"/>
      <c r="XG44" s="17"/>
      <c r="XH44" s="17"/>
      <c r="XI44" s="17"/>
      <c r="XJ44" s="17"/>
      <c r="XK44" s="17"/>
      <c r="XL44" s="17"/>
      <c r="XM44" s="17"/>
      <c r="XN44" s="17"/>
      <c r="XO44" s="17"/>
      <c r="XP44" s="17"/>
      <c r="XQ44" s="17"/>
      <c r="XR44" s="17"/>
      <c r="XS44" s="17"/>
      <c r="XT44" s="17"/>
      <c r="XU44" s="17"/>
      <c r="XV44" s="17"/>
      <c r="XW44" s="17"/>
      <c r="XX44" s="17"/>
      <c r="XY44" s="17"/>
      <c r="XZ44" s="17"/>
      <c r="YA44" s="17"/>
      <c r="YB44" s="17"/>
      <c r="YC44" s="17"/>
      <c r="YD44" s="17"/>
      <c r="YE44" s="17"/>
      <c r="YF44" s="17"/>
      <c r="YG44" s="17"/>
      <c r="YH44" s="17"/>
      <c r="YI44" s="17"/>
      <c r="YJ44" s="17"/>
      <c r="YK44" s="17"/>
      <c r="YL44" s="17"/>
      <c r="YM44" s="17"/>
      <c r="YN44" s="17"/>
      <c r="YO44" s="17"/>
      <c r="YP44" s="17"/>
      <c r="YQ44" s="17"/>
      <c r="YR44" s="17"/>
      <c r="YS44" s="17"/>
      <c r="YT44" s="17"/>
      <c r="YU44" s="17"/>
      <c r="YV44" s="17"/>
      <c r="YW44" s="17"/>
      <c r="YX44" s="17"/>
      <c r="YY44" s="17"/>
      <c r="YZ44" s="17"/>
      <c r="ZA44" s="17"/>
      <c r="ZB44" s="17"/>
      <c r="ZC44" s="17"/>
      <c r="ZD44" s="17"/>
      <c r="ZE44" s="17"/>
      <c r="ZF44" s="17"/>
      <c r="ZG44" s="17"/>
      <c r="ZH44" s="17"/>
      <c r="ZI44" s="17"/>
      <c r="ZJ44" s="17"/>
      <c r="ZK44" s="17"/>
      <c r="ZL44" s="17"/>
      <c r="ZM44" s="17"/>
      <c r="ZN44" s="17"/>
      <c r="ZO44" s="17"/>
      <c r="ZP44" s="17"/>
      <c r="ZQ44" s="17"/>
      <c r="ZR44" s="17"/>
      <c r="ZS44" s="17"/>
      <c r="ZT44" s="17"/>
      <c r="ZU44" s="17"/>
      <c r="ZV44" s="17"/>
      <c r="ZW44" s="17"/>
      <c r="ZX44" s="17"/>
      <c r="ZY44" s="17"/>
      <c r="ZZ44" s="17"/>
    </row>
    <row r="45" spans="1:702" s="33" customFormat="1" x14ac:dyDescent="0.25">
      <c r="A45" s="30" t="str">
        <f>IF(COUNTA(B45:B45)=0,"", MAX(A$2:A44)+1)</f>
        <v/>
      </c>
      <c r="C45" s="34"/>
      <c r="D45" s="63"/>
      <c r="M45" s="34"/>
      <c r="Q45" s="34"/>
      <c r="U45" s="17"/>
      <c r="V45" s="62"/>
      <c r="W45" s="97"/>
      <c r="Z45" s="30" t="str">
        <f t="shared" si="0"/>
        <v/>
      </c>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c r="IB45" s="17"/>
      <c r="IC45" s="17"/>
      <c r="ID45" s="17"/>
      <c r="IE45" s="17"/>
      <c r="IF45" s="17"/>
      <c r="IG45" s="17"/>
      <c r="IH45" s="17"/>
      <c r="II45" s="17"/>
      <c r="IJ45" s="17"/>
      <c r="IK45" s="17"/>
      <c r="IL45" s="17"/>
      <c r="IM45" s="17"/>
      <c r="IN45" s="17"/>
      <c r="IO45" s="17"/>
      <c r="IP45" s="17"/>
      <c r="IQ45" s="17"/>
      <c r="IR45" s="17"/>
      <c r="IS45" s="17"/>
      <c r="IT45" s="17"/>
      <c r="IU45" s="17"/>
      <c r="IV45" s="17"/>
      <c r="IW45" s="17"/>
      <c r="IX45" s="17"/>
      <c r="IY45" s="17"/>
      <c r="IZ45" s="17"/>
      <c r="JA45" s="17"/>
      <c r="JB45" s="17"/>
      <c r="JC45" s="17"/>
      <c r="JD45" s="17"/>
      <c r="JE45" s="17"/>
      <c r="JF45" s="17"/>
      <c r="JG45" s="17"/>
      <c r="JH45" s="17"/>
      <c r="JI45" s="17"/>
      <c r="JJ45" s="17"/>
      <c r="JK45" s="17"/>
      <c r="JL45" s="17"/>
      <c r="JM45" s="17"/>
      <c r="JN45" s="17"/>
      <c r="JO45" s="17"/>
      <c r="JP45" s="17"/>
      <c r="JQ45" s="17"/>
      <c r="JR45" s="17"/>
      <c r="JS45" s="17"/>
      <c r="JT45" s="17"/>
      <c r="JU45" s="17"/>
      <c r="JV45" s="17"/>
      <c r="JW45" s="17"/>
      <c r="JX45" s="17"/>
      <c r="JY45" s="17"/>
      <c r="JZ45" s="17"/>
      <c r="KA45" s="17"/>
      <c r="KB45" s="17"/>
      <c r="KC45" s="17"/>
      <c r="KD45" s="17"/>
      <c r="KE45" s="17"/>
      <c r="KF45" s="17"/>
      <c r="KG45" s="17"/>
      <c r="KH45" s="17"/>
      <c r="KI45" s="17"/>
      <c r="KJ45" s="17"/>
      <c r="KK45" s="17"/>
      <c r="KL45" s="17"/>
      <c r="KM45" s="17"/>
      <c r="KN45" s="17"/>
      <c r="KO45" s="17"/>
      <c r="KP45" s="17"/>
      <c r="KQ45" s="17"/>
      <c r="KR45" s="17"/>
      <c r="KS45" s="17"/>
      <c r="KT45" s="17"/>
      <c r="KU45" s="17"/>
      <c r="KV45" s="17"/>
      <c r="KW45" s="17"/>
      <c r="KX45" s="17"/>
      <c r="KY45" s="17"/>
      <c r="KZ45" s="17"/>
      <c r="LA45" s="17"/>
      <c r="LB45" s="17"/>
      <c r="LC45" s="17"/>
      <c r="LD45" s="17"/>
      <c r="LE45" s="17"/>
      <c r="LF45" s="17"/>
      <c r="LG45" s="17"/>
      <c r="LH45" s="17"/>
      <c r="LI45" s="17"/>
      <c r="LJ45" s="17"/>
      <c r="LK45" s="17"/>
      <c r="LL45" s="17"/>
      <c r="LM45" s="17"/>
      <c r="LN45" s="17"/>
      <c r="LO45" s="17"/>
      <c r="LP45" s="17"/>
      <c r="LQ45" s="17"/>
      <c r="LR45" s="17"/>
      <c r="LS45" s="17"/>
      <c r="LT45" s="17"/>
      <c r="LU45" s="17"/>
      <c r="LV45" s="17"/>
      <c r="LW45" s="17"/>
      <c r="LX45" s="17"/>
      <c r="LY45" s="17"/>
      <c r="LZ45" s="17"/>
      <c r="MA45" s="17"/>
      <c r="MB45" s="17"/>
      <c r="MC45" s="17"/>
      <c r="MD45" s="17"/>
      <c r="ME45" s="17"/>
      <c r="MF45" s="17"/>
      <c r="MG45" s="17"/>
      <c r="MH45" s="17"/>
      <c r="MI45" s="17"/>
      <c r="MJ45" s="17"/>
      <c r="MK45" s="17"/>
      <c r="ML45" s="17"/>
      <c r="MM45" s="17"/>
      <c r="MN45" s="17"/>
      <c r="MO45" s="17"/>
      <c r="MP45" s="17"/>
      <c r="MQ45" s="17"/>
      <c r="MR45" s="17"/>
      <c r="MS45" s="17"/>
      <c r="MT45" s="17"/>
      <c r="MU45" s="17"/>
      <c r="MV45" s="17"/>
      <c r="MW45" s="17"/>
      <c r="MX45" s="17"/>
      <c r="MY45" s="17"/>
      <c r="MZ45" s="17"/>
      <c r="NA45" s="17"/>
      <c r="NB45" s="17"/>
      <c r="NC45" s="17"/>
      <c r="ND45" s="17"/>
      <c r="NE45" s="17"/>
      <c r="NF45" s="17"/>
      <c r="NG45" s="17"/>
      <c r="NH45" s="17"/>
      <c r="NI45" s="17"/>
      <c r="NJ45" s="17"/>
      <c r="NK45" s="17"/>
      <c r="NL45" s="17"/>
      <c r="NM45" s="17"/>
      <c r="NN45" s="17"/>
      <c r="NO45" s="17"/>
      <c r="NP45" s="17"/>
      <c r="NQ45" s="17"/>
      <c r="NR45" s="17"/>
      <c r="NS45" s="17"/>
      <c r="NT45" s="17"/>
      <c r="NU45" s="17"/>
      <c r="NV45" s="17"/>
      <c r="NW45" s="17"/>
      <c r="NX45" s="17"/>
      <c r="NY45" s="17"/>
      <c r="NZ45" s="17"/>
      <c r="OA45" s="17"/>
      <c r="OB45" s="17"/>
      <c r="OC45" s="17"/>
      <c r="OD45" s="17"/>
      <c r="OE45" s="17"/>
      <c r="OF45" s="17"/>
      <c r="OG45" s="17"/>
      <c r="OH45" s="17"/>
      <c r="OI45" s="17"/>
      <c r="OJ45" s="17"/>
      <c r="OK45" s="17"/>
      <c r="OL45" s="17"/>
      <c r="OM45" s="17"/>
      <c r="ON45" s="17"/>
      <c r="OO45" s="17"/>
      <c r="OP45" s="17"/>
      <c r="OQ45" s="17"/>
      <c r="OR45" s="17"/>
      <c r="OS45" s="17"/>
      <c r="OT45" s="17"/>
      <c r="OU45" s="17"/>
      <c r="OV45" s="17"/>
      <c r="OW45" s="17"/>
      <c r="OX45" s="17"/>
      <c r="OY45" s="17"/>
      <c r="OZ45" s="17"/>
      <c r="PA45" s="17"/>
      <c r="PB45" s="17"/>
      <c r="PC45" s="17"/>
      <c r="PD45" s="17"/>
      <c r="PE45" s="17"/>
      <c r="PF45" s="17"/>
      <c r="PG45" s="17"/>
      <c r="PH45" s="17"/>
      <c r="PI45" s="17"/>
      <c r="PJ45" s="17"/>
      <c r="PK45" s="17"/>
      <c r="PL45" s="17"/>
      <c r="PM45" s="17"/>
      <c r="PN45" s="17"/>
      <c r="PO45" s="17"/>
      <c r="PP45" s="17"/>
      <c r="PQ45" s="17"/>
      <c r="PR45" s="17"/>
      <c r="PS45" s="17"/>
      <c r="PT45" s="17"/>
      <c r="PU45" s="17"/>
      <c r="PV45" s="17"/>
      <c r="PW45" s="17"/>
      <c r="PX45" s="17"/>
      <c r="PY45" s="17"/>
      <c r="PZ45" s="17"/>
      <c r="QA45" s="17"/>
      <c r="QB45" s="17"/>
      <c r="QC45" s="17"/>
      <c r="QD45" s="17"/>
      <c r="QE45" s="17"/>
      <c r="QF45" s="17"/>
      <c r="QG45" s="17"/>
      <c r="QH45" s="17"/>
      <c r="QI45" s="17"/>
      <c r="QJ45" s="17"/>
      <c r="QK45" s="17"/>
      <c r="QL45" s="17"/>
      <c r="QM45" s="17"/>
      <c r="QN45" s="17"/>
      <c r="QO45" s="17"/>
      <c r="QP45" s="17"/>
      <c r="QQ45" s="17"/>
      <c r="QR45" s="17"/>
      <c r="QS45" s="17"/>
      <c r="QT45" s="17"/>
      <c r="QU45" s="17"/>
      <c r="QV45" s="17"/>
      <c r="QW45" s="17"/>
      <c r="QX45" s="17"/>
      <c r="QY45" s="17"/>
      <c r="QZ45" s="17"/>
      <c r="RA45" s="17"/>
      <c r="RB45" s="17"/>
      <c r="RC45" s="17"/>
      <c r="RD45" s="17"/>
      <c r="RE45" s="17"/>
      <c r="RF45" s="17"/>
      <c r="RG45" s="17"/>
      <c r="RH45" s="17"/>
      <c r="RI45" s="17"/>
      <c r="RJ45" s="17"/>
      <c r="RK45" s="17"/>
      <c r="RL45" s="17"/>
      <c r="RM45" s="17"/>
      <c r="RN45" s="17"/>
      <c r="RO45" s="17"/>
      <c r="RP45" s="17"/>
      <c r="RQ45" s="17"/>
      <c r="RR45" s="17"/>
      <c r="RS45" s="17"/>
      <c r="RT45" s="17"/>
      <c r="RU45" s="17"/>
      <c r="RV45" s="17"/>
      <c r="RW45" s="17"/>
      <c r="RX45" s="17"/>
      <c r="RY45" s="17"/>
      <c r="RZ45" s="17"/>
      <c r="SA45" s="17"/>
      <c r="SB45" s="17"/>
      <c r="SC45" s="17"/>
      <c r="SD45" s="17"/>
      <c r="SE45" s="17"/>
      <c r="SF45" s="17"/>
      <c r="SG45" s="17"/>
      <c r="SH45" s="17"/>
      <c r="SI45" s="17"/>
      <c r="SJ45" s="17"/>
      <c r="SK45" s="17"/>
      <c r="SL45" s="17"/>
      <c r="SM45" s="17"/>
      <c r="SN45" s="17"/>
      <c r="SO45" s="17"/>
      <c r="SP45" s="17"/>
      <c r="SQ45" s="17"/>
      <c r="SR45" s="17"/>
      <c r="SS45" s="17"/>
      <c r="ST45" s="17"/>
      <c r="SU45" s="17"/>
      <c r="SV45" s="17"/>
      <c r="SW45" s="17"/>
      <c r="SX45" s="17"/>
      <c r="SY45" s="17"/>
      <c r="SZ45" s="17"/>
      <c r="TA45" s="17"/>
      <c r="TB45" s="17"/>
      <c r="TC45" s="17"/>
      <c r="TD45" s="17"/>
      <c r="TE45" s="17"/>
      <c r="TF45" s="17"/>
      <c r="TG45" s="17"/>
      <c r="TH45" s="17"/>
      <c r="TI45" s="17"/>
      <c r="TJ45" s="17"/>
      <c r="TK45" s="17"/>
      <c r="TL45" s="17"/>
      <c r="TM45" s="17"/>
      <c r="TN45" s="17"/>
      <c r="TO45" s="17"/>
      <c r="TP45" s="17"/>
      <c r="TQ45" s="17"/>
      <c r="TR45" s="17"/>
      <c r="TS45" s="17"/>
      <c r="TT45" s="17"/>
      <c r="TU45" s="17"/>
      <c r="TV45" s="17"/>
      <c r="TW45" s="17"/>
      <c r="TX45" s="17"/>
      <c r="TY45" s="17"/>
      <c r="TZ45" s="17"/>
      <c r="UA45" s="17"/>
      <c r="UB45" s="17"/>
      <c r="UC45" s="17"/>
      <c r="UD45" s="17"/>
      <c r="UE45" s="17"/>
      <c r="UF45" s="17"/>
      <c r="UG45" s="17"/>
      <c r="UH45" s="17"/>
      <c r="UI45" s="17"/>
      <c r="UJ45" s="17"/>
      <c r="UK45" s="17"/>
      <c r="UL45" s="17"/>
      <c r="UM45" s="17"/>
      <c r="UN45" s="17"/>
      <c r="UO45" s="17"/>
      <c r="UP45" s="17"/>
      <c r="UQ45" s="17"/>
      <c r="UR45" s="17"/>
      <c r="US45" s="17"/>
      <c r="UT45" s="17"/>
      <c r="UU45" s="17"/>
      <c r="UV45" s="17"/>
      <c r="UW45" s="17"/>
      <c r="UX45" s="17"/>
      <c r="UY45" s="17"/>
      <c r="UZ45" s="17"/>
      <c r="VA45" s="17"/>
      <c r="VB45" s="17"/>
      <c r="VC45" s="17"/>
      <c r="VD45" s="17"/>
      <c r="VE45" s="17"/>
      <c r="VF45" s="17"/>
      <c r="VG45" s="17"/>
      <c r="VH45" s="17"/>
      <c r="VI45" s="17"/>
      <c r="VJ45" s="17"/>
      <c r="VK45" s="17"/>
      <c r="VL45" s="17"/>
      <c r="VM45" s="17"/>
      <c r="VN45" s="17"/>
      <c r="VO45" s="17"/>
      <c r="VP45" s="17"/>
      <c r="VQ45" s="17"/>
      <c r="VR45" s="17"/>
      <c r="VS45" s="17"/>
      <c r="VT45" s="17"/>
      <c r="VU45" s="17"/>
      <c r="VV45" s="17"/>
      <c r="VW45" s="17"/>
      <c r="VX45" s="17"/>
      <c r="VY45" s="17"/>
      <c r="VZ45" s="17"/>
      <c r="WA45" s="17"/>
      <c r="WB45" s="17"/>
      <c r="WC45" s="17"/>
      <c r="WD45" s="17"/>
      <c r="WE45" s="17"/>
      <c r="WF45" s="17"/>
      <c r="WG45" s="17"/>
      <c r="WH45" s="17"/>
      <c r="WI45" s="17"/>
      <c r="WJ45" s="17"/>
      <c r="WK45" s="17"/>
      <c r="WL45" s="17"/>
      <c r="WM45" s="17"/>
      <c r="WN45" s="17"/>
      <c r="WO45" s="17"/>
      <c r="WP45" s="17"/>
      <c r="WQ45" s="17"/>
      <c r="WR45" s="17"/>
      <c r="WS45" s="17"/>
      <c r="WT45" s="17"/>
      <c r="WU45" s="17"/>
      <c r="WV45" s="17"/>
      <c r="WW45" s="17"/>
      <c r="WX45" s="17"/>
      <c r="WY45" s="17"/>
      <c r="WZ45" s="17"/>
      <c r="XA45" s="17"/>
      <c r="XB45" s="17"/>
      <c r="XC45" s="17"/>
      <c r="XD45" s="17"/>
      <c r="XE45" s="17"/>
      <c r="XF45" s="17"/>
      <c r="XG45" s="17"/>
      <c r="XH45" s="17"/>
      <c r="XI45" s="17"/>
      <c r="XJ45" s="17"/>
      <c r="XK45" s="17"/>
      <c r="XL45" s="17"/>
      <c r="XM45" s="17"/>
      <c r="XN45" s="17"/>
      <c r="XO45" s="17"/>
      <c r="XP45" s="17"/>
      <c r="XQ45" s="17"/>
      <c r="XR45" s="17"/>
      <c r="XS45" s="17"/>
      <c r="XT45" s="17"/>
      <c r="XU45" s="17"/>
      <c r="XV45" s="17"/>
      <c r="XW45" s="17"/>
      <c r="XX45" s="17"/>
      <c r="XY45" s="17"/>
      <c r="XZ45" s="17"/>
      <c r="YA45" s="17"/>
      <c r="YB45" s="17"/>
      <c r="YC45" s="17"/>
      <c r="YD45" s="17"/>
      <c r="YE45" s="17"/>
      <c r="YF45" s="17"/>
      <c r="YG45" s="17"/>
      <c r="YH45" s="17"/>
      <c r="YI45" s="17"/>
      <c r="YJ45" s="17"/>
      <c r="YK45" s="17"/>
      <c r="YL45" s="17"/>
      <c r="YM45" s="17"/>
      <c r="YN45" s="17"/>
      <c r="YO45" s="17"/>
      <c r="YP45" s="17"/>
      <c r="YQ45" s="17"/>
      <c r="YR45" s="17"/>
      <c r="YS45" s="17"/>
      <c r="YT45" s="17"/>
      <c r="YU45" s="17"/>
      <c r="YV45" s="17"/>
      <c r="YW45" s="17"/>
      <c r="YX45" s="17"/>
      <c r="YY45" s="17"/>
      <c r="YZ45" s="17"/>
      <c r="ZA45" s="17"/>
      <c r="ZB45" s="17"/>
      <c r="ZC45" s="17"/>
      <c r="ZD45" s="17"/>
      <c r="ZE45" s="17"/>
      <c r="ZF45" s="17"/>
      <c r="ZG45" s="17"/>
      <c r="ZH45" s="17"/>
      <c r="ZI45" s="17"/>
      <c r="ZJ45" s="17"/>
      <c r="ZK45" s="17"/>
      <c r="ZL45" s="17"/>
      <c r="ZM45" s="17"/>
      <c r="ZN45" s="17"/>
      <c r="ZO45" s="17"/>
      <c r="ZP45" s="17"/>
      <c r="ZQ45" s="17"/>
      <c r="ZR45" s="17"/>
      <c r="ZS45" s="17"/>
      <c r="ZT45" s="17"/>
      <c r="ZU45" s="17"/>
      <c r="ZV45" s="17"/>
      <c r="ZW45" s="17"/>
      <c r="ZX45" s="17"/>
      <c r="ZY45" s="17"/>
      <c r="ZZ45" s="17"/>
    </row>
    <row r="46" spans="1:702" s="33" customFormat="1" x14ac:dyDescent="0.25">
      <c r="A46" s="30" t="str">
        <f>IF(COUNTA(B46:B46)=0,"", MAX(A$2:A45)+1)</f>
        <v/>
      </c>
      <c r="C46" s="34"/>
      <c r="D46" s="63"/>
      <c r="M46" s="34"/>
      <c r="Q46" s="34"/>
      <c r="U46" s="17"/>
      <c r="V46" s="62"/>
      <c r="W46" s="97"/>
      <c r="Z46" s="30" t="str">
        <f t="shared" si="0"/>
        <v/>
      </c>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c r="IB46" s="17"/>
      <c r="IC46" s="17"/>
      <c r="ID46" s="17"/>
      <c r="IE46" s="17"/>
      <c r="IF46" s="17"/>
      <c r="IG46" s="17"/>
      <c r="IH46" s="17"/>
      <c r="II46" s="17"/>
      <c r="IJ46" s="17"/>
      <c r="IK46" s="17"/>
      <c r="IL46" s="17"/>
      <c r="IM46" s="17"/>
      <c r="IN46" s="17"/>
      <c r="IO46" s="17"/>
      <c r="IP46" s="17"/>
      <c r="IQ46" s="17"/>
      <c r="IR46" s="17"/>
      <c r="IS46" s="17"/>
      <c r="IT46" s="17"/>
      <c r="IU46" s="17"/>
      <c r="IV46" s="17"/>
      <c r="IW46" s="17"/>
      <c r="IX46" s="17"/>
      <c r="IY46" s="17"/>
      <c r="IZ46" s="17"/>
      <c r="JA46" s="17"/>
      <c r="JB46" s="17"/>
      <c r="JC46" s="17"/>
      <c r="JD46" s="17"/>
      <c r="JE46" s="17"/>
      <c r="JF46" s="17"/>
      <c r="JG46" s="17"/>
      <c r="JH46" s="17"/>
      <c r="JI46" s="17"/>
      <c r="JJ46" s="17"/>
      <c r="JK46" s="17"/>
      <c r="JL46" s="17"/>
      <c r="JM46" s="17"/>
      <c r="JN46" s="17"/>
      <c r="JO46" s="17"/>
      <c r="JP46" s="17"/>
      <c r="JQ46" s="17"/>
      <c r="JR46" s="17"/>
      <c r="JS46" s="17"/>
      <c r="JT46" s="17"/>
      <c r="JU46" s="17"/>
      <c r="JV46" s="17"/>
      <c r="JW46" s="17"/>
      <c r="JX46" s="17"/>
      <c r="JY46" s="17"/>
      <c r="JZ46" s="17"/>
      <c r="KA46" s="17"/>
      <c r="KB46" s="17"/>
      <c r="KC46" s="17"/>
      <c r="KD46" s="17"/>
      <c r="KE46" s="17"/>
      <c r="KF46" s="17"/>
      <c r="KG46" s="17"/>
      <c r="KH46" s="17"/>
      <c r="KI46" s="17"/>
      <c r="KJ46" s="17"/>
      <c r="KK46" s="17"/>
      <c r="KL46" s="17"/>
      <c r="KM46" s="17"/>
      <c r="KN46" s="17"/>
      <c r="KO46" s="17"/>
      <c r="KP46" s="17"/>
      <c r="KQ46" s="17"/>
      <c r="KR46" s="17"/>
      <c r="KS46" s="17"/>
      <c r="KT46" s="17"/>
      <c r="KU46" s="17"/>
      <c r="KV46" s="17"/>
      <c r="KW46" s="17"/>
      <c r="KX46" s="17"/>
      <c r="KY46" s="17"/>
      <c r="KZ46" s="17"/>
      <c r="LA46" s="17"/>
      <c r="LB46" s="17"/>
      <c r="LC46" s="17"/>
      <c r="LD46" s="17"/>
      <c r="LE46" s="17"/>
      <c r="LF46" s="17"/>
      <c r="LG46" s="17"/>
      <c r="LH46" s="17"/>
      <c r="LI46" s="17"/>
      <c r="LJ46" s="17"/>
      <c r="LK46" s="17"/>
      <c r="LL46" s="17"/>
      <c r="LM46" s="17"/>
      <c r="LN46" s="17"/>
      <c r="LO46" s="17"/>
      <c r="LP46" s="17"/>
      <c r="LQ46" s="17"/>
      <c r="LR46" s="17"/>
      <c r="LS46" s="17"/>
      <c r="LT46" s="17"/>
      <c r="LU46" s="17"/>
      <c r="LV46" s="17"/>
      <c r="LW46" s="17"/>
      <c r="LX46" s="17"/>
      <c r="LY46" s="17"/>
      <c r="LZ46" s="17"/>
      <c r="MA46" s="17"/>
      <c r="MB46" s="17"/>
      <c r="MC46" s="17"/>
      <c r="MD46" s="17"/>
      <c r="ME46" s="17"/>
      <c r="MF46" s="17"/>
      <c r="MG46" s="17"/>
      <c r="MH46" s="17"/>
      <c r="MI46" s="17"/>
      <c r="MJ46" s="17"/>
      <c r="MK46" s="17"/>
      <c r="ML46" s="17"/>
      <c r="MM46" s="17"/>
      <c r="MN46" s="17"/>
      <c r="MO46" s="17"/>
      <c r="MP46" s="17"/>
      <c r="MQ46" s="17"/>
      <c r="MR46" s="17"/>
      <c r="MS46" s="17"/>
      <c r="MT46" s="17"/>
      <c r="MU46" s="17"/>
      <c r="MV46" s="17"/>
      <c r="MW46" s="17"/>
      <c r="MX46" s="17"/>
      <c r="MY46" s="17"/>
      <c r="MZ46" s="17"/>
      <c r="NA46" s="17"/>
      <c r="NB46" s="17"/>
      <c r="NC46" s="17"/>
      <c r="ND46" s="17"/>
      <c r="NE46" s="17"/>
      <c r="NF46" s="17"/>
      <c r="NG46" s="17"/>
      <c r="NH46" s="17"/>
      <c r="NI46" s="17"/>
      <c r="NJ46" s="17"/>
      <c r="NK46" s="17"/>
      <c r="NL46" s="17"/>
      <c r="NM46" s="17"/>
      <c r="NN46" s="17"/>
      <c r="NO46" s="17"/>
      <c r="NP46" s="17"/>
      <c r="NQ46" s="17"/>
      <c r="NR46" s="17"/>
      <c r="NS46" s="17"/>
      <c r="NT46" s="17"/>
      <c r="NU46" s="17"/>
      <c r="NV46" s="17"/>
      <c r="NW46" s="17"/>
      <c r="NX46" s="17"/>
      <c r="NY46" s="17"/>
      <c r="NZ46" s="17"/>
      <c r="OA46" s="17"/>
      <c r="OB46" s="17"/>
      <c r="OC46" s="17"/>
      <c r="OD46" s="17"/>
      <c r="OE46" s="17"/>
      <c r="OF46" s="17"/>
      <c r="OG46" s="17"/>
      <c r="OH46" s="17"/>
      <c r="OI46" s="17"/>
      <c r="OJ46" s="17"/>
      <c r="OK46" s="17"/>
      <c r="OL46" s="17"/>
      <c r="OM46" s="17"/>
      <c r="ON46" s="17"/>
      <c r="OO46" s="17"/>
      <c r="OP46" s="17"/>
      <c r="OQ46" s="17"/>
      <c r="OR46" s="17"/>
      <c r="OS46" s="17"/>
      <c r="OT46" s="17"/>
      <c r="OU46" s="17"/>
      <c r="OV46" s="17"/>
      <c r="OW46" s="17"/>
      <c r="OX46" s="17"/>
      <c r="OY46" s="17"/>
      <c r="OZ46" s="17"/>
      <c r="PA46" s="17"/>
      <c r="PB46" s="17"/>
      <c r="PC46" s="17"/>
      <c r="PD46" s="17"/>
      <c r="PE46" s="17"/>
      <c r="PF46" s="17"/>
      <c r="PG46" s="17"/>
      <c r="PH46" s="17"/>
      <c r="PI46" s="17"/>
      <c r="PJ46" s="17"/>
      <c r="PK46" s="17"/>
      <c r="PL46" s="17"/>
      <c r="PM46" s="17"/>
      <c r="PN46" s="17"/>
      <c r="PO46" s="17"/>
      <c r="PP46" s="17"/>
      <c r="PQ46" s="17"/>
      <c r="PR46" s="17"/>
      <c r="PS46" s="17"/>
      <c r="PT46" s="17"/>
      <c r="PU46" s="17"/>
      <c r="PV46" s="17"/>
      <c r="PW46" s="17"/>
      <c r="PX46" s="17"/>
      <c r="PY46" s="17"/>
      <c r="PZ46" s="17"/>
      <c r="QA46" s="17"/>
      <c r="QB46" s="17"/>
      <c r="QC46" s="17"/>
      <c r="QD46" s="17"/>
      <c r="QE46" s="17"/>
      <c r="QF46" s="17"/>
      <c r="QG46" s="17"/>
      <c r="QH46" s="17"/>
      <c r="QI46" s="17"/>
      <c r="QJ46" s="17"/>
      <c r="QK46" s="17"/>
      <c r="QL46" s="17"/>
      <c r="QM46" s="17"/>
      <c r="QN46" s="17"/>
      <c r="QO46" s="17"/>
      <c r="QP46" s="17"/>
      <c r="QQ46" s="17"/>
      <c r="QR46" s="17"/>
      <c r="QS46" s="17"/>
      <c r="QT46" s="17"/>
      <c r="QU46" s="17"/>
      <c r="QV46" s="17"/>
      <c r="QW46" s="17"/>
      <c r="QX46" s="17"/>
      <c r="QY46" s="17"/>
      <c r="QZ46" s="17"/>
      <c r="RA46" s="17"/>
      <c r="RB46" s="17"/>
      <c r="RC46" s="17"/>
      <c r="RD46" s="17"/>
      <c r="RE46" s="17"/>
      <c r="RF46" s="17"/>
      <c r="RG46" s="17"/>
      <c r="RH46" s="17"/>
      <c r="RI46" s="17"/>
      <c r="RJ46" s="17"/>
      <c r="RK46" s="17"/>
      <c r="RL46" s="17"/>
      <c r="RM46" s="17"/>
      <c r="RN46" s="17"/>
      <c r="RO46" s="17"/>
      <c r="RP46" s="17"/>
      <c r="RQ46" s="17"/>
      <c r="RR46" s="17"/>
      <c r="RS46" s="17"/>
      <c r="RT46" s="17"/>
      <c r="RU46" s="17"/>
      <c r="RV46" s="17"/>
      <c r="RW46" s="17"/>
      <c r="RX46" s="17"/>
      <c r="RY46" s="17"/>
      <c r="RZ46" s="17"/>
      <c r="SA46" s="17"/>
      <c r="SB46" s="17"/>
      <c r="SC46" s="17"/>
      <c r="SD46" s="17"/>
      <c r="SE46" s="17"/>
      <c r="SF46" s="17"/>
      <c r="SG46" s="17"/>
      <c r="SH46" s="17"/>
      <c r="SI46" s="17"/>
      <c r="SJ46" s="17"/>
      <c r="SK46" s="17"/>
      <c r="SL46" s="17"/>
      <c r="SM46" s="17"/>
      <c r="SN46" s="17"/>
      <c r="SO46" s="17"/>
      <c r="SP46" s="17"/>
      <c r="SQ46" s="17"/>
      <c r="SR46" s="17"/>
      <c r="SS46" s="17"/>
      <c r="ST46" s="17"/>
      <c r="SU46" s="17"/>
      <c r="SV46" s="17"/>
      <c r="SW46" s="17"/>
      <c r="SX46" s="17"/>
      <c r="SY46" s="17"/>
      <c r="SZ46" s="17"/>
      <c r="TA46" s="17"/>
      <c r="TB46" s="17"/>
      <c r="TC46" s="17"/>
      <c r="TD46" s="17"/>
      <c r="TE46" s="17"/>
      <c r="TF46" s="17"/>
      <c r="TG46" s="17"/>
      <c r="TH46" s="17"/>
      <c r="TI46" s="17"/>
      <c r="TJ46" s="17"/>
      <c r="TK46" s="17"/>
      <c r="TL46" s="17"/>
      <c r="TM46" s="17"/>
      <c r="TN46" s="17"/>
      <c r="TO46" s="17"/>
      <c r="TP46" s="17"/>
      <c r="TQ46" s="17"/>
      <c r="TR46" s="17"/>
      <c r="TS46" s="17"/>
      <c r="TT46" s="17"/>
      <c r="TU46" s="17"/>
      <c r="TV46" s="17"/>
      <c r="TW46" s="17"/>
      <c r="TX46" s="17"/>
      <c r="TY46" s="17"/>
      <c r="TZ46" s="17"/>
      <c r="UA46" s="17"/>
      <c r="UB46" s="17"/>
      <c r="UC46" s="17"/>
      <c r="UD46" s="17"/>
      <c r="UE46" s="17"/>
      <c r="UF46" s="17"/>
      <c r="UG46" s="17"/>
      <c r="UH46" s="17"/>
      <c r="UI46" s="17"/>
      <c r="UJ46" s="17"/>
      <c r="UK46" s="17"/>
      <c r="UL46" s="17"/>
      <c r="UM46" s="17"/>
      <c r="UN46" s="17"/>
      <c r="UO46" s="17"/>
      <c r="UP46" s="17"/>
      <c r="UQ46" s="17"/>
      <c r="UR46" s="17"/>
      <c r="US46" s="17"/>
      <c r="UT46" s="17"/>
      <c r="UU46" s="17"/>
      <c r="UV46" s="17"/>
      <c r="UW46" s="17"/>
      <c r="UX46" s="17"/>
      <c r="UY46" s="17"/>
      <c r="UZ46" s="17"/>
      <c r="VA46" s="17"/>
      <c r="VB46" s="17"/>
      <c r="VC46" s="17"/>
      <c r="VD46" s="17"/>
      <c r="VE46" s="17"/>
      <c r="VF46" s="17"/>
      <c r="VG46" s="17"/>
      <c r="VH46" s="17"/>
      <c r="VI46" s="17"/>
      <c r="VJ46" s="17"/>
      <c r="VK46" s="17"/>
      <c r="VL46" s="17"/>
      <c r="VM46" s="17"/>
      <c r="VN46" s="17"/>
      <c r="VO46" s="17"/>
      <c r="VP46" s="17"/>
      <c r="VQ46" s="17"/>
      <c r="VR46" s="17"/>
      <c r="VS46" s="17"/>
      <c r="VT46" s="17"/>
      <c r="VU46" s="17"/>
      <c r="VV46" s="17"/>
      <c r="VW46" s="17"/>
      <c r="VX46" s="17"/>
      <c r="VY46" s="17"/>
      <c r="VZ46" s="17"/>
      <c r="WA46" s="17"/>
      <c r="WB46" s="17"/>
      <c r="WC46" s="17"/>
      <c r="WD46" s="17"/>
      <c r="WE46" s="17"/>
      <c r="WF46" s="17"/>
      <c r="WG46" s="17"/>
      <c r="WH46" s="17"/>
      <c r="WI46" s="17"/>
      <c r="WJ46" s="17"/>
      <c r="WK46" s="17"/>
      <c r="WL46" s="17"/>
      <c r="WM46" s="17"/>
      <c r="WN46" s="17"/>
      <c r="WO46" s="17"/>
      <c r="WP46" s="17"/>
      <c r="WQ46" s="17"/>
      <c r="WR46" s="17"/>
      <c r="WS46" s="17"/>
      <c r="WT46" s="17"/>
      <c r="WU46" s="17"/>
      <c r="WV46" s="17"/>
      <c r="WW46" s="17"/>
      <c r="WX46" s="17"/>
      <c r="WY46" s="17"/>
      <c r="WZ46" s="17"/>
      <c r="XA46" s="17"/>
      <c r="XB46" s="17"/>
      <c r="XC46" s="17"/>
      <c r="XD46" s="17"/>
      <c r="XE46" s="17"/>
      <c r="XF46" s="17"/>
      <c r="XG46" s="17"/>
      <c r="XH46" s="17"/>
      <c r="XI46" s="17"/>
      <c r="XJ46" s="17"/>
      <c r="XK46" s="17"/>
      <c r="XL46" s="17"/>
      <c r="XM46" s="17"/>
      <c r="XN46" s="17"/>
      <c r="XO46" s="17"/>
      <c r="XP46" s="17"/>
      <c r="XQ46" s="17"/>
      <c r="XR46" s="17"/>
      <c r="XS46" s="17"/>
      <c r="XT46" s="17"/>
      <c r="XU46" s="17"/>
      <c r="XV46" s="17"/>
      <c r="XW46" s="17"/>
      <c r="XX46" s="17"/>
      <c r="XY46" s="17"/>
      <c r="XZ46" s="17"/>
      <c r="YA46" s="17"/>
      <c r="YB46" s="17"/>
      <c r="YC46" s="17"/>
      <c r="YD46" s="17"/>
      <c r="YE46" s="17"/>
      <c r="YF46" s="17"/>
      <c r="YG46" s="17"/>
      <c r="YH46" s="17"/>
      <c r="YI46" s="17"/>
      <c r="YJ46" s="17"/>
      <c r="YK46" s="17"/>
      <c r="YL46" s="17"/>
      <c r="YM46" s="17"/>
      <c r="YN46" s="17"/>
      <c r="YO46" s="17"/>
      <c r="YP46" s="17"/>
      <c r="YQ46" s="17"/>
      <c r="YR46" s="17"/>
      <c r="YS46" s="17"/>
      <c r="YT46" s="17"/>
      <c r="YU46" s="17"/>
      <c r="YV46" s="17"/>
      <c r="YW46" s="17"/>
      <c r="YX46" s="17"/>
      <c r="YY46" s="17"/>
      <c r="YZ46" s="17"/>
      <c r="ZA46" s="17"/>
      <c r="ZB46" s="17"/>
      <c r="ZC46" s="17"/>
      <c r="ZD46" s="17"/>
      <c r="ZE46" s="17"/>
      <c r="ZF46" s="17"/>
      <c r="ZG46" s="17"/>
      <c r="ZH46" s="17"/>
      <c r="ZI46" s="17"/>
      <c r="ZJ46" s="17"/>
      <c r="ZK46" s="17"/>
      <c r="ZL46" s="17"/>
      <c r="ZM46" s="17"/>
      <c r="ZN46" s="17"/>
      <c r="ZO46" s="17"/>
      <c r="ZP46" s="17"/>
      <c r="ZQ46" s="17"/>
      <c r="ZR46" s="17"/>
      <c r="ZS46" s="17"/>
      <c r="ZT46" s="17"/>
      <c r="ZU46" s="17"/>
      <c r="ZV46" s="17"/>
      <c r="ZW46" s="17"/>
      <c r="ZX46" s="17"/>
      <c r="ZY46" s="17"/>
      <c r="ZZ46" s="17"/>
    </row>
    <row r="47" spans="1:702" s="33" customFormat="1" x14ac:dyDescent="0.25">
      <c r="A47" s="30" t="str">
        <f>IF(COUNTA(B47:B47)=0,"", MAX(A$2:A46)+1)</f>
        <v/>
      </c>
      <c r="C47" s="34"/>
      <c r="D47" s="63"/>
      <c r="M47" s="34"/>
      <c r="Q47" s="34"/>
      <c r="U47" s="17"/>
      <c r="V47" s="62"/>
      <c r="W47" s="97"/>
      <c r="Z47" s="30" t="str">
        <f t="shared" si="0"/>
        <v/>
      </c>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c r="IB47" s="17"/>
      <c r="IC47" s="17"/>
      <c r="ID47" s="17"/>
      <c r="IE47" s="17"/>
      <c r="IF47" s="17"/>
      <c r="IG47" s="17"/>
      <c r="IH47" s="17"/>
      <c r="II47" s="17"/>
      <c r="IJ47" s="17"/>
      <c r="IK47" s="17"/>
      <c r="IL47" s="17"/>
      <c r="IM47" s="17"/>
      <c r="IN47" s="17"/>
      <c r="IO47" s="17"/>
      <c r="IP47" s="17"/>
      <c r="IQ47" s="17"/>
      <c r="IR47" s="17"/>
      <c r="IS47" s="17"/>
      <c r="IT47" s="17"/>
      <c r="IU47" s="17"/>
      <c r="IV47" s="17"/>
      <c r="IW47" s="17"/>
      <c r="IX47" s="17"/>
      <c r="IY47" s="17"/>
      <c r="IZ47" s="17"/>
      <c r="JA47" s="17"/>
      <c r="JB47" s="17"/>
      <c r="JC47" s="17"/>
      <c r="JD47" s="17"/>
      <c r="JE47" s="17"/>
      <c r="JF47" s="17"/>
      <c r="JG47" s="17"/>
      <c r="JH47" s="17"/>
      <c r="JI47" s="17"/>
      <c r="JJ47" s="17"/>
      <c r="JK47" s="17"/>
      <c r="JL47" s="17"/>
      <c r="JM47" s="17"/>
      <c r="JN47" s="17"/>
      <c r="JO47" s="17"/>
      <c r="JP47" s="17"/>
      <c r="JQ47" s="17"/>
      <c r="JR47" s="17"/>
      <c r="JS47" s="17"/>
      <c r="JT47" s="17"/>
      <c r="JU47" s="17"/>
      <c r="JV47" s="17"/>
      <c r="JW47" s="17"/>
      <c r="JX47" s="17"/>
      <c r="JY47" s="17"/>
      <c r="JZ47" s="17"/>
      <c r="KA47" s="17"/>
      <c r="KB47" s="17"/>
      <c r="KC47" s="17"/>
      <c r="KD47" s="17"/>
      <c r="KE47" s="17"/>
      <c r="KF47" s="17"/>
      <c r="KG47" s="17"/>
      <c r="KH47" s="17"/>
      <c r="KI47" s="17"/>
      <c r="KJ47" s="17"/>
      <c r="KK47" s="17"/>
      <c r="KL47" s="17"/>
      <c r="KM47" s="17"/>
      <c r="KN47" s="17"/>
      <c r="KO47" s="17"/>
      <c r="KP47" s="17"/>
      <c r="KQ47" s="17"/>
      <c r="KR47" s="17"/>
      <c r="KS47" s="17"/>
      <c r="KT47" s="17"/>
      <c r="KU47" s="17"/>
      <c r="KV47" s="17"/>
      <c r="KW47" s="17"/>
      <c r="KX47" s="17"/>
      <c r="KY47" s="17"/>
      <c r="KZ47" s="17"/>
      <c r="LA47" s="17"/>
      <c r="LB47" s="17"/>
      <c r="LC47" s="17"/>
      <c r="LD47" s="17"/>
      <c r="LE47" s="17"/>
      <c r="LF47" s="17"/>
      <c r="LG47" s="17"/>
      <c r="LH47" s="17"/>
      <c r="LI47" s="17"/>
      <c r="LJ47" s="17"/>
      <c r="LK47" s="17"/>
      <c r="LL47" s="17"/>
      <c r="LM47" s="17"/>
      <c r="LN47" s="17"/>
      <c r="LO47" s="17"/>
      <c r="LP47" s="17"/>
      <c r="LQ47" s="17"/>
      <c r="LR47" s="17"/>
      <c r="LS47" s="17"/>
      <c r="LT47" s="17"/>
      <c r="LU47" s="17"/>
      <c r="LV47" s="17"/>
      <c r="LW47" s="17"/>
      <c r="LX47" s="17"/>
      <c r="LY47" s="17"/>
      <c r="LZ47" s="17"/>
      <c r="MA47" s="17"/>
      <c r="MB47" s="17"/>
      <c r="MC47" s="17"/>
      <c r="MD47" s="17"/>
      <c r="ME47" s="17"/>
      <c r="MF47" s="17"/>
      <c r="MG47" s="17"/>
      <c r="MH47" s="17"/>
      <c r="MI47" s="17"/>
      <c r="MJ47" s="17"/>
      <c r="MK47" s="17"/>
      <c r="ML47" s="17"/>
      <c r="MM47" s="17"/>
      <c r="MN47" s="17"/>
      <c r="MO47" s="17"/>
      <c r="MP47" s="17"/>
      <c r="MQ47" s="17"/>
      <c r="MR47" s="17"/>
      <c r="MS47" s="17"/>
      <c r="MT47" s="17"/>
      <c r="MU47" s="17"/>
      <c r="MV47" s="17"/>
      <c r="MW47" s="17"/>
      <c r="MX47" s="17"/>
      <c r="MY47" s="17"/>
      <c r="MZ47" s="17"/>
      <c r="NA47" s="17"/>
      <c r="NB47" s="17"/>
      <c r="NC47" s="17"/>
      <c r="ND47" s="17"/>
      <c r="NE47" s="17"/>
      <c r="NF47" s="17"/>
      <c r="NG47" s="17"/>
      <c r="NH47" s="17"/>
      <c r="NI47" s="17"/>
      <c r="NJ47" s="17"/>
      <c r="NK47" s="17"/>
      <c r="NL47" s="17"/>
      <c r="NM47" s="17"/>
      <c r="NN47" s="17"/>
      <c r="NO47" s="17"/>
      <c r="NP47" s="17"/>
      <c r="NQ47" s="17"/>
      <c r="NR47" s="17"/>
      <c r="NS47" s="17"/>
      <c r="NT47" s="17"/>
      <c r="NU47" s="17"/>
      <c r="NV47" s="17"/>
      <c r="NW47" s="17"/>
      <c r="NX47" s="17"/>
      <c r="NY47" s="17"/>
      <c r="NZ47" s="17"/>
      <c r="OA47" s="17"/>
      <c r="OB47" s="17"/>
      <c r="OC47" s="17"/>
      <c r="OD47" s="17"/>
      <c r="OE47" s="17"/>
      <c r="OF47" s="17"/>
      <c r="OG47" s="17"/>
      <c r="OH47" s="17"/>
      <c r="OI47" s="17"/>
      <c r="OJ47" s="17"/>
      <c r="OK47" s="17"/>
      <c r="OL47" s="17"/>
      <c r="OM47" s="17"/>
      <c r="ON47" s="17"/>
      <c r="OO47" s="17"/>
      <c r="OP47" s="17"/>
      <c r="OQ47" s="17"/>
      <c r="OR47" s="17"/>
      <c r="OS47" s="17"/>
      <c r="OT47" s="17"/>
      <c r="OU47" s="17"/>
      <c r="OV47" s="17"/>
      <c r="OW47" s="17"/>
      <c r="OX47" s="17"/>
      <c r="OY47" s="17"/>
      <c r="OZ47" s="17"/>
      <c r="PA47" s="17"/>
      <c r="PB47" s="17"/>
      <c r="PC47" s="17"/>
      <c r="PD47" s="17"/>
      <c r="PE47" s="17"/>
      <c r="PF47" s="17"/>
      <c r="PG47" s="17"/>
      <c r="PH47" s="17"/>
      <c r="PI47" s="17"/>
      <c r="PJ47" s="17"/>
      <c r="PK47" s="17"/>
      <c r="PL47" s="17"/>
      <c r="PM47" s="17"/>
      <c r="PN47" s="17"/>
      <c r="PO47" s="17"/>
      <c r="PP47" s="17"/>
      <c r="PQ47" s="17"/>
      <c r="PR47" s="17"/>
      <c r="PS47" s="17"/>
      <c r="PT47" s="17"/>
      <c r="PU47" s="17"/>
      <c r="PV47" s="17"/>
      <c r="PW47" s="17"/>
      <c r="PX47" s="17"/>
      <c r="PY47" s="17"/>
      <c r="PZ47" s="17"/>
      <c r="QA47" s="17"/>
      <c r="QB47" s="17"/>
      <c r="QC47" s="17"/>
      <c r="QD47" s="17"/>
      <c r="QE47" s="17"/>
      <c r="QF47" s="17"/>
      <c r="QG47" s="17"/>
      <c r="QH47" s="17"/>
      <c r="QI47" s="17"/>
      <c r="QJ47" s="17"/>
      <c r="QK47" s="17"/>
      <c r="QL47" s="17"/>
      <c r="QM47" s="17"/>
      <c r="QN47" s="17"/>
      <c r="QO47" s="17"/>
      <c r="QP47" s="17"/>
      <c r="QQ47" s="17"/>
      <c r="QR47" s="17"/>
      <c r="QS47" s="17"/>
      <c r="QT47" s="17"/>
      <c r="QU47" s="17"/>
      <c r="QV47" s="17"/>
      <c r="QW47" s="17"/>
      <c r="QX47" s="17"/>
      <c r="QY47" s="17"/>
      <c r="QZ47" s="17"/>
      <c r="RA47" s="17"/>
      <c r="RB47" s="17"/>
      <c r="RC47" s="17"/>
      <c r="RD47" s="17"/>
      <c r="RE47" s="17"/>
      <c r="RF47" s="17"/>
      <c r="RG47" s="17"/>
      <c r="RH47" s="17"/>
      <c r="RI47" s="17"/>
      <c r="RJ47" s="17"/>
      <c r="RK47" s="17"/>
      <c r="RL47" s="17"/>
      <c r="RM47" s="17"/>
      <c r="RN47" s="17"/>
      <c r="RO47" s="17"/>
      <c r="RP47" s="17"/>
      <c r="RQ47" s="17"/>
      <c r="RR47" s="17"/>
      <c r="RS47" s="17"/>
      <c r="RT47" s="17"/>
      <c r="RU47" s="17"/>
      <c r="RV47" s="17"/>
      <c r="RW47" s="17"/>
      <c r="RX47" s="17"/>
      <c r="RY47" s="17"/>
      <c r="RZ47" s="17"/>
      <c r="SA47" s="17"/>
      <c r="SB47" s="17"/>
      <c r="SC47" s="17"/>
      <c r="SD47" s="17"/>
      <c r="SE47" s="17"/>
      <c r="SF47" s="17"/>
      <c r="SG47" s="17"/>
      <c r="SH47" s="17"/>
      <c r="SI47" s="17"/>
      <c r="SJ47" s="17"/>
      <c r="SK47" s="17"/>
      <c r="SL47" s="17"/>
      <c r="SM47" s="17"/>
      <c r="SN47" s="17"/>
      <c r="SO47" s="17"/>
      <c r="SP47" s="17"/>
      <c r="SQ47" s="17"/>
      <c r="SR47" s="17"/>
      <c r="SS47" s="17"/>
      <c r="ST47" s="17"/>
      <c r="SU47" s="17"/>
      <c r="SV47" s="17"/>
      <c r="SW47" s="17"/>
      <c r="SX47" s="17"/>
      <c r="SY47" s="17"/>
      <c r="SZ47" s="17"/>
      <c r="TA47" s="17"/>
      <c r="TB47" s="17"/>
      <c r="TC47" s="17"/>
      <c r="TD47" s="17"/>
      <c r="TE47" s="17"/>
      <c r="TF47" s="17"/>
      <c r="TG47" s="17"/>
      <c r="TH47" s="17"/>
      <c r="TI47" s="17"/>
      <c r="TJ47" s="17"/>
      <c r="TK47" s="17"/>
      <c r="TL47" s="17"/>
      <c r="TM47" s="17"/>
      <c r="TN47" s="17"/>
      <c r="TO47" s="17"/>
      <c r="TP47" s="17"/>
      <c r="TQ47" s="17"/>
      <c r="TR47" s="17"/>
      <c r="TS47" s="17"/>
      <c r="TT47" s="17"/>
      <c r="TU47" s="17"/>
      <c r="TV47" s="17"/>
      <c r="TW47" s="17"/>
      <c r="TX47" s="17"/>
      <c r="TY47" s="17"/>
      <c r="TZ47" s="17"/>
      <c r="UA47" s="17"/>
      <c r="UB47" s="17"/>
      <c r="UC47" s="17"/>
      <c r="UD47" s="17"/>
      <c r="UE47" s="17"/>
      <c r="UF47" s="17"/>
      <c r="UG47" s="17"/>
      <c r="UH47" s="17"/>
      <c r="UI47" s="17"/>
      <c r="UJ47" s="17"/>
      <c r="UK47" s="17"/>
      <c r="UL47" s="17"/>
      <c r="UM47" s="17"/>
      <c r="UN47" s="17"/>
      <c r="UO47" s="17"/>
      <c r="UP47" s="17"/>
      <c r="UQ47" s="17"/>
      <c r="UR47" s="17"/>
      <c r="US47" s="17"/>
      <c r="UT47" s="17"/>
      <c r="UU47" s="17"/>
      <c r="UV47" s="17"/>
      <c r="UW47" s="17"/>
      <c r="UX47" s="17"/>
      <c r="UY47" s="17"/>
      <c r="UZ47" s="17"/>
      <c r="VA47" s="17"/>
      <c r="VB47" s="17"/>
      <c r="VC47" s="17"/>
      <c r="VD47" s="17"/>
      <c r="VE47" s="17"/>
      <c r="VF47" s="17"/>
      <c r="VG47" s="17"/>
      <c r="VH47" s="17"/>
      <c r="VI47" s="17"/>
      <c r="VJ47" s="17"/>
      <c r="VK47" s="17"/>
      <c r="VL47" s="17"/>
      <c r="VM47" s="17"/>
      <c r="VN47" s="17"/>
      <c r="VO47" s="17"/>
      <c r="VP47" s="17"/>
      <c r="VQ47" s="17"/>
      <c r="VR47" s="17"/>
      <c r="VS47" s="17"/>
      <c r="VT47" s="17"/>
      <c r="VU47" s="17"/>
      <c r="VV47" s="17"/>
      <c r="VW47" s="17"/>
      <c r="VX47" s="17"/>
      <c r="VY47" s="17"/>
      <c r="VZ47" s="17"/>
      <c r="WA47" s="17"/>
      <c r="WB47" s="17"/>
      <c r="WC47" s="17"/>
      <c r="WD47" s="17"/>
      <c r="WE47" s="17"/>
      <c r="WF47" s="17"/>
      <c r="WG47" s="17"/>
      <c r="WH47" s="17"/>
      <c r="WI47" s="17"/>
      <c r="WJ47" s="17"/>
      <c r="WK47" s="17"/>
      <c r="WL47" s="17"/>
      <c r="WM47" s="17"/>
      <c r="WN47" s="17"/>
      <c r="WO47" s="17"/>
      <c r="WP47" s="17"/>
      <c r="WQ47" s="17"/>
      <c r="WR47" s="17"/>
      <c r="WS47" s="17"/>
      <c r="WT47" s="17"/>
      <c r="WU47" s="17"/>
      <c r="WV47" s="17"/>
      <c r="WW47" s="17"/>
      <c r="WX47" s="17"/>
      <c r="WY47" s="17"/>
      <c r="WZ47" s="17"/>
      <c r="XA47" s="17"/>
      <c r="XB47" s="17"/>
      <c r="XC47" s="17"/>
      <c r="XD47" s="17"/>
      <c r="XE47" s="17"/>
      <c r="XF47" s="17"/>
      <c r="XG47" s="17"/>
      <c r="XH47" s="17"/>
      <c r="XI47" s="17"/>
      <c r="XJ47" s="17"/>
      <c r="XK47" s="17"/>
      <c r="XL47" s="17"/>
      <c r="XM47" s="17"/>
      <c r="XN47" s="17"/>
      <c r="XO47" s="17"/>
      <c r="XP47" s="17"/>
      <c r="XQ47" s="17"/>
      <c r="XR47" s="17"/>
      <c r="XS47" s="17"/>
      <c r="XT47" s="17"/>
      <c r="XU47" s="17"/>
      <c r="XV47" s="17"/>
      <c r="XW47" s="17"/>
      <c r="XX47" s="17"/>
      <c r="XY47" s="17"/>
      <c r="XZ47" s="17"/>
      <c r="YA47" s="17"/>
      <c r="YB47" s="17"/>
      <c r="YC47" s="17"/>
      <c r="YD47" s="17"/>
      <c r="YE47" s="17"/>
      <c r="YF47" s="17"/>
      <c r="YG47" s="17"/>
      <c r="YH47" s="17"/>
      <c r="YI47" s="17"/>
      <c r="YJ47" s="17"/>
      <c r="YK47" s="17"/>
      <c r="YL47" s="17"/>
      <c r="YM47" s="17"/>
      <c r="YN47" s="17"/>
      <c r="YO47" s="17"/>
      <c r="YP47" s="17"/>
      <c r="YQ47" s="17"/>
      <c r="YR47" s="17"/>
      <c r="YS47" s="17"/>
      <c r="YT47" s="17"/>
      <c r="YU47" s="17"/>
      <c r="YV47" s="17"/>
      <c r="YW47" s="17"/>
      <c r="YX47" s="17"/>
      <c r="YY47" s="17"/>
      <c r="YZ47" s="17"/>
      <c r="ZA47" s="17"/>
      <c r="ZB47" s="17"/>
      <c r="ZC47" s="17"/>
      <c r="ZD47" s="17"/>
      <c r="ZE47" s="17"/>
      <c r="ZF47" s="17"/>
      <c r="ZG47" s="17"/>
      <c r="ZH47" s="17"/>
      <c r="ZI47" s="17"/>
      <c r="ZJ47" s="17"/>
      <c r="ZK47" s="17"/>
      <c r="ZL47" s="17"/>
      <c r="ZM47" s="17"/>
      <c r="ZN47" s="17"/>
      <c r="ZO47" s="17"/>
      <c r="ZP47" s="17"/>
      <c r="ZQ47" s="17"/>
      <c r="ZR47" s="17"/>
      <c r="ZS47" s="17"/>
      <c r="ZT47" s="17"/>
      <c r="ZU47" s="17"/>
      <c r="ZV47" s="17"/>
      <c r="ZW47" s="17"/>
      <c r="ZX47" s="17"/>
      <c r="ZY47" s="17"/>
      <c r="ZZ47" s="17"/>
    </row>
    <row r="48" spans="1:702" s="33" customFormat="1" x14ac:dyDescent="0.25">
      <c r="A48" s="30" t="str">
        <f>IF(COUNTA(B48:B48)=0,"", MAX(A$2:A47)+1)</f>
        <v/>
      </c>
      <c r="C48" s="34"/>
      <c r="D48" s="63"/>
      <c r="M48" s="34"/>
      <c r="Q48" s="34"/>
      <c r="U48" s="17"/>
      <c r="V48" s="62"/>
      <c r="W48" s="97"/>
      <c r="Z48" s="30" t="str">
        <f t="shared" si="0"/>
        <v/>
      </c>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c r="IB48" s="17"/>
      <c r="IC48" s="17"/>
      <c r="ID48" s="17"/>
      <c r="IE48" s="17"/>
      <c r="IF48" s="17"/>
      <c r="IG48" s="17"/>
      <c r="IH48" s="17"/>
      <c r="II48" s="17"/>
      <c r="IJ48" s="17"/>
      <c r="IK48" s="17"/>
      <c r="IL48" s="17"/>
      <c r="IM48" s="17"/>
      <c r="IN48" s="17"/>
      <c r="IO48" s="17"/>
      <c r="IP48" s="17"/>
      <c r="IQ48" s="17"/>
      <c r="IR48" s="17"/>
      <c r="IS48" s="17"/>
      <c r="IT48" s="17"/>
      <c r="IU48" s="17"/>
      <c r="IV48" s="17"/>
      <c r="IW48" s="17"/>
      <c r="IX48" s="17"/>
      <c r="IY48" s="17"/>
      <c r="IZ48" s="17"/>
      <c r="JA48" s="17"/>
      <c r="JB48" s="17"/>
      <c r="JC48" s="17"/>
      <c r="JD48" s="17"/>
      <c r="JE48" s="17"/>
      <c r="JF48" s="17"/>
      <c r="JG48" s="17"/>
      <c r="JH48" s="17"/>
      <c r="JI48" s="17"/>
      <c r="JJ48" s="17"/>
      <c r="JK48" s="17"/>
      <c r="JL48" s="17"/>
      <c r="JM48" s="17"/>
      <c r="JN48" s="17"/>
      <c r="JO48" s="17"/>
      <c r="JP48" s="17"/>
      <c r="JQ48" s="17"/>
      <c r="JR48" s="17"/>
      <c r="JS48" s="17"/>
      <c r="JT48" s="17"/>
      <c r="JU48" s="17"/>
      <c r="JV48" s="17"/>
      <c r="JW48" s="17"/>
      <c r="JX48" s="17"/>
      <c r="JY48" s="17"/>
      <c r="JZ48" s="17"/>
      <c r="KA48" s="17"/>
      <c r="KB48" s="17"/>
      <c r="KC48" s="17"/>
      <c r="KD48" s="17"/>
      <c r="KE48" s="17"/>
      <c r="KF48" s="17"/>
      <c r="KG48" s="17"/>
      <c r="KH48" s="17"/>
      <c r="KI48" s="17"/>
      <c r="KJ48" s="17"/>
      <c r="KK48" s="17"/>
      <c r="KL48" s="17"/>
      <c r="KM48" s="17"/>
      <c r="KN48" s="17"/>
      <c r="KO48" s="17"/>
      <c r="KP48" s="17"/>
      <c r="KQ48" s="17"/>
      <c r="KR48" s="17"/>
      <c r="KS48" s="17"/>
      <c r="KT48" s="17"/>
      <c r="KU48" s="17"/>
      <c r="KV48" s="17"/>
      <c r="KW48" s="17"/>
      <c r="KX48" s="17"/>
      <c r="KY48" s="17"/>
      <c r="KZ48" s="17"/>
      <c r="LA48" s="17"/>
      <c r="LB48" s="17"/>
      <c r="LC48" s="17"/>
      <c r="LD48" s="17"/>
      <c r="LE48" s="17"/>
      <c r="LF48" s="17"/>
      <c r="LG48" s="17"/>
      <c r="LH48" s="17"/>
      <c r="LI48" s="17"/>
      <c r="LJ48" s="17"/>
      <c r="LK48" s="17"/>
      <c r="LL48" s="17"/>
      <c r="LM48" s="17"/>
      <c r="LN48" s="17"/>
      <c r="LO48" s="17"/>
      <c r="LP48" s="17"/>
      <c r="LQ48" s="17"/>
      <c r="LR48" s="17"/>
      <c r="LS48" s="17"/>
      <c r="LT48" s="17"/>
      <c r="LU48" s="17"/>
      <c r="LV48" s="17"/>
      <c r="LW48" s="17"/>
      <c r="LX48" s="17"/>
      <c r="LY48" s="17"/>
      <c r="LZ48" s="17"/>
      <c r="MA48" s="17"/>
      <c r="MB48" s="17"/>
      <c r="MC48" s="17"/>
      <c r="MD48" s="17"/>
      <c r="ME48" s="17"/>
      <c r="MF48" s="17"/>
      <c r="MG48" s="17"/>
      <c r="MH48" s="17"/>
      <c r="MI48" s="17"/>
      <c r="MJ48" s="17"/>
      <c r="MK48" s="17"/>
      <c r="ML48" s="17"/>
      <c r="MM48" s="17"/>
      <c r="MN48" s="17"/>
      <c r="MO48" s="17"/>
      <c r="MP48" s="17"/>
      <c r="MQ48" s="17"/>
      <c r="MR48" s="17"/>
      <c r="MS48" s="17"/>
      <c r="MT48" s="17"/>
      <c r="MU48" s="17"/>
      <c r="MV48" s="17"/>
      <c r="MW48" s="17"/>
      <c r="MX48" s="17"/>
      <c r="MY48" s="17"/>
      <c r="MZ48" s="17"/>
      <c r="NA48" s="17"/>
      <c r="NB48" s="17"/>
      <c r="NC48" s="17"/>
      <c r="ND48" s="17"/>
      <c r="NE48" s="17"/>
      <c r="NF48" s="17"/>
      <c r="NG48" s="17"/>
      <c r="NH48" s="17"/>
      <c r="NI48" s="17"/>
      <c r="NJ48" s="17"/>
      <c r="NK48" s="17"/>
      <c r="NL48" s="17"/>
      <c r="NM48" s="17"/>
      <c r="NN48" s="17"/>
      <c r="NO48" s="17"/>
      <c r="NP48" s="17"/>
      <c r="NQ48" s="17"/>
      <c r="NR48" s="17"/>
      <c r="NS48" s="17"/>
      <c r="NT48" s="17"/>
      <c r="NU48" s="17"/>
      <c r="NV48" s="17"/>
      <c r="NW48" s="17"/>
      <c r="NX48" s="17"/>
      <c r="NY48" s="17"/>
      <c r="NZ48" s="17"/>
      <c r="OA48" s="17"/>
      <c r="OB48" s="17"/>
      <c r="OC48" s="17"/>
      <c r="OD48" s="17"/>
      <c r="OE48" s="17"/>
      <c r="OF48" s="17"/>
      <c r="OG48" s="17"/>
      <c r="OH48" s="17"/>
      <c r="OI48" s="17"/>
      <c r="OJ48" s="17"/>
      <c r="OK48" s="17"/>
      <c r="OL48" s="17"/>
      <c r="OM48" s="17"/>
      <c r="ON48" s="17"/>
      <c r="OO48" s="17"/>
      <c r="OP48" s="17"/>
      <c r="OQ48" s="17"/>
      <c r="OR48" s="17"/>
      <c r="OS48" s="17"/>
      <c r="OT48" s="17"/>
      <c r="OU48" s="17"/>
      <c r="OV48" s="17"/>
      <c r="OW48" s="17"/>
      <c r="OX48" s="17"/>
      <c r="OY48" s="17"/>
      <c r="OZ48" s="17"/>
      <c r="PA48" s="17"/>
      <c r="PB48" s="17"/>
      <c r="PC48" s="17"/>
      <c r="PD48" s="17"/>
      <c r="PE48" s="17"/>
      <c r="PF48" s="17"/>
      <c r="PG48" s="17"/>
      <c r="PH48" s="17"/>
      <c r="PI48" s="17"/>
      <c r="PJ48" s="17"/>
      <c r="PK48" s="17"/>
      <c r="PL48" s="17"/>
      <c r="PM48" s="17"/>
      <c r="PN48" s="17"/>
      <c r="PO48" s="17"/>
      <c r="PP48" s="17"/>
      <c r="PQ48" s="17"/>
      <c r="PR48" s="17"/>
      <c r="PS48" s="17"/>
      <c r="PT48" s="17"/>
      <c r="PU48" s="17"/>
      <c r="PV48" s="17"/>
      <c r="PW48" s="17"/>
      <c r="PX48" s="17"/>
      <c r="PY48" s="17"/>
      <c r="PZ48" s="17"/>
      <c r="QA48" s="17"/>
      <c r="QB48" s="17"/>
      <c r="QC48" s="17"/>
      <c r="QD48" s="17"/>
      <c r="QE48" s="17"/>
      <c r="QF48" s="17"/>
      <c r="QG48" s="17"/>
      <c r="QH48" s="17"/>
      <c r="QI48" s="17"/>
      <c r="QJ48" s="17"/>
      <c r="QK48" s="17"/>
      <c r="QL48" s="17"/>
      <c r="QM48" s="17"/>
      <c r="QN48" s="17"/>
      <c r="QO48" s="17"/>
      <c r="QP48" s="17"/>
      <c r="QQ48" s="17"/>
      <c r="QR48" s="17"/>
      <c r="QS48" s="17"/>
      <c r="QT48" s="17"/>
      <c r="QU48" s="17"/>
      <c r="QV48" s="17"/>
      <c r="QW48" s="17"/>
      <c r="QX48" s="17"/>
      <c r="QY48" s="17"/>
      <c r="QZ48" s="17"/>
      <c r="RA48" s="17"/>
      <c r="RB48" s="17"/>
      <c r="RC48" s="17"/>
      <c r="RD48" s="17"/>
      <c r="RE48" s="17"/>
      <c r="RF48" s="17"/>
      <c r="RG48" s="17"/>
      <c r="RH48" s="17"/>
      <c r="RI48" s="17"/>
      <c r="RJ48" s="17"/>
      <c r="RK48" s="17"/>
      <c r="RL48" s="17"/>
      <c r="RM48" s="17"/>
      <c r="RN48" s="17"/>
      <c r="RO48" s="17"/>
      <c r="RP48" s="17"/>
      <c r="RQ48" s="17"/>
      <c r="RR48" s="17"/>
      <c r="RS48" s="17"/>
      <c r="RT48" s="17"/>
      <c r="RU48" s="17"/>
      <c r="RV48" s="17"/>
      <c r="RW48" s="17"/>
      <c r="RX48" s="17"/>
      <c r="RY48" s="17"/>
      <c r="RZ48" s="17"/>
      <c r="SA48" s="17"/>
      <c r="SB48" s="17"/>
      <c r="SC48" s="17"/>
      <c r="SD48" s="17"/>
      <c r="SE48" s="17"/>
      <c r="SF48" s="17"/>
      <c r="SG48" s="17"/>
      <c r="SH48" s="17"/>
      <c r="SI48" s="17"/>
      <c r="SJ48" s="17"/>
      <c r="SK48" s="17"/>
      <c r="SL48" s="17"/>
      <c r="SM48" s="17"/>
      <c r="SN48" s="17"/>
      <c r="SO48" s="17"/>
      <c r="SP48" s="17"/>
      <c r="SQ48" s="17"/>
      <c r="SR48" s="17"/>
      <c r="SS48" s="17"/>
      <c r="ST48" s="17"/>
      <c r="SU48" s="17"/>
      <c r="SV48" s="17"/>
      <c r="SW48" s="17"/>
      <c r="SX48" s="17"/>
      <c r="SY48" s="17"/>
      <c r="SZ48" s="17"/>
      <c r="TA48" s="17"/>
      <c r="TB48" s="17"/>
      <c r="TC48" s="17"/>
      <c r="TD48" s="17"/>
      <c r="TE48" s="17"/>
      <c r="TF48" s="17"/>
      <c r="TG48" s="17"/>
      <c r="TH48" s="17"/>
      <c r="TI48" s="17"/>
      <c r="TJ48" s="17"/>
      <c r="TK48" s="17"/>
      <c r="TL48" s="17"/>
      <c r="TM48" s="17"/>
      <c r="TN48" s="17"/>
      <c r="TO48" s="17"/>
      <c r="TP48" s="17"/>
      <c r="TQ48" s="17"/>
      <c r="TR48" s="17"/>
      <c r="TS48" s="17"/>
      <c r="TT48" s="17"/>
      <c r="TU48" s="17"/>
      <c r="TV48" s="17"/>
      <c r="TW48" s="17"/>
      <c r="TX48" s="17"/>
      <c r="TY48" s="17"/>
      <c r="TZ48" s="17"/>
      <c r="UA48" s="17"/>
      <c r="UB48" s="17"/>
      <c r="UC48" s="17"/>
      <c r="UD48" s="17"/>
      <c r="UE48" s="17"/>
      <c r="UF48" s="17"/>
      <c r="UG48" s="17"/>
      <c r="UH48" s="17"/>
      <c r="UI48" s="17"/>
      <c r="UJ48" s="17"/>
      <c r="UK48" s="17"/>
      <c r="UL48" s="17"/>
      <c r="UM48" s="17"/>
      <c r="UN48" s="17"/>
      <c r="UO48" s="17"/>
      <c r="UP48" s="17"/>
      <c r="UQ48" s="17"/>
      <c r="UR48" s="17"/>
      <c r="US48" s="17"/>
      <c r="UT48" s="17"/>
      <c r="UU48" s="17"/>
      <c r="UV48" s="17"/>
      <c r="UW48" s="17"/>
      <c r="UX48" s="17"/>
      <c r="UY48" s="17"/>
      <c r="UZ48" s="17"/>
      <c r="VA48" s="17"/>
      <c r="VB48" s="17"/>
      <c r="VC48" s="17"/>
      <c r="VD48" s="17"/>
      <c r="VE48" s="17"/>
      <c r="VF48" s="17"/>
      <c r="VG48" s="17"/>
      <c r="VH48" s="17"/>
      <c r="VI48" s="17"/>
      <c r="VJ48" s="17"/>
      <c r="VK48" s="17"/>
      <c r="VL48" s="17"/>
      <c r="VM48" s="17"/>
      <c r="VN48" s="17"/>
      <c r="VO48" s="17"/>
      <c r="VP48" s="17"/>
      <c r="VQ48" s="17"/>
      <c r="VR48" s="17"/>
      <c r="VS48" s="17"/>
      <c r="VT48" s="17"/>
      <c r="VU48" s="17"/>
      <c r="VV48" s="17"/>
      <c r="VW48" s="17"/>
      <c r="VX48" s="17"/>
      <c r="VY48" s="17"/>
      <c r="VZ48" s="17"/>
      <c r="WA48" s="17"/>
      <c r="WB48" s="17"/>
      <c r="WC48" s="17"/>
      <c r="WD48" s="17"/>
      <c r="WE48" s="17"/>
      <c r="WF48" s="17"/>
      <c r="WG48" s="17"/>
      <c r="WH48" s="17"/>
      <c r="WI48" s="17"/>
      <c r="WJ48" s="17"/>
      <c r="WK48" s="17"/>
      <c r="WL48" s="17"/>
      <c r="WM48" s="17"/>
      <c r="WN48" s="17"/>
      <c r="WO48" s="17"/>
      <c r="WP48" s="17"/>
      <c r="WQ48" s="17"/>
      <c r="WR48" s="17"/>
      <c r="WS48" s="17"/>
      <c r="WT48" s="17"/>
      <c r="WU48" s="17"/>
      <c r="WV48" s="17"/>
      <c r="WW48" s="17"/>
      <c r="WX48" s="17"/>
      <c r="WY48" s="17"/>
      <c r="WZ48" s="17"/>
      <c r="XA48" s="17"/>
      <c r="XB48" s="17"/>
      <c r="XC48" s="17"/>
      <c r="XD48" s="17"/>
      <c r="XE48" s="17"/>
      <c r="XF48" s="17"/>
      <c r="XG48" s="17"/>
      <c r="XH48" s="17"/>
      <c r="XI48" s="17"/>
      <c r="XJ48" s="17"/>
      <c r="XK48" s="17"/>
      <c r="XL48" s="17"/>
      <c r="XM48" s="17"/>
      <c r="XN48" s="17"/>
      <c r="XO48" s="17"/>
      <c r="XP48" s="17"/>
      <c r="XQ48" s="17"/>
      <c r="XR48" s="17"/>
      <c r="XS48" s="17"/>
      <c r="XT48" s="17"/>
      <c r="XU48" s="17"/>
      <c r="XV48" s="17"/>
      <c r="XW48" s="17"/>
      <c r="XX48" s="17"/>
      <c r="XY48" s="17"/>
      <c r="XZ48" s="17"/>
      <c r="YA48" s="17"/>
      <c r="YB48" s="17"/>
      <c r="YC48" s="17"/>
      <c r="YD48" s="17"/>
      <c r="YE48" s="17"/>
      <c r="YF48" s="17"/>
      <c r="YG48" s="17"/>
      <c r="YH48" s="17"/>
      <c r="YI48" s="17"/>
      <c r="YJ48" s="17"/>
      <c r="YK48" s="17"/>
      <c r="YL48" s="17"/>
      <c r="YM48" s="17"/>
      <c r="YN48" s="17"/>
      <c r="YO48" s="17"/>
      <c r="YP48" s="17"/>
      <c r="YQ48" s="17"/>
      <c r="YR48" s="17"/>
      <c r="YS48" s="17"/>
      <c r="YT48" s="17"/>
      <c r="YU48" s="17"/>
      <c r="YV48" s="17"/>
      <c r="YW48" s="17"/>
      <c r="YX48" s="17"/>
      <c r="YY48" s="17"/>
      <c r="YZ48" s="17"/>
      <c r="ZA48" s="17"/>
      <c r="ZB48" s="17"/>
      <c r="ZC48" s="17"/>
      <c r="ZD48" s="17"/>
      <c r="ZE48" s="17"/>
      <c r="ZF48" s="17"/>
      <c r="ZG48" s="17"/>
      <c r="ZH48" s="17"/>
      <c r="ZI48" s="17"/>
      <c r="ZJ48" s="17"/>
      <c r="ZK48" s="17"/>
      <c r="ZL48" s="17"/>
      <c r="ZM48" s="17"/>
      <c r="ZN48" s="17"/>
      <c r="ZO48" s="17"/>
      <c r="ZP48" s="17"/>
      <c r="ZQ48" s="17"/>
      <c r="ZR48" s="17"/>
      <c r="ZS48" s="17"/>
      <c r="ZT48" s="17"/>
      <c r="ZU48" s="17"/>
      <c r="ZV48" s="17"/>
      <c r="ZW48" s="17"/>
      <c r="ZX48" s="17"/>
      <c r="ZY48" s="17"/>
      <c r="ZZ48" s="17"/>
    </row>
    <row r="49" spans="1:702" s="33" customFormat="1" x14ac:dyDescent="0.25">
      <c r="A49" s="30" t="str">
        <f>IF(COUNTA(B49:B49)=0,"", MAX(A$2:A48)+1)</f>
        <v/>
      </c>
      <c r="C49" s="34"/>
      <c r="D49" s="63"/>
      <c r="M49" s="34"/>
      <c r="Q49" s="34"/>
      <c r="U49" s="17"/>
      <c r="V49" s="62"/>
      <c r="W49" s="97"/>
      <c r="Z49" s="30" t="str">
        <f t="shared" si="0"/>
        <v/>
      </c>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c r="IB49" s="17"/>
      <c r="IC49" s="17"/>
      <c r="ID49" s="17"/>
      <c r="IE49" s="17"/>
      <c r="IF49" s="17"/>
      <c r="IG49" s="17"/>
      <c r="IH49" s="17"/>
      <c r="II49" s="17"/>
      <c r="IJ49" s="17"/>
      <c r="IK49" s="17"/>
      <c r="IL49" s="17"/>
      <c r="IM49" s="17"/>
      <c r="IN49" s="17"/>
      <c r="IO49" s="17"/>
      <c r="IP49" s="17"/>
      <c r="IQ49" s="17"/>
      <c r="IR49" s="17"/>
      <c r="IS49" s="17"/>
      <c r="IT49" s="17"/>
      <c r="IU49" s="17"/>
      <c r="IV49" s="17"/>
      <c r="IW49" s="17"/>
      <c r="IX49" s="17"/>
      <c r="IY49" s="17"/>
      <c r="IZ49" s="17"/>
      <c r="JA49" s="17"/>
      <c r="JB49" s="17"/>
      <c r="JC49" s="17"/>
      <c r="JD49" s="17"/>
      <c r="JE49" s="17"/>
      <c r="JF49" s="17"/>
      <c r="JG49" s="17"/>
      <c r="JH49" s="17"/>
      <c r="JI49" s="17"/>
      <c r="JJ49" s="17"/>
      <c r="JK49" s="17"/>
      <c r="JL49" s="17"/>
      <c r="JM49" s="17"/>
      <c r="JN49" s="17"/>
      <c r="JO49" s="17"/>
      <c r="JP49" s="17"/>
      <c r="JQ49" s="17"/>
      <c r="JR49" s="17"/>
      <c r="JS49" s="17"/>
      <c r="JT49" s="17"/>
      <c r="JU49" s="17"/>
      <c r="JV49" s="17"/>
      <c r="JW49" s="17"/>
      <c r="JX49" s="17"/>
      <c r="JY49" s="17"/>
      <c r="JZ49" s="17"/>
      <c r="KA49" s="17"/>
      <c r="KB49" s="17"/>
      <c r="KC49" s="17"/>
      <c r="KD49" s="17"/>
      <c r="KE49" s="17"/>
      <c r="KF49" s="17"/>
      <c r="KG49" s="17"/>
      <c r="KH49" s="17"/>
      <c r="KI49" s="17"/>
      <c r="KJ49" s="17"/>
      <c r="KK49" s="17"/>
      <c r="KL49" s="17"/>
      <c r="KM49" s="17"/>
      <c r="KN49" s="17"/>
      <c r="KO49" s="17"/>
      <c r="KP49" s="17"/>
      <c r="KQ49" s="17"/>
      <c r="KR49" s="17"/>
      <c r="KS49" s="17"/>
      <c r="KT49" s="17"/>
      <c r="KU49" s="17"/>
      <c r="KV49" s="17"/>
      <c r="KW49" s="17"/>
      <c r="KX49" s="17"/>
      <c r="KY49" s="17"/>
      <c r="KZ49" s="17"/>
      <c r="LA49" s="17"/>
      <c r="LB49" s="17"/>
      <c r="LC49" s="17"/>
      <c r="LD49" s="17"/>
      <c r="LE49" s="17"/>
      <c r="LF49" s="17"/>
      <c r="LG49" s="17"/>
      <c r="LH49" s="17"/>
      <c r="LI49" s="17"/>
      <c r="LJ49" s="17"/>
      <c r="LK49" s="17"/>
      <c r="LL49" s="17"/>
      <c r="LM49" s="17"/>
      <c r="LN49" s="17"/>
      <c r="LO49" s="17"/>
      <c r="LP49" s="17"/>
      <c r="LQ49" s="17"/>
      <c r="LR49" s="17"/>
      <c r="LS49" s="17"/>
      <c r="LT49" s="17"/>
      <c r="LU49" s="17"/>
      <c r="LV49" s="17"/>
      <c r="LW49" s="17"/>
      <c r="LX49" s="17"/>
      <c r="LY49" s="17"/>
      <c r="LZ49" s="17"/>
      <c r="MA49" s="17"/>
      <c r="MB49" s="17"/>
      <c r="MC49" s="17"/>
      <c r="MD49" s="17"/>
      <c r="ME49" s="17"/>
      <c r="MF49" s="17"/>
      <c r="MG49" s="17"/>
      <c r="MH49" s="17"/>
      <c r="MI49" s="17"/>
      <c r="MJ49" s="17"/>
      <c r="MK49" s="17"/>
      <c r="ML49" s="17"/>
      <c r="MM49" s="17"/>
      <c r="MN49" s="17"/>
      <c r="MO49" s="17"/>
      <c r="MP49" s="17"/>
      <c r="MQ49" s="17"/>
      <c r="MR49" s="17"/>
      <c r="MS49" s="17"/>
      <c r="MT49" s="17"/>
      <c r="MU49" s="17"/>
      <c r="MV49" s="17"/>
      <c r="MW49" s="17"/>
      <c r="MX49" s="17"/>
      <c r="MY49" s="17"/>
      <c r="MZ49" s="17"/>
      <c r="NA49" s="17"/>
      <c r="NB49" s="17"/>
      <c r="NC49" s="17"/>
      <c r="ND49" s="17"/>
      <c r="NE49" s="17"/>
      <c r="NF49" s="17"/>
      <c r="NG49" s="17"/>
      <c r="NH49" s="17"/>
      <c r="NI49" s="17"/>
      <c r="NJ49" s="17"/>
      <c r="NK49" s="17"/>
      <c r="NL49" s="17"/>
      <c r="NM49" s="17"/>
      <c r="NN49" s="17"/>
      <c r="NO49" s="17"/>
      <c r="NP49" s="17"/>
      <c r="NQ49" s="17"/>
      <c r="NR49" s="17"/>
      <c r="NS49" s="17"/>
      <c r="NT49" s="17"/>
      <c r="NU49" s="17"/>
      <c r="NV49" s="17"/>
      <c r="NW49" s="17"/>
      <c r="NX49" s="17"/>
      <c r="NY49" s="17"/>
      <c r="NZ49" s="17"/>
      <c r="OA49" s="17"/>
      <c r="OB49" s="17"/>
      <c r="OC49" s="17"/>
      <c r="OD49" s="17"/>
      <c r="OE49" s="17"/>
      <c r="OF49" s="17"/>
      <c r="OG49" s="17"/>
      <c r="OH49" s="17"/>
      <c r="OI49" s="17"/>
      <c r="OJ49" s="17"/>
      <c r="OK49" s="17"/>
      <c r="OL49" s="17"/>
      <c r="OM49" s="17"/>
      <c r="ON49" s="17"/>
      <c r="OO49" s="17"/>
      <c r="OP49" s="17"/>
      <c r="OQ49" s="17"/>
      <c r="OR49" s="17"/>
      <c r="OS49" s="17"/>
      <c r="OT49" s="17"/>
      <c r="OU49" s="17"/>
      <c r="OV49" s="17"/>
      <c r="OW49" s="17"/>
      <c r="OX49" s="17"/>
      <c r="OY49" s="17"/>
      <c r="OZ49" s="17"/>
      <c r="PA49" s="17"/>
      <c r="PB49" s="17"/>
      <c r="PC49" s="17"/>
      <c r="PD49" s="17"/>
      <c r="PE49" s="17"/>
      <c r="PF49" s="17"/>
      <c r="PG49" s="17"/>
      <c r="PH49" s="17"/>
      <c r="PI49" s="17"/>
      <c r="PJ49" s="17"/>
      <c r="PK49" s="17"/>
      <c r="PL49" s="17"/>
      <c r="PM49" s="17"/>
      <c r="PN49" s="17"/>
      <c r="PO49" s="17"/>
      <c r="PP49" s="17"/>
      <c r="PQ49" s="17"/>
      <c r="PR49" s="17"/>
      <c r="PS49" s="17"/>
      <c r="PT49" s="17"/>
      <c r="PU49" s="17"/>
      <c r="PV49" s="17"/>
      <c r="PW49" s="17"/>
      <c r="PX49" s="17"/>
      <c r="PY49" s="17"/>
      <c r="PZ49" s="17"/>
      <c r="QA49" s="17"/>
      <c r="QB49" s="17"/>
      <c r="QC49" s="17"/>
      <c r="QD49" s="17"/>
      <c r="QE49" s="17"/>
      <c r="QF49" s="17"/>
      <c r="QG49" s="17"/>
      <c r="QH49" s="17"/>
      <c r="QI49" s="17"/>
      <c r="QJ49" s="17"/>
      <c r="QK49" s="17"/>
      <c r="QL49" s="17"/>
      <c r="QM49" s="17"/>
      <c r="QN49" s="17"/>
      <c r="QO49" s="17"/>
      <c r="QP49" s="17"/>
      <c r="QQ49" s="17"/>
      <c r="QR49" s="17"/>
      <c r="QS49" s="17"/>
      <c r="QT49" s="17"/>
      <c r="QU49" s="17"/>
      <c r="QV49" s="17"/>
      <c r="QW49" s="17"/>
      <c r="QX49" s="17"/>
      <c r="QY49" s="17"/>
      <c r="QZ49" s="17"/>
      <c r="RA49" s="17"/>
      <c r="RB49" s="17"/>
      <c r="RC49" s="17"/>
      <c r="RD49" s="17"/>
      <c r="RE49" s="17"/>
      <c r="RF49" s="17"/>
      <c r="RG49" s="17"/>
      <c r="RH49" s="17"/>
      <c r="RI49" s="17"/>
      <c r="RJ49" s="17"/>
      <c r="RK49" s="17"/>
      <c r="RL49" s="17"/>
      <c r="RM49" s="17"/>
      <c r="RN49" s="17"/>
      <c r="RO49" s="17"/>
      <c r="RP49" s="17"/>
      <c r="RQ49" s="17"/>
      <c r="RR49" s="17"/>
      <c r="RS49" s="17"/>
      <c r="RT49" s="17"/>
      <c r="RU49" s="17"/>
      <c r="RV49" s="17"/>
      <c r="RW49" s="17"/>
      <c r="RX49" s="17"/>
      <c r="RY49" s="17"/>
      <c r="RZ49" s="17"/>
      <c r="SA49" s="17"/>
      <c r="SB49" s="17"/>
      <c r="SC49" s="17"/>
      <c r="SD49" s="17"/>
      <c r="SE49" s="17"/>
      <c r="SF49" s="17"/>
      <c r="SG49" s="17"/>
      <c r="SH49" s="17"/>
      <c r="SI49" s="17"/>
      <c r="SJ49" s="17"/>
      <c r="SK49" s="17"/>
      <c r="SL49" s="17"/>
      <c r="SM49" s="17"/>
      <c r="SN49" s="17"/>
      <c r="SO49" s="17"/>
      <c r="SP49" s="17"/>
      <c r="SQ49" s="17"/>
      <c r="SR49" s="17"/>
      <c r="SS49" s="17"/>
      <c r="ST49" s="17"/>
      <c r="SU49" s="17"/>
      <c r="SV49" s="17"/>
      <c r="SW49" s="17"/>
      <c r="SX49" s="17"/>
      <c r="SY49" s="17"/>
      <c r="SZ49" s="17"/>
      <c r="TA49" s="17"/>
      <c r="TB49" s="17"/>
      <c r="TC49" s="17"/>
      <c r="TD49" s="17"/>
      <c r="TE49" s="17"/>
      <c r="TF49" s="17"/>
      <c r="TG49" s="17"/>
      <c r="TH49" s="17"/>
      <c r="TI49" s="17"/>
      <c r="TJ49" s="17"/>
      <c r="TK49" s="17"/>
      <c r="TL49" s="17"/>
      <c r="TM49" s="17"/>
      <c r="TN49" s="17"/>
      <c r="TO49" s="17"/>
      <c r="TP49" s="17"/>
      <c r="TQ49" s="17"/>
      <c r="TR49" s="17"/>
      <c r="TS49" s="17"/>
      <c r="TT49" s="17"/>
      <c r="TU49" s="17"/>
      <c r="TV49" s="17"/>
      <c r="TW49" s="17"/>
      <c r="TX49" s="17"/>
      <c r="TY49" s="17"/>
      <c r="TZ49" s="17"/>
      <c r="UA49" s="17"/>
      <c r="UB49" s="17"/>
      <c r="UC49" s="17"/>
      <c r="UD49" s="17"/>
      <c r="UE49" s="17"/>
      <c r="UF49" s="17"/>
      <c r="UG49" s="17"/>
      <c r="UH49" s="17"/>
      <c r="UI49" s="17"/>
      <c r="UJ49" s="17"/>
      <c r="UK49" s="17"/>
      <c r="UL49" s="17"/>
      <c r="UM49" s="17"/>
      <c r="UN49" s="17"/>
      <c r="UO49" s="17"/>
      <c r="UP49" s="17"/>
      <c r="UQ49" s="17"/>
      <c r="UR49" s="17"/>
      <c r="US49" s="17"/>
      <c r="UT49" s="17"/>
      <c r="UU49" s="17"/>
      <c r="UV49" s="17"/>
      <c r="UW49" s="17"/>
      <c r="UX49" s="17"/>
      <c r="UY49" s="17"/>
      <c r="UZ49" s="17"/>
      <c r="VA49" s="17"/>
      <c r="VB49" s="17"/>
      <c r="VC49" s="17"/>
      <c r="VD49" s="17"/>
      <c r="VE49" s="17"/>
      <c r="VF49" s="17"/>
      <c r="VG49" s="17"/>
      <c r="VH49" s="17"/>
      <c r="VI49" s="17"/>
      <c r="VJ49" s="17"/>
      <c r="VK49" s="17"/>
      <c r="VL49" s="17"/>
      <c r="VM49" s="17"/>
      <c r="VN49" s="17"/>
      <c r="VO49" s="17"/>
      <c r="VP49" s="17"/>
      <c r="VQ49" s="17"/>
      <c r="VR49" s="17"/>
      <c r="VS49" s="17"/>
      <c r="VT49" s="17"/>
      <c r="VU49" s="17"/>
      <c r="VV49" s="17"/>
      <c r="VW49" s="17"/>
      <c r="VX49" s="17"/>
      <c r="VY49" s="17"/>
      <c r="VZ49" s="17"/>
      <c r="WA49" s="17"/>
      <c r="WB49" s="17"/>
      <c r="WC49" s="17"/>
      <c r="WD49" s="17"/>
      <c r="WE49" s="17"/>
      <c r="WF49" s="17"/>
      <c r="WG49" s="17"/>
      <c r="WH49" s="17"/>
      <c r="WI49" s="17"/>
      <c r="WJ49" s="17"/>
      <c r="WK49" s="17"/>
      <c r="WL49" s="17"/>
      <c r="WM49" s="17"/>
      <c r="WN49" s="17"/>
      <c r="WO49" s="17"/>
      <c r="WP49" s="17"/>
      <c r="WQ49" s="17"/>
      <c r="WR49" s="17"/>
      <c r="WS49" s="17"/>
      <c r="WT49" s="17"/>
      <c r="WU49" s="17"/>
      <c r="WV49" s="17"/>
      <c r="WW49" s="17"/>
      <c r="WX49" s="17"/>
      <c r="WY49" s="17"/>
      <c r="WZ49" s="17"/>
      <c r="XA49" s="17"/>
      <c r="XB49" s="17"/>
      <c r="XC49" s="17"/>
      <c r="XD49" s="17"/>
      <c r="XE49" s="17"/>
      <c r="XF49" s="17"/>
      <c r="XG49" s="17"/>
      <c r="XH49" s="17"/>
      <c r="XI49" s="17"/>
      <c r="XJ49" s="17"/>
      <c r="XK49" s="17"/>
      <c r="XL49" s="17"/>
      <c r="XM49" s="17"/>
      <c r="XN49" s="17"/>
      <c r="XO49" s="17"/>
      <c r="XP49" s="17"/>
      <c r="XQ49" s="17"/>
      <c r="XR49" s="17"/>
      <c r="XS49" s="17"/>
      <c r="XT49" s="17"/>
      <c r="XU49" s="17"/>
      <c r="XV49" s="17"/>
      <c r="XW49" s="17"/>
      <c r="XX49" s="17"/>
      <c r="XY49" s="17"/>
      <c r="XZ49" s="17"/>
      <c r="YA49" s="17"/>
      <c r="YB49" s="17"/>
      <c r="YC49" s="17"/>
      <c r="YD49" s="17"/>
      <c r="YE49" s="17"/>
      <c r="YF49" s="17"/>
      <c r="YG49" s="17"/>
      <c r="YH49" s="17"/>
      <c r="YI49" s="17"/>
      <c r="YJ49" s="17"/>
      <c r="YK49" s="17"/>
      <c r="YL49" s="17"/>
      <c r="YM49" s="17"/>
      <c r="YN49" s="17"/>
      <c r="YO49" s="17"/>
      <c r="YP49" s="17"/>
      <c r="YQ49" s="17"/>
      <c r="YR49" s="17"/>
      <c r="YS49" s="17"/>
      <c r="YT49" s="17"/>
      <c r="YU49" s="17"/>
      <c r="YV49" s="17"/>
      <c r="YW49" s="17"/>
      <c r="YX49" s="17"/>
      <c r="YY49" s="17"/>
      <c r="YZ49" s="17"/>
      <c r="ZA49" s="17"/>
      <c r="ZB49" s="17"/>
      <c r="ZC49" s="17"/>
      <c r="ZD49" s="17"/>
      <c r="ZE49" s="17"/>
      <c r="ZF49" s="17"/>
      <c r="ZG49" s="17"/>
      <c r="ZH49" s="17"/>
      <c r="ZI49" s="17"/>
      <c r="ZJ49" s="17"/>
      <c r="ZK49" s="17"/>
      <c r="ZL49" s="17"/>
      <c r="ZM49" s="17"/>
      <c r="ZN49" s="17"/>
      <c r="ZO49" s="17"/>
      <c r="ZP49" s="17"/>
      <c r="ZQ49" s="17"/>
      <c r="ZR49" s="17"/>
      <c r="ZS49" s="17"/>
      <c r="ZT49" s="17"/>
      <c r="ZU49" s="17"/>
      <c r="ZV49" s="17"/>
      <c r="ZW49" s="17"/>
      <c r="ZX49" s="17"/>
      <c r="ZY49" s="17"/>
      <c r="ZZ49" s="17"/>
    </row>
    <row r="50" spans="1:702" s="33" customFormat="1" x14ac:dyDescent="0.25">
      <c r="A50" s="30" t="str">
        <f>IF(COUNTA(B50:B50)=0,"", MAX(A$2:A49)+1)</f>
        <v/>
      </c>
      <c r="C50" s="34"/>
      <c r="D50" s="63"/>
      <c r="M50" s="34"/>
      <c r="Q50" s="34"/>
      <c r="U50" s="17"/>
      <c r="V50" s="62"/>
      <c r="W50" s="97"/>
      <c r="Z50" s="30" t="str">
        <f t="shared" si="0"/>
        <v/>
      </c>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c r="IB50" s="17"/>
      <c r="IC50" s="17"/>
      <c r="ID50" s="17"/>
      <c r="IE50" s="17"/>
      <c r="IF50" s="17"/>
      <c r="IG50" s="17"/>
      <c r="IH50" s="17"/>
      <c r="II50" s="17"/>
      <c r="IJ50" s="17"/>
      <c r="IK50" s="17"/>
      <c r="IL50" s="17"/>
      <c r="IM50" s="17"/>
      <c r="IN50" s="17"/>
      <c r="IO50" s="17"/>
      <c r="IP50" s="17"/>
      <c r="IQ50" s="17"/>
      <c r="IR50" s="17"/>
      <c r="IS50" s="17"/>
      <c r="IT50" s="17"/>
      <c r="IU50" s="17"/>
      <c r="IV50" s="17"/>
      <c r="IW50" s="17"/>
      <c r="IX50" s="17"/>
      <c r="IY50" s="17"/>
      <c r="IZ50" s="17"/>
      <c r="JA50" s="17"/>
      <c r="JB50" s="17"/>
      <c r="JC50" s="17"/>
      <c r="JD50" s="17"/>
      <c r="JE50" s="17"/>
      <c r="JF50" s="17"/>
      <c r="JG50" s="17"/>
      <c r="JH50" s="17"/>
      <c r="JI50" s="17"/>
      <c r="JJ50" s="17"/>
      <c r="JK50" s="17"/>
      <c r="JL50" s="17"/>
      <c r="JM50" s="17"/>
      <c r="JN50" s="17"/>
      <c r="JO50" s="17"/>
      <c r="JP50" s="17"/>
      <c r="JQ50" s="17"/>
      <c r="JR50" s="17"/>
      <c r="JS50" s="17"/>
      <c r="JT50" s="17"/>
      <c r="JU50" s="17"/>
      <c r="JV50" s="17"/>
      <c r="JW50" s="17"/>
      <c r="JX50" s="17"/>
      <c r="JY50" s="17"/>
      <c r="JZ50" s="17"/>
      <c r="KA50" s="17"/>
      <c r="KB50" s="17"/>
      <c r="KC50" s="17"/>
      <c r="KD50" s="17"/>
      <c r="KE50" s="17"/>
      <c r="KF50" s="17"/>
      <c r="KG50" s="17"/>
      <c r="KH50" s="17"/>
      <c r="KI50" s="17"/>
      <c r="KJ50" s="17"/>
      <c r="KK50" s="17"/>
      <c r="KL50" s="17"/>
      <c r="KM50" s="17"/>
      <c r="KN50" s="17"/>
      <c r="KO50" s="17"/>
      <c r="KP50" s="17"/>
      <c r="KQ50" s="17"/>
      <c r="KR50" s="17"/>
      <c r="KS50" s="17"/>
      <c r="KT50" s="17"/>
      <c r="KU50" s="17"/>
      <c r="KV50" s="17"/>
      <c r="KW50" s="17"/>
      <c r="KX50" s="17"/>
      <c r="KY50" s="17"/>
      <c r="KZ50" s="17"/>
      <c r="LA50" s="17"/>
      <c r="LB50" s="17"/>
      <c r="LC50" s="17"/>
      <c r="LD50" s="17"/>
      <c r="LE50" s="17"/>
      <c r="LF50" s="17"/>
      <c r="LG50" s="17"/>
      <c r="LH50" s="17"/>
      <c r="LI50" s="17"/>
      <c r="LJ50" s="17"/>
      <c r="LK50" s="17"/>
      <c r="LL50" s="17"/>
      <c r="LM50" s="17"/>
      <c r="LN50" s="17"/>
      <c r="LO50" s="17"/>
      <c r="LP50" s="17"/>
      <c r="LQ50" s="17"/>
      <c r="LR50" s="17"/>
      <c r="LS50" s="17"/>
      <c r="LT50" s="17"/>
      <c r="LU50" s="17"/>
      <c r="LV50" s="17"/>
      <c r="LW50" s="17"/>
      <c r="LX50" s="17"/>
      <c r="LY50" s="17"/>
      <c r="LZ50" s="17"/>
      <c r="MA50" s="17"/>
      <c r="MB50" s="17"/>
      <c r="MC50" s="17"/>
      <c r="MD50" s="17"/>
      <c r="ME50" s="17"/>
      <c r="MF50" s="17"/>
      <c r="MG50" s="17"/>
      <c r="MH50" s="17"/>
      <c r="MI50" s="17"/>
      <c r="MJ50" s="17"/>
      <c r="MK50" s="17"/>
      <c r="ML50" s="17"/>
      <c r="MM50" s="17"/>
      <c r="MN50" s="17"/>
      <c r="MO50" s="17"/>
      <c r="MP50" s="17"/>
      <c r="MQ50" s="17"/>
      <c r="MR50" s="17"/>
      <c r="MS50" s="17"/>
      <c r="MT50" s="17"/>
      <c r="MU50" s="17"/>
      <c r="MV50" s="17"/>
      <c r="MW50" s="17"/>
      <c r="MX50" s="17"/>
      <c r="MY50" s="17"/>
      <c r="MZ50" s="17"/>
      <c r="NA50" s="17"/>
      <c r="NB50" s="17"/>
      <c r="NC50" s="17"/>
      <c r="ND50" s="17"/>
      <c r="NE50" s="17"/>
      <c r="NF50" s="17"/>
      <c r="NG50" s="17"/>
      <c r="NH50" s="17"/>
      <c r="NI50" s="17"/>
      <c r="NJ50" s="17"/>
      <c r="NK50" s="17"/>
      <c r="NL50" s="17"/>
      <c r="NM50" s="17"/>
      <c r="NN50" s="17"/>
      <c r="NO50" s="17"/>
      <c r="NP50" s="17"/>
      <c r="NQ50" s="17"/>
      <c r="NR50" s="17"/>
      <c r="NS50" s="17"/>
      <c r="NT50" s="17"/>
      <c r="NU50" s="17"/>
      <c r="NV50" s="17"/>
      <c r="NW50" s="17"/>
      <c r="NX50" s="17"/>
      <c r="NY50" s="17"/>
      <c r="NZ50" s="17"/>
      <c r="OA50" s="17"/>
      <c r="OB50" s="17"/>
      <c r="OC50" s="17"/>
      <c r="OD50" s="17"/>
      <c r="OE50" s="17"/>
      <c r="OF50" s="17"/>
      <c r="OG50" s="17"/>
      <c r="OH50" s="17"/>
      <c r="OI50" s="17"/>
      <c r="OJ50" s="17"/>
      <c r="OK50" s="17"/>
      <c r="OL50" s="17"/>
      <c r="OM50" s="17"/>
      <c r="ON50" s="17"/>
      <c r="OO50" s="17"/>
      <c r="OP50" s="17"/>
      <c r="OQ50" s="17"/>
      <c r="OR50" s="17"/>
      <c r="OS50" s="17"/>
      <c r="OT50" s="17"/>
      <c r="OU50" s="17"/>
      <c r="OV50" s="17"/>
      <c r="OW50" s="17"/>
      <c r="OX50" s="17"/>
      <c r="OY50" s="17"/>
      <c r="OZ50" s="17"/>
      <c r="PA50" s="17"/>
      <c r="PB50" s="17"/>
      <c r="PC50" s="17"/>
      <c r="PD50" s="17"/>
      <c r="PE50" s="17"/>
      <c r="PF50" s="17"/>
      <c r="PG50" s="17"/>
      <c r="PH50" s="17"/>
      <c r="PI50" s="17"/>
      <c r="PJ50" s="17"/>
      <c r="PK50" s="17"/>
      <c r="PL50" s="17"/>
      <c r="PM50" s="17"/>
      <c r="PN50" s="17"/>
      <c r="PO50" s="17"/>
      <c r="PP50" s="17"/>
      <c r="PQ50" s="17"/>
      <c r="PR50" s="17"/>
      <c r="PS50" s="17"/>
      <c r="PT50" s="17"/>
      <c r="PU50" s="17"/>
      <c r="PV50" s="17"/>
      <c r="PW50" s="17"/>
      <c r="PX50" s="17"/>
      <c r="PY50" s="17"/>
      <c r="PZ50" s="17"/>
      <c r="QA50" s="17"/>
      <c r="QB50" s="17"/>
      <c r="QC50" s="17"/>
      <c r="QD50" s="17"/>
      <c r="QE50" s="17"/>
      <c r="QF50" s="17"/>
      <c r="QG50" s="17"/>
      <c r="QH50" s="17"/>
      <c r="QI50" s="17"/>
      <c r="QJ50" s="17"/>
      <c r="QK50" s="17"/>
      <c r="QL50" s="17"/>
      <c r="QM50" s="17"/>
      <c r="QN50" s="17"/>
      <c r="QO50" s="17"/>
      <c r="QP50" s="17"/>
      <c r="QQ50" s="17"/>
      <c r="QR50" s="17"/>
      <c r="QS50" s="17"/>
      <c r="QT50" s="17"/>
      <c r="QU50" s="17"/>
      <c r="QV50" s="17"/>
      <c r="QW50" s="17"/>
      <c r="QX50" s="17"/>
      <c r="QY50" s="17"/>
      <c r="QZ50" s="17"/>
      <c r="RA50" s="17"/>
      <c r="RB50" s="17"/>
      <c r="RC50" s="17"/>
      <c r="RD50" s="17"/>
      <c r="RE50" s="17"/>
      <c r="RF50" s="17"/>
      <c r="RG50" s="17"/>
      <c r="RH50" s="17"/>
      <c r="RI50" s="17"/>
      <c r="RJ50" s="17"/>
      <c r="RK50" s="17"/>
      <c r="RL50" s="17"/>
      <c r="RM50" s="17"/>
      <c r="RN50" s="17"/>
      <c r="RO50" s="17"/>
      <c r="RP50" s="17"/>
      <c r="RQ50" s="17"/>
      <c r="RR50" s="17"/>
      <c r="RS50" s="17"/>
      <c r="RT50" s="17"/>
      <c r="RU50" s="17"/>
      <c r="RV50" s="17"/>
      <c r="RW50" s="17"/>
      <c r="RX50" s="17"/>
      <c r="RY50" s="17"/>
      <c r="RZ50" s="17"/>
      <c r="SA50" s="17"/>
      <c r="SB50" s="17"/>
      <c r="SC50" s="17"/>
      <c r="SD50" s="17"/>
      <c r="SE50" s="17"/>
      <c r="SF50" s="17"/>
      <c r="SG50" s="17"/>
      <c r="SH50" s="17"/>
      <c r="SI50" s="17"/>
      <c r="SJ50" s="17"/>
      <c r="SK50" s="17"/>
      <c r="SL50" s="17"/>
      <c r="SM50" s="17"/>
      <c r="SN50" s="17"/>
      <c r="SO50" s="17"/>
      <c r="SP50" s="17"/>
      <c r="SQ50" s="17"/>
      <c r="SR50" s="17"/>
      <c r="SS50" s="17"/>
      <c r="ST50" s="17"/>
      <c r="SU50" s="17"/>
      <c r="SV50" s="17"/>
      <c r="SW50" s="17"/>
      <c r="SX50" s="17"/>
      <c r="SY50" s="17"/>
      <c r="SZ50" s="17"/>
      <c r="TA50" s="17"/>
      <c r="TB50" s="17"/>
      <c r="TC50" s="17"/>
      <c r="TD50" s="17"/>
      <c r="TE50" s="17"/>
      <c r="TF50" s="17"/>
      <c r="TG50" s="17"/>
      <c r="TH50" s="17"/>
      <c r="TI50" s="17"/>
      <c r="TJ50" s="17"/>
      <c r="TK50" s="17"/>
      <c r="TL50" s="17"/>
      <c r="TM50" s="17"/>
      <c r="TN50" s="17"/>
      <c r="TO50" s="17"/>
      <c r="TP50" s="17"/>
      <c r="TQ50" s="17"/>
      <c r="TR50" s="17"/>
      <c r="TS50" s="17"/>
      <c r="TT50" s="17"/>
      <c r="TU50" s="17"/>
      <c r="TV50" s="17"/>
      <c r="TW50" s="17"/>
      <c r="TX50" s="17"/>
      <c r="TY50" s="17"/>
      <c r="TZ50" s="17"/>
      <c r="UA50" s="17"/>
      <c r="UB50" s="17"/>
      <c r="UC50" s="17"/>
      <c r="UD50" s="17"/>
      <c r="UE50" s="17"/>
      <c r="UF50" s="17"/>
      <c r="UG50" s="17"/>
      <c r="UH50" s="17"/>
      <c r="UI50" s="17"/>
      <c r="UJ50" s="17"/>
      <c r="UK50" s="17"/>
      <c r="UL50" s="17"/>
      <c r="UM50" s="17"/>
      <c r="UN50" s="17"/>
      <c r="UO50" s="17"/>
      <c r="UP50" s="17"/>
      <c r="UQ50" s="17"/>
      <c r="UR50" s="17"/>
      <c r="US50" s="17"/>
      <c r="UT50" s="17"/>
      <c r="UU50" s="17"/>
      <c r="UV50" s="17"/>
      <c r="UW50" s="17"/>
      <c r="UX50" s="17"/>
      <c r="UY50" s="17"/>
      <c r="UZ50" s="17"/>
      <c r="VA50" s="17"/>
      <c r="VB50" s="17"/>
      <c r="VC50" s="17"/>
      <c r="VD50" s="17"/>
      <c r="VE50" s="17"/>
      <c r="VF50" s="17"/>
      <c r="VG50" s="17"/>
      <c r="VH50" s="17"/>
      <c r="VI50" s="17"/>
      <c r="VJ50" s="17"/>
      <c r="VK50" s="17"/>
      <c r="VL50" s="17"/>
      <c r="VM50" s="17"/>
      <c r="VN50" s="17"/>
      <c r="VO50" s="17"/>
      <c r="VP50" s="17"/>
      <c r="VQ50" s="17"/>
      <c r="VR50" s="17"/>
      <c r="VS50" s="17"/>
      <c r="VT50" s="17"/>
      <c r="VU50" s="17"/>
      <c r="VV50" s="17"/>
      <c r="VW50" s="17"/>
      <c r="VX50" s="17"/>
      <c r="VY50" s="17"/>
      <c r="VZ50" s="17"/>
      <c r="WA50" s="17"/>
      <c r="WB50" s="17"/>
      <c r="WC50" s="17"/>
      <c r="WD50" s="17"/>
      <c r="WE50" s="17"/>
      <c r="WF50" s="17"/>
      <c r="WG50" s="17"/>
      <c r="WH50" s="17"/>
      <c r="WI50" s="17"/>
      <c r="WJ50" s="17"/>
      <c r="WK50" s="17"/>
      <c r="WL50" s="17"/>
      <c r="WM50" s="17"/>
      <c r="WN50" s="17"/>
      <c r="WO50" s="17"/>
      <c r="WP50" s="17"/>
      <c r="WQ50" s="17"/>
      <c r="WR50" s="17"/>
      <c r="WS50" s="17"/>
      <c r="WT50" s="17"/>
      <c r="WU50" s="17"/>
      <c r="WV50" s="17"/>
      <c r="WW50" s="17"/>
      <c r="WX50" s="17"/>
      <c r="WY50" s="17"/>
      <c r="WZ50" s="17"/>
      <c r="XA50" s="17"/>
      <c r="XB50" s="17"/>
      <c r="XC50" s="17"/>
      <c r="XD50" s="17"/>
      <c r="XE50" s="17"/>
      <c r="XF50" s="17"/>
      <c r="XG50" s="17"/>
      <c r="XH50" s="17"/>
      <c r="XI50" s="17"/>
      <c r="XJ50" s="17"/>
      <c r="XK50" s="17"/>
      <c r="XL50" s="17"/>
      <c r="XM50" s="17"/>
      <c r="XN50" s="17"/>
      <c r="XO50" s="17"/>
      <c r="XP50" s="17"/>
      <c r="XQ50" s="17"/>
      <c r="XR50" s="17"/>
      <c r="XS50" s="17"/>
      <c r="XT50" s="17"/>
      <c r="XU50" s="17"/>
      <c r="XV50" s="17"/>
      <c r="XW50" s="17"/>
      <c r="XX50" s="17"/>
      <c r="XY50" s="17"/>
      <c r="XZ50" s="17"/>
      <c r="YA50" s="17"/>
      <c r="YB50" s="17"/>
      <c r="YC50" s="17"/>
      <c r="YD50" s="17"/>
      <c r="YE50" s="17"/>
      <c r="YF50" s="17"/>
      <c r="YG50" s="17"/>
      <c r="YH50" s="17"/>
      <c r="YI50" s="17"/>
      <c r="YJ50" s="17"/>
      <c r="YK50" s="17"/>
      <c r="YL50" s="17"/>
      <c r="YM50" s="17"/>
      <c r="YN50" s="17"/>
      <c r="YO50" s="17"/>
      <c r="YP50" s="17"/>
      <c r="YQ50" s="17"/>
      <c r="YR50" s="17"/>
      <c r="YS50" s="17"/>
      <c r="YT50" s="17"/>
      <c r="YU50" s="17"/>
      <c r="YV50" s="17"/>
      <c r="YW50" s="17"/>
      <c r="YX50" s="17"/>
      <c r="YY50" s="17"/>
      <c r="YZ50" s="17"/>
      <c r="ZA50" s="17"/>
      <c r="ZB50" s="17"/>
      <c r="ZC50" s="17"/>
      <c r="ZD50" s="17"/>
      <c r="ZE50" s="17"/>
      <c r="ZF50" s="17"/>
      <c r="ZG50" s="17"/>
      <c r="ZH50" s="17"/>
      <c r="ZI50" s="17"/>
      <c r="ZJ50" s="17"/>
      <c r="ZK50" s="17"/>
      <c r="ZL50" s="17"/>
      <c r="ZM50" s="17"/>
      <c r="ZN50" s="17"/>
      <c r="ZO50" s="17"/>
      <c r="ZP50" s="17"/>
      <c r="ZQ50" s="17"/>
      <c r="ZR50" s="17"/>
      <c r="ZS50" s="17"/>
      <c r="ZT50" s="17"/>
      <c r="ZU50" s="17"/>
      <c r="ZV50" s="17"/>
      <c r="ZW50" s="17"/>
      <c r="ZX50" s="17"/>
      <c r="ZY50" s="17"/>
      <c r="ZZ50" s="17"/>
    </row>
    <row r="51" spans="1:702" s="33" customFormat="1" x14ac:dyDescent="0.25">
      <c r="A51" s="30" t="str">
        <f>IF(COUNTA(B51:B51)=0,"", MAX(A$2:A50)+1)</f>
        <v/>
      </c>
      <c r="C51" s="34"/>
      <c r="D51" s="63"/>
      <c r="M51" s="34"/>
      <c r="Q51" s="34"/>
      <c r="U51" s="17"/>
      <c r="V51" s="62"/>
      <c r="W51" s="97"/>
      <c r="Z51" s="30" t="str">
        <f t="shared" si="0"/>
        <v/>
      </c>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c r="IB51" s="17"/>
      <c r="IC51" s="17"/>
      <c r="ID51" s="17"/>
      <c r="IE51" s="17"/>
      <c r="IF51" s="17"/>
      <c r="IG51" s="17"/>
      <c r="IH51" s="17"/>
      <c r="II51" s="17"/>
      <c r="IJ51" s="17"/>
      <c r="IK51" s="17"/>
      <c r="IL51" s="17"/>
      <c r="IM51" s="17"/>
      <c r="IN51" s="17"/>
      <c r="IO51" s="17"/>
      <c r="IP51" s="17"/>
      <c r="IQ51" s="17"/>
      <c r="IR51" s="17"/>
      <c r="IS51" s="17"/>
      <c r="IT51" s="17"/>
      <c r="IU51" s="17"/>
      <c r="IV51" s="17"/>
      <c r="IW51" s="17"/>
      <c r="IX51" s="17"/>
      <c r="IY51" s="17"/>
      <c r="IZ51" s="17"/>
      <c r="JA51" s="17"/>
      <c r="JB51" s="17"/>
      <c r="JC51" s="17"/>
      <c r="JD51" s="17"/>
      <c r="JE51" s="17"/>
      <c r="JF51" s="17"/>
      <c r="JG51" s="17"/>
      <c r="JH51" s="17"/>
      <c r="JI51" s="17"/>
      <c r="JJ51" s="17"/>
      <c r="JK51" s="17"/>
      <c r="JL51" s="17"/>
      <c r="JM51" s="17"/>
      <c r="JN51" s="17"/>
      <c r="JO51" s="17"/>
      <c r="JP51" s="17"/>
      <c r="JQ51" s="17"/>
      <c r="JR51" s="17"/>
      <c r="JS51" s="17"/>
      <c r="JT51" s="17"/>
      <c r="JU51" s="17"/>
      <c r="JV51" s="17"/>
      <c r="JW51" s="17"/>
      <c r="JX51" s="17"/>
      <c r="JY51" s="17"/>
      <c r="JZ51" s="17"/>
      <c r="KA51" s="17"/>
      <c r="KB51" s="17"/>
      <c r="KC51" s="17"/>
      <c r="KD51" s="17"/>
      <c r="KE51" s="17"/>
      <c r="KF51" s="17"/>
      <c r="KG51" s="17"/>
      <c r="KH51" s="17"/>
      <c r="KI51" s="17"/>
      <c r="KJ51" s="17"/>
      <c r="KK51" s="17"/>
      <c r="KL51" s="17"/>
      <c r="KM51" s="17"/>
      <c r="KN51" s="17"/>
      <c r="KO51" s="17"/>
      <c r="KP51" s="17"/>
      <c r="KQ51" s="17"/>
      <c r="KR51" s="17"/>
      <c r="KS51" s="17"/>
      <c r="KT51" s="17"/>
      <c r="KU51" s="17"/>
      <c r="KV51" s="17"/>
      <c r="KW51" s="17"/>
      <c r="KX51" s="17"/>
      <c r="KY51" s="17"/>
      <c r="KZ51" s="17"/>
      <c r="LA51" s="17"/>
      <c r="LB51" s="17"/>
      <c r="LC51" s="17"/>
      <c r="LD51" s="17"/>
      <c r="LE51" s="17"/>
      <c r="LF51" s="17"/>
      <c r="LG51" s="17"/>
      <c r="LH51" s="17"/>
      <c r="LI51" s="17"/>
      <c r="LJ51" s="17"/>
      <c r="LK51" s="17"/>
      <c r="LL51" s="17"/>
      <c r="LM51" s="17"/>
      <c r="LN51" s="17"/>
      <c r="LO51" s="17"/>
      <c r="LP51" s="17"/>
      <c r="LQ51" s="17"/>
      <c r="LR51" s="17"/>
      <c r="LS51" s="17"/>
      <c r="LT51" s="17"/>
      <c r="LU51" s="17"/>
      <c r="LV51" s="17"/>
      <c r="LW51" s="17"/>
      <c r="LX51" s="17"/>
      <c r="LY51" s="17"/>
      <c r="LZ51" s="17"/>
      <c r="MA51" s="17"/>
      <c r="MB51" s="17"/>
      <c r="MC51" s="17"/>
      <c r="MD51" s="17"/>
      <c r="ME51" s="17"/>
      <c r="MF51" s="17"/>
      <c r="MG51" s="17"/>
      <c r="MH51" s="17"/>
      <c r="MI51" s="17"/>
      <c r="MJ51" s="17"/>
      <c r="MK51" s="17"/>
      <c r="ML51" s="17"/>
      <c r="MM51" s="17"/>
      <c r="MN51" s="17"/>
      <c r="MO51" s="17"/>
      <c r="MP51" s="17"/>
      <c r="MQ51" s="17"/>
      <c r="MR51" s="17"/>
      <c r="MS51" s="17"/>
      <c r="MT51" s="17"/>
      <c r="MU51" s="17"/>
      <c r="MV51" s="17"/>
      <c r="MW51" s="17"/>
      <c r="MX51" s="17"/>
      <c r="MY51" s="17"/>
      <c r="MZ51" s="17"/>
      <c r="NA51" s="17"/>
      <c r="NB51" s="17"/>
      <c r="NC51" s="17"/>
      <c r="ND51" s="17"/>
      <c r="NE51" s="17"/>
      <c r="NF51" s="17"/>
      <c r="NG51" s="17"/>
      <c r="NH51" s="17"/>
      <c r="NI51" s="17"/>
      <c r="NJ51" s="17"/>
      <c r="NK51" s="17"/>
      <c r="NL51" s="17"/>
      <c r="NM51" s="17"/>
      <c r="NN51" s="17"/>
      <c r="NO51" s="17"/>
      <c r="NP51" s="17"/>
      <c r="NQ51" s="17"/>
      <c r="NR51" s="17"/>
      <c r="NS51" s="17"/>
      <c r="NT51" s="17"/>
      <c r="NU51" s="17"/>
      <c r="NV51" s="17"/>
      <c r="NW51" s="17"/>
      <c r="NX51" s="17"/>
      <c r="NY51" s="17"/>
      <c r="NZ51" s="17"/>
      <c r="OA51" s="17"/>
      <c r="OB51" s="17"/>
      <c r="OC51" s="17"/>
      <c r="OD51" s="17"/>
      <c r="OE51" s="17"/>
      <c r="OF51" s="17"/>
      <c r="OG51" s="17"/>
      <c r="OH51" s="17"/>
      <c r="OI51" s="17"/>
      <c r="OJ51" s="17"/>
      <c r="OK51" s="17"/>
      <c r="OL51" s="17"/>
      <c r="OM51" s="17"/>
      <c r="ON51" s="17"/>
      <c r="OO51" s="17"/>
      <c r="OP51" s="17"/>
      <c r="OQ51" s="17"/>
      <c r="OR51" s="17"/>
      <c r="OS51" s="17"/>
      <c r="OT51" s="17"/>
      <c r="OU51" s="17"/>
      <c r="OV51" s="17"/>
      <c r="OW51" s="17"/>
      <c r="OX51" s="17"/>
      <c r="OY51" s="17"/>
      <c r="OZ51" s="17"/>
      <c r="PA51" s="17"/>
      <c r="PB51" s="17"/>
      <c r="PC51" s="17"/>
      <c r="PD51" s="17"/>
      <c r="PE51" s="17"/>
      <c r="PF51" s="17"/>
      <c r="PG51" s="17"/>
      <c r="PH51" s="17"/>
      <c r="PI51" s="17"/>
      <c r="PJ51" s="17"/>
      <c r="PK51" s="17"/>
      <c r="PL51" s="17"/>
      <c r="PM51" s="17"/>
      <c r="PN51" s="17"/>
      <c r="PO51" s="17"/>
      <c r="PP51" s="17"/>
      <c r="PQ51" s="17"/>
      <c r="PR51" s="17"/>
      <c r="PS51" s="17"/>
      <c r="PT51" s="17"/>
      <c r="PU51" s="17"/>
      <c r="PV51" s="17"/>
      <c r="PW51" s="17"/>
      <c r="PX51" s="17"/>
      <c r="PY51" s="17"/>
      <c r="PZ51" s="17"/>
      <c r="QA51" s="17"/>
      <c r="QB51" s="17"/>
      <c r="QC51" s="17"/>
      <c r="QD51" s="17"/>
      <c r="QE51" s="17"/>
      <c r="QF51" s="17"/>
      <c r="QG51" s="17"/>
      <c r="QH51" s="17"/>
      <c r="QI51" s="17"/>
      <c r="QJ51" s="17"/>
      <c r="QK51" s="17"/>
      <c r="QL51" s="17"/>
      <c r="QM51" s="17"/>
      <c r="QN51" s="17"/>
      <c r="QO51" s="17"/>
      <c r="QP51" s="17"/>
      <c r="QQ51" s="17"/>
      <c r="QR51" s="17"/>
      <c r="QS51" s="17"/>
      <c r="QT51" s="17"/>
      <c r="QU51" s="17"/>
      <c r="QV51" s="17"/>
      <c r="QW51" s="17"/>
      <c r="QX51" s="17"/>
      <c r="QY51" s="17"/>
      <c r="QZ51" s="17"/>
      <c r="RA51" s="17"/>
      <c r="RB51" s="17"/>
      <c r="RC51" s="17"/>
      <c r="RD51" s="17"/>
      <c r="RE51" s="17"/>
      <c r="RF51" s="17"/>
      <c r="RG51" s="17"/>
      <c r="RH51" s="17"/>
      <c r="RI51" s="17"/>
      <c r="RJ51" s="17"/>
      <c r="RK51" s="17"/>
      <c r="RL51" s="17"/>
      <c r="RM51" s="17"/>
      <c r="RN51" s="17"/>
      <c r="RO51" s="17"/>
      <c r="RP51" s="17"/>
      <c r="RQ51" s="17"/>
      <c r="RR51" s="17"/>
      <c r="RS51" s="17"/>
      <c r="RT51" s="17"/>
      <c r="RU51" s="17"/>
      <c r="RV51" s="17"/>
      <c r="RW51" s="17"/>
      <c r="RX51" s="17"/>
      <c r="RY51" s="17"/>
      <c r="RZ51" s="17"/>
      <c r="SA51" s="17"/>
      <c r="SB51" s="17"/>
      <c r="SC51" s="17"/>
      <c r="SD51" s="17"/>
      <c r="SE51" s="17"/>
      <c r="SF51" s="17"/>
      <c r="SG51" s="17"/>
      <c r="SH51" s="17"/>
      <c r="SI51" s="17"/>
      <c r="SJ51" s="17"/>
      <c r="SK51" s="17"/>
      <c r="SL51" s="17"/>
      <c r="SM51" s="17"/>
      <c r="SN51" s="17"/>
      <c r="SO51" s="17"/>
      <c r="SP51" s="17"/>
      <c r="SQ51" s="17"/>
      <c r="SR51" s="17"/>
      <c r="SS51" s="17"/>
      <c r="ST51" s="17"/>
      <c r="SU51" s="17"/>
      <c r="SV51" s="17"/>
      <c r="SW51" s="17"/>
      <c r="SX51" s="17"/>
      <c r="SY51" s="17"/>
      <c r="SZ51" s="17"/>
      <c r="TA51" s="17"/>
      <c r="TB51" s="17"/>
      <c r="TC51" s="17"/>
      <c r="TD51" s="17"/>
      <c r="TE51" s="17"/>
      <c r="TF51" s="17"/>
      <c r="TG51" s="17"/>
      <c r="TH51" s="17"/>
      <c r="TI51" s="17"/>
      <c r="TJ51" s="17"/>
      <c r="TK51" s="17"/>
      <c r="TL51" s="17"/>
      <c r="TM51" s="17"/>
      <c r="TN51" s="17"/>
      <c r="TO51" s="17"/>
      <c r="TP51" s="17"/>
      <c r="TQ51" s="17"/>
      <c r="TR51" s="17"/>
      <c r="TS51" s="17"/>
      <c r="TT51" s="17"/>
      <c r="TU51" s="17"/>
      <c r="TV51" s="17"/>
      <c r="TW51" s="17"/>
      <c r="TX51" s="17"/>
      <c r="TY51" s="17"/>
      <c r="TZ51" s="17"/>
      <c r="UA51" s="17"/>
      <c r="UB51" s="17"/>
      <c r="UC51" s="17"/>
      <c r="UD51" s="17"/>
      <c r="UE51" s="17"/>
      <c r="UF51" s="17"/>
      <c r="UG51" s="17"/>
      <c r="UH51" s="17"/>
      <c r="UI51" s="17"/>
      <c r="UJ51" s="17"/>
      <c r="UK51" s="17"/>
      <c r="UL51" s="17"/>
      <c r="UM51" s="17"/>
      <c r="UN51" s="17"/>
      <c r="UO51" s="17"/>
      <c r="UP51" s="17"/>
      <c r="UQ51" s="17"/>
      <c r="UR51" s="17"/>
      <c r="US51" s="17"/>
      <c r="UT51" s="17"/>
      <c r="UU51" s="17"/>
      <c r="UV51" s="17"/>
      <c r="UW51" s="17"/>
      <c r="UX51" s="17"/>
      <c r="UY51" s="17"/>
      <c r="UZ51" s="17"/>
      <c r="VA51" s="17"/>
      <c r="VB51" s="17"/>
      <c r="VC51" s="17"/>
      <c r="VD51" s="17"/>
      <c r="VE51" s="17"/>
      <c r="VF51" s="17"/>
      <c r="VG51" s="17"/>
      <c r="VH51" s="17"/>
      <c r="VI51" s="17"/>
      <c r="VJ51" s="17"/>
      <c r="VK51" s="17"/>
      <c r="VL51" s="17"/>
      <c r="VM51" s="17"/>
      <c r="VN51" s="17"/>
      <c r="VO51" s="17"/>
      <c r="VP51" s="17"/>
      <c r="VQ51" s="17"/>
      <c r="VR51" s="17"/>
      <c r="VS51" s="17"/>
      <c r="VT51" s="17"/>
      <c r="VU51" s="17"/>
      <c r="VV51" s="17"/>
      <c r="VW51" s="17"/>
      <c r="VX51" s="17"/>
      <c r="VY51" s="17"/>
      <c r="VZ51" s="17"/>
      <c r="WA51" s="17"/>
      <c r="WB51" s="17"/>
      <c r="WC51" s="17"/>
      <c r="WD51" s="17"/>
      <c r="WE51" s="17"/>
      <c r="WF51" s="17"/>
      <c r="WG51" s="17"/>
      <c r="WH51" s="17"/>
      <c r="WI51" s="17"/>
      <c r="WJ51" s="17"/>
      <c r="WK51" s="17"/>
      <c r="WL51" s="17"/>
      <c r="WM51" s="17"/>
      <c r="WN51" s="17"/>
      <c r="WO51" s="17"/>
      <c r="WP51" s="17"/>
      <c r="WQ51" s="17"/>
      <c r="WR51" s="17"/>
      <c r="WS51" s="17"/>
      <c r="WT51" s="17"/>
      <c r="WU51" s="17"/>
      <c r="WV51" s="17"/>
      <c r="WW51" s="17"/>
      <c r="WX51" s="17"/>
      <c r="WY51" s="17"/>
      <c r="WZ51" s="17"/>
      <c r="XA51" s="17"/>
      <c r="XB51" s="17"/>
      <c r="XC51" s="17"/>
      <c r="XD51" s="17"/>
      <c r="XE51" s="17"/>
      <c r="XF51" s="17"/>
      <c r="XG51" s="17"/>
      <c r="XH51" s="17"/>
      <c r="XI51" s="17"/>
      <c r="XJ51" s="17"/>
      <c r="XK51" s="17"/>
      <c r="XL51" s="17"/>
      <c r="XM51" s="17"/>
      <c r="XN51" s="17"/>
      <c r="XO51" s="17"/>
      <c r="XP51" s="17"/>
      <c r="XQ51" s="17"/>
      <c r="XR51" s="17"/>
      <c r="XS51" s="17"/>
      <c r="XT51" s="17"/>
      <c r="XU51" s="17"/>
      <c r="XV51" s="17"/>
      <c r="XW51" s="17"/>
      <c r="XX51" s="17"/>
      <c r="XY51" s="17"/>
      <c r="XZ51" s="17"/>
      <c r="YA51" s="17"/>
      <c r="YB51" s="17"/>
      <c r="YC51" s="17"/>
      <c r="YD51" s="17"/>
      <c r="YE51" s="17"/>
      <c r="YF51" s="17"/>
      <c r="YG51" s="17"/>
      <c r="YH51" s="17"/>
      <c r="YI51" s="17"/>
      <c r="YJ51" s="17"/>
      <c r="YK51" s="17"/>
      <c r="YL51" s="17"/>
      <c r="YM51" s="17"/>
      <c r="YN51" s="17"/>
      <c r="YO51" s="17"/>
      <c r="YP51" s="17"/>
      <c r="YQ51" s="17"/>
      <c r="YR51" s="17"/>
      <c r="YS51" s="17"/>
      <c r="YT51" s="17"/>
      <c r="YU51" s="17"/>
      <c r="YV51" s="17"/>
      <c r="YW51" s="17"/>
      <c r="YX51" s="17"/>
      <c r="YY51" s="17"/>
      <c r="YZ51" s="17"/>
      <c r="ZA51" s="17"/>
      <c r="ZB51" s="17"/>
      <c r="ZC51" s="17"/>
      <c r="ZD51" s="17"/>
      <c r="ZE51" s="17"/>
      <c r="ZF51" s="17"/>
      <c r="ZG51" s="17"/>
      <c r="ZH51" s="17"/>
      <c r="ZI51" s="17"/>
      <c r="ZJ51" s="17"/>
      <c r="ZK51" s="17"/>
      <c r="ZL51" s="17"/>
      <c r="ZM51" s="17"/>
      <c r="ZN51" s="17"/>
      <c r="ZO51" s="17"/>
      <c r="ZP51" s="17"/>
      <c r="ZQ51" s="17"/>
      <c r="ZR51" s="17"/>
      <c r="ZS51" s="17"/>
      <c r="ZT51" s="17"/>
      <c r="ZU51" s="17"/>
      <c r="ZV51" s="17"/>
      <c r="ZW51" s="17"/>
      <c r="ZX51" s="17"/>
      <c r="ZY51" s="17"/>
      <c r="ZZ51" s="17"/>
    </row>
    <row r="52" spans="1:702" s="33" customFormat="1" x14ac:dyDescent="0.25">
      <c r="A52" s="30" t="str">
        <f>IF(COUNTA(B52:B52)=0,"", MAX(A$2:A51)+1)</f>
        <v/>
      </c>
      <c r="C52" s="34"/>
      <c r="D52" s="63"/>
      <c r="M52" s="34"/>
      <c r="Q52" s="34"/>
      <c r="U52" s="17"/>
      <c r="V52" s="62"/>
      <c r="W52" s="97"/>
      <c r="Z52" s="30" t="str">
        <f t="shared" si="0"/>
        <v/>
      </c>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c r="IB52" s="17"/>
      <c r="IC52" s="17"/>
      <c r="ID52" s="17"/>
      <c r="IE52" s="17"/>
      <c r="IF52" s="17"/>
      <c r="IG52" s="17"/>
      <c r="IH52" s="17"/>
      <c r="II52" s="17"/>
      <c r="IJ52" s="17"/>
      <c r="IK52" s="17"/>
      <c r="IL52" s="17"/>
      <c r="IM52" s="17"/>
      <c r="IN52" s="17"/>
      <c r="IO52" s="17"/>
      <c r="IP52" s="17"/>
      <c r="IQ52" s="17"/>
      <c r="IR52" s="17"/>
      <c r="IS52" s="17"/>
      <c r="IT52" s="17"/>
      <c r="IU52" s="17"/>
      <c r="IV52" s="17"/>
      <c r="IW52" s="17"/>
      <c r="IX52" s="17"/>
      <c r="IY52" s="17"/>
      <c r="IZ52" s="17"/>
      <c r="JA52" s="17"/>
      <c r="JB52" s="17"/>
      <c r="JC52" s="17"/>
      <c r="JD52" s="17"/>
      <c r="JE52" s="17"/>
      <c r="JF52" s="17"/>
      <c r="JG52" s="17"/>
      <c r="JH52" s="17"/>
      <c r="JI52" s="17"/>
      <c r="JJ52" s="17"/>
      <c r="JK52" s="17"/>
      <c r="JL52" s="17"/>
      <c r="JM52" s="17"/>
      <c r="JN52" s="17"/>
      <c r="JO52" s="17"/>
      <c r="JP52" s="17"/>
      <c r="JQ52" s="17"/>
      <c r="JR52" s="17"/>
      <c r="JS52" s="17"/>
      <c r="JT52" s="17"/>
      <c r="JU52" s="17"/>
      <c r="JV52" s="17"/>
      <c r="JW52" s="17"/>
      <c r="JX52" s="17"/>
      <c r="JY52" s="17"/>
      <c r="JZ52" s="17"/>
      <c r="KA52" s="17"/>
      <c r="KB52" s="17"/>
      <c r="KC52" s="17"/>
      <c r="KD52" s="17"/>
      <c r="KE52" s="17"/>
      <c r="KF52" s="17"/>
      <c r="KG52" s="17"/>
      <c r="KH52" s="17"/>
      <c r="KI52" s="17"/>
      <c r="KJ52" s="17"/>
      <c r="KK52" s="17"/>
      <c r="KL52" s="17"/>
      <c r="KM52" s="17"/>
      <c r="KN52" s="17"/>
      <c r="KO52" s="17"/>
      <c r="KP52" s="17"/>
      <c r="KQ52" s="17"/>
      <c r="KR52" s="17"/>
      <c r="KS52" s="17"/>
      <c r="KT52" s="17"/>
      <c r="KU52" s="17"/>
      <c r="KV52" s="17"/>
      <c r="KW52" s="17"/>
      <c r="KX52" s="17"/>
      <c r="KY52" s="17"/>
      <c r="KZ52" s="17"/>
      <c r="LA52" s="17"/>
      <c r="LB52" s="17"/>
      <c r="LC52" s="17"/>
      <c r="LD52" s="17"/>
      <c r="LE52" s="17"/>
      <c r="LF52" s="17"/>
      <c r="LG52" s="17"/>
      <c r="LH52" s="17"/>
      <c r="LI52" s="17"/>
      <c r="LJ52" s="17"/>
      <c r="LK52" s="17"/>
      <c r="LL52" s="17"/>
      <c r="LM52" s="17"/>
      <c r="LN52" s="17"/>
      <c r="LO52" s="17"/>
      <c r="LP52" s="17"/>
      <c r="LQ52" s="17"/>
      <c r="LR52" s="17"/>
      <c r="LS52" s="17"/>
      <c r="LT52" s="17"/>
      <c r="LU52" s="17"/>
      <c r="LV52" s="17"/>
      <c r="LW52" s="17"/>
      <c r="LX52" s="17"/>
      <c r="LY52" s="17"/>
      <c r="LZ52" s="17"/>
      <c r="MA52" s="17"/>
      <c r="MB52" s="17"/>
      <c r="MC52" s="17"/>
      <c r="MD52" s="17"/>
      <c r="ME52" s="17"/>
      <c r="MF52" s="17"/>
      <c r="MG52" s="17"/>
      <c r="MH52" s="17"/>
      <c r="MI52" s="17"/>
      <c r="MJ52" s="17"/>
      <c r="MK52" s="17"/>
      <c r="ML52" s="17"/>
      <c r="MM52" s="17"/>
      <c r="MN52" s="17"/>
      <c r="MO52" s="17"/>
      <c r="MP52" s="17"/>
      <c r="MQ52" s="17"/>
      <c r="MR52" s="17"/>
      <c r="MS52" s="17"/>
      <c r="MT52" s="17"/>
      <c r="MU52" s="17"/>
      <c r="MV52" s="17"/>
      <c r="MW52" s="17"/>
      <c r="MX52" s="17"/>
      <c r="MY52" s="17"/>
      <c r="MZ52" s="17"/>
      <c r="NA52" s="17"/>
      <c r="NB52" s="17"/>
      <c r="NC52" s="17"/>
      <c r="ND52" s="17"/>
      <c r="NE52" s="17"/>
      <c r="NF52" s="17"/>
      <c r="NG52" s="17"/>
      <c r="NH52" s="17"/>
      <c r="NI52" s="17"/>
      <c r="NJ52" s="17"/>
      <c r="NK52" s="17"/>
      <c r="NL52" s="17"/>
      <c r="NM52" s="17"/>
      <c r="NN52" s="17"/>
      <c r="NO52" s="17"/>
      <c r="NP52" s="17"/>
      <c r="NQ52" s="17"/>
      <c r="NR52" s="17"/>
      <c r="NS52" s="17"/>
      <c r="NT52" s="17"/>
      <c r="NU52" s="17"/>
      <c r="NV52" s="17"/>
      <c r="NW52" s="17"/>
      <c r="NX52" s="17"/>
      <c r="NY52" s="17"/>
      <c r="NZ52" s="17"/>
      <c r="OA52" s="17"/>
      <c r="OB52" s="17"/>
      <c r="OC52" s="17"/>
      <c r="OD52" s="17"/>
      <c r="OE52" s="17"/>
      <c r="OF52" s="17"/>
      <c r="OG52" s="17"/>
      <c r="OH52" s="17"/>
      <c r="OI52" s="17"/>
      <c r="OJ52" s="17"/>
      <c r="OK52" s="17"/>
      <c r="OL52" s="17"/>
      <c r="OM52" s="17"/>
      <c r="ON52" s="17"/>
      <c r="OO52" s="17"/>
      <c r="OP52" s="17"/>
      <c r="OQ52" s="17"/>
      <c r="OR52" s="17"/>
      <c r="OS52" s="17"/>
      <c r="OT52" s="17"/>
      <c r="OU52" s="17"/>
      <c r="OV52" s="17"/>
      <c r="OW52" s="17"/>
      <c r="OX52" s="17"/>
      <c r="OY52" s="17"/>
      <c r="OZ52" s="17"/>
      <c r="PA52" s="17"/>
      <c r="PB52" s="17"/>
      <c r="PC52" s="17"/>
      <c r="PD52" s="17"/>
      <c r="PE52" s="17"/>
      <c r="PF52" s="17"/>
      <c r="PG52" s="17"/>
      <c r="PH52" s="17"/>
      <c r="PI52" s="17"/>
      <c r="PJ52" s="17"/>
      <c r="PK52" s="17"/>
      <c r="PL52" s="17"/>
      <c r="PM52" s="17"/>
      <c r="PN52" s="17"/>
      <c r="PO52" s="17"/>
      <c r="PP52" s="17"/>
      <c r="PQ52" s="17"/>
      <c r="PR52" s="17"/>
      <c r="PS52" s="17"/>
      <c r="PT52" s="17"/>
      <c r="PU52" s="17"/>
      <c r="PV52" s="17"/>
      <c r="PW52" s="17"/>
      <c r="PX52" s="17"/>
      <c r="PY52" s="17"/>
      <c r="PZ52" s="17"/>
      <c r="QA52" s="17"/>
      <c r="QB52" s="17"/>
      <c r="QC52" s="17"/>
      <c r="QD52" s="17"/>
      <c r="QE52" s="17"/>
      <c r="QF52" s="17"/>
      <c r="QG52" s="17"/>
      <c r="QH52" s="17"/>
      <c r="QI52" s="17"/>
      <c r="QJ52" s="17"/>
      <c r="QK52" s="17"/>
      <c r="QL52" s="17"/>
      <c r="QM52" s="17"/>
      <c r="QN52" s="17"/>
      <c r="QO52" s="17"/>
      <c r="QP52" s="17"/>
      <c r="QQ52" s="17"/>
      <c r="QR52" s="17"/>
      <c r="QS52" s="17"/>
      <c r="QT52" s="17"/>
      <c r="QU52" s="17"/>
      <c r="QV52" s="17"/>
      <c r="QW52" s="17"/>
      <c r="QX52" s="17"/>
      <c r="QY52" s="17"/>
      <c r="QZ52" s="17"/>
      <c r="RA52" s="17"/>
      <c r="RB52" s="17"/>
      <c r="RC52" s="17"/>
      <c r="RD52" s="17"/>
      <c r="RE52" s="17"/>
      <c r="RF52" s="17"/>
      <c r="RG52" s="17"/>
      <c r="RH52" s="17"/>
      <c r="RI52" s="17"/>
      <c r="RJ52" s="17"/>
      <c r="RK52" s="17"/>
      <c r="RL52" s="17"/>
      <c r="RM52" s="17"/>
      <c r="RN52" s="17"/>
      <c r="RO52" s="17"/>
      <c r="RP52" s="17"/>
      <c r="RQ52" s="17"/>
      <c r="RR52" s="17"/>
      <c r="RS52" s="17"/>
      <c r="RT52" s="17"/>
      <c r="RU52" s="17"/>
      <c r="RV52" s="17"/>
      <c r="RW52" s="17"/>
      <c r="RX52" s="17"/>
      <c r="RY52" s="17"/>
      <c r="RZ52" s="17"/>
      <c r="SA52" s="17"/>
      <c r="SB52" s="17"/>
      <c r="SC52" s="17"/>
      <c r="SD52" s="17"/>
      <c r="SE52" s="17"/>
      <c r="SF52" s="17"/>
      <c r="SG52" s="17"/>
      <c r="SH52" s="17"/>
      <c r="SI52" s="17"/>
      <c r="SJ52" s="17"/>
      <c r="SK52" s="17"/>
      <c r="SL52" s="17"/>
      <c r="SM52" s="17"/>
      <c r="SN52" s="17"/>
      <c r="SO52" s="17"/>
      <c r="SP52" s="17"/>
      <c r="SQ52" s="17"/>
      <c r="SR52" s="17"/>
      <c r="SS52" s="17"/>
      <c r="ST52" s="17"/>
      <c r="SU52" s="17"/>
      <c r="SV52" s="17"/>
      <c r="SW52" s="17"/>
      <c r="SX52" s="17"/>
      <c r="SY52" s="17"/>
      <c r="SZ52" s="17"/>
      <c r="TA52" s="17"/>
      <c r="TB52" s="17"/>
      <c r="TC52" s="17"/>
      <c r="TD52" s="17"/>
      <c r="TE52" s="17"/>
      <c r="TF52" s="17"/>
      <c r="TG52" s="17"/>
      <c r="TH52" s="17"/>
      <c r="TI52" s="17"/>
      <c r="TJ52" s="17"/>
      <c r="TK52" s="17"/>
      <c r="TL52" s="17"/>
      <c r="TM52" s="17"/>
      <c r="TN52" s="17"/>
      <c r="TO52" s="17"/>
      <c r="TP52" s="17"/>
      <c r="TQ52" s="17"/>
      <c r="TR52" s="17"/>
      <c r="TS52" s="17"/>
      <c r="TT52" s="17"/>
      <c r="TU52" s="17"/>
      <c r="TV52" s="17"/>
      <c r="TW52" s="17"/>
      <c r="TX52" s="17"/>
      <c r="TY52" s="17"/>
      <c r="TZ52" s="17"/>
      <c r="UA52" s="17"/>
      <c r="UB52" s="17"/>
      <c r="UC52" s="17"/>
      <c r="UD52" s="17"/>
      <c r="UE52" s="17"/>
      <c r="UF52" s="17"/>
      <c r="UG52" s="17"/>
      <c r="UH52" s="17"/>
      <c r="UI52" s="17"/>
      <c r="UJ52" s="17"/>
      <c r="UK52" s="17"/>
      <c r="UL52" s="17"/>
      <c r="UM52" s="17"/>
      <c r="UN52" s="17"/>
      <c r="UO52" s="17"/>
      <c r="UP52" s="17"/>
      <c r="UQ52" s="17"/>
      <c r="UR52" s="17"/>
      <c r="US52" s="17"/>
      <c r="UT52" s="17"/>
      <c r="UU52" s="17"/>
      <c r="UV52" s="17"/>
      <c r="UW52" s="17"/>
      <c r="UX52" s="17"/>
      <c r="UY52" s="17"/>
      <c r="UZ52" s="17"/>
      <c r="VA52" s="17"/>
      <c r="VB52" s="17"/>
      <c r="VC52" s="17"/>
      <c r="VD52" s="17"/>
      <c r="VE52" s="17"/>
      <c r="VF52" s="17"/>
      <c r="VG52" s="17"/>
      <c r="VH52" s="17"/>
      <c r="VI52" s="17"/>
      <c r="VJ52" s="17"/>
      <c r="VK52" s="17"/>
      <c r="VL52" s="17"/>
      <c r="VM52" s="17"/>
      <c r="VN52" s="17"/>
      <c r="VO52" s="17"/>
      <c r="VP52" s="17"/>
      <c r="VQ52" s="17"/>
      <c r="VR52" s="17"/>
      <c r="VS52" s="17"/>
      <c r="VT52" s="17"/>
      <c r="VU52" s="17"/>
      <c r="VV52" s="17"/>
      <c r="VW52" s="17"/>
      <c r="VX52" s="17"/>
      <c r="VY52" s="17"/>
      <c r="VZ52" s="17"/>
      <c r="WA52" s="17"/>
      <c r="WB52" s="17"/>
      <c r="WC52" s="17"/>
      <c r="WD52" s="17"/>
      <c r="WE52" s="17"/>
      <c r="WF52" s="17"/>
      <c r="WG52" s="17"/>
      <c r="WH52" s="17"/>
      <c r="WI52" s="17"/>
      <c r="WJ52" s="17"/>
      <c r="WK52" s="17"/>
      <c r="WL52" s="17"/>
      <c r="WM52" s="17"/>
      <c r="WN52" s="17"/>
      <c r="WO52" s="17"/>
      <c r="WP52" s="17"/>
      <c r="WQ52" s="17"/>
      <c r="WR52" s="17"/>
      <c r="WS52" s="17"/>
      <c r="WT52" s="17"/>
      <c r="WU52" s="17"/>
      <c r="WV52" s="17"/>
      <c r="WW52" s="17"/>
      <c r="WX52" s="17"/>
      <c r="WY52" s="17"/>
      <c r="WZ52" s="17"/>
      <c r="XA52" s="17"/>
      <c r="XB52" s="17"/>
      <c r="XC52" s="17"/>
      <c r="XD52" s="17"/>
      <c r="XE52" s="17"/>
      <c r="XF52" s="17"/>
      <c r="XG52" s="17"/>
      <c r="XH52" s="17"/>
      <c r="XI52" s="17"/>
      <c r="XJ52" s="17"/>
      <c r="XK52" s="17"/>
      <c r="XL52" s="17"/>
      <c r="XM52" s="17"/>
      <c r="XN52" s="17"/>
      <c r="XO52" s="17"/>
      <c r="XP52" s="17"/>
      <c r="XQ52" s="17"/>
      <c r="XR52" s="17"/>
      <c r="XS52" s="17"/>
      <c r="XT52" s="17"/>
      <c r="XU52" s="17"/>
      <c r="XV52" s="17"/>
      <c r="XW52" s="17"/>
      <c r="XX52" s="17"/>
      <c r="XY52" s="17"/>
      <c r="XZ52" s="17"/>
      <c r="YA52" s="17"/>
      <c r="YB52" s="17"/>
      <c r="YC52" s="17"/>
      <c r="YD52" s="17"/>
      <c r="YE52" s="17"/>
      <c r="YF52" s="17"/>
      <c r="YG52" s="17"/>
      <c r="YH52" s="17"/>
      <c r="YI52" s="17"/>
      <c r="YJ52" s="17"/>
      <c r="YK52" s="17"/>
      <c r="YL52" s="17"/>
      <c r="YM52" s="17"/>
      <c r="YN52" s="17"/>
      <c r="YO52" s="17"/>
      <c r="YP52" s="17"/>
      <c r="YQ52" s="17"/>
      <c r="YR52" s="17"/>
      <c r="YS52" s="17"/>
      <c r="YT52" s="17"/>
      <c r="YU52" s="17"/>
      <c r="YV52" s="17"/>
      <c r="YW52" s="17"/>
      <c r="YX52" s="17"/>
      <c r="YY52" s="17"/>
      <c r="YZ52" s="17"/>
      <c r="ZA52" s="17"/>
      <c r="ZB52" s="17"/>
      <c r="ZC52" s="17"/>
      <c r="ZD52" s="17"/>
      <c r="ZE52" s="17"/>
      <c r="ZF52" s="17"/>
      <c r="ZG52" s="17"/>
      <c r="ZH52" s="17"/>
      <c r="ZI52" s="17"/>
      <c r="ZJ52" s="17"/>
      <c r="ZK52" s="17"/>
      <c r="ZL52" s="17"/>
      <c r="ZM52" s="17"/>
      <c r="ZN52" s="17"/>
      <c r="ZO52" s="17"/>
      <c r="ZP52" s="17"/>
      <c r="ZQ52" s="17"/>
      <c r="ZR52" s="17"/>
      <c r="ZS52" s="17"/>
      <c r="ZT52" s="17"/>
      <c r="ZU52" s="17"/>
      <c r="ZV52" s="17"/>
      <c r="ZW52" s="17"/>
      <c r="ZX52" s="17"/>
      <c r="ZY52" s="17"/>
      <c r="ZZ52" s="17"/>
    </row>
    <row r="53" spans="1:702" s="33" customFormat="1" x14ac:dyDescent="0.25">
      <c r="A53" s="30" t="str">
        <f>IF(COUNTA(B53:B53)=0,"", MAX(A$2:A52)+1)</f>
        <v/>
      </c>
      <c r="C53" s="34"/>
      <c r="D53" s="63"/>
      <c r="M53" s="34"/>
      <c r="Q53" s="34"/>
      <c r="U53" s="17"/>
      <c r="V53" s="62"/>
      <c r="W53" s="97"/>
      <c r="Z53" s="30" t="str">
        <f t="shared" si="0"/>
        <v/>
      </c>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c r="DG53" s="17"/>
      <c r="DH53" s="17"/>
      <c r="DI53" s="17"/>
      <c r="DJ53" s="17"/>
      <c r="DK53" s="17"/>
      <c r="DL53" s="17"/>
      <c r="DM53" s="17"/>
      <c r="DN53" s="17"/>
      <c r="DO53" s="17"/>
      <c r="DP53" s="17"/>
      <c r="DQ53" s="17"/>
      <c r="DR53" s="17"/>
      <c r="DS53" s="17"/>
      <c r="DT53" s="17"/>
      <c r="DU53" s="17"/>
      <c r="DV53" s="17"/>
      <c r="DW53" s="17"/>
      <c r="DX53" s="17"/>
      <c r="DY53" s="17"/>
      <c r="DZ53" s="17"/>
      <c r="EA53" s="17"/>
      <c r="EB53" s="17"/>
      <c r="EC53" s="17"/>
      <c r="ED53" s="17"/>
      <c r="EE53" s="17"/>
      <c r="EF53" s="17"/>
      <c r="EG53" s="17"/>
      <c r="EH53" s="17"/>
      <c r="EI53" s="17"/>
      <c r="EJ53" s="17"/>
      <c r="EK53" s="17"/>
      <c r="EL53" s="17"/>
      <c r="EM53" s="17"/>
      <c r="EN53" s="17"/>
      <c r="EO53" s="17"/>
      <c r="EP53" s="17"/>
      <c r="EQ53" s="17"/>
      <c r="ER53" s="17"/>
      <c r="ES53" s="17"/>
      <c r="ET53" s="17"/>
      <c r="EU53" s="17"/>
      <c r="EV53" s="17"/>
      <c r="EW53" s="17"/>
      <c r="EX53" s="17"/>
      <c r="EY53" s="17"/>
      <c r="EZ53" s="17"/>
      <c r="FA53" s="17"/>
      <c r="FB53" s="17"/>
      <c r="FC53" s="17"/>
      <c r="FD53" s="17"/>
      <c r="FE53" s="17"/>
      <c r="FF53" s="17"/>
      <c r="FG53" s="17"/>
      <c r="FH53" s="17"/>
      <c r="FI53" s="17"/>
      <c r="FJ53" s="17"/>
      <c r="FK53" s="17"/>
      <c r="FL53" s="17"/>
      <c r="FM53" s="17"/>
      <c r="FN53" s="17"/>
      <c r="FO53" s="17"/>
      <c r="FP53" s="17"/>
      <c r="FQ53" s="17"/>
      <c r="FR53" s="17"/>
      <c r="FS53" s="17"/>
      <c r="FT53" s="17"/>
      <c r="FU53" s="17"/>
      <c r="FV53" s="17"/>
      <c r="FW53" s="17"/>
      <c r="FX53" s="17"/>
      <c r="FY53" s="17"/>
      <c r="FZ53" s="17"/>
      <c r="GA53" s="17"/>
      <c r="GB53" s="17"/>
      <c r="GC53" s="17"/>
      <c r="GD53" s="17"/>
      <c r="GE53" s="17"/>
      <c r="GF53" s="17"/>
      <c r="GG53" s="17"/>
      <c r="GH53" s="17"/>
      <c r="GI53" s="17"/>
      <c r="GJ53" s="17"/>
      <c r="GK53" s="17"/>
      <c r="GL53" s="17"/>
      <c r="GM53" s="17"/>
      <c r="GN53" s="17"/>
      <c r="GO53" s="17"/>
      <c r="GP53" s="17"/>
      <c r="GQ53" s="17"/>
      <c r="GR53" s="17"/>
      <c r="GS53" s="17"/>
      <c r="GT53" s="17"/>
      <c r="GU53" s="17"/>
      <c r="GV53" s="17"/>
      <c r="GW53" s="17"/>
      <c r="GX53" s="17"/>
      <c r="GY53" s="17"/>
      <c r="GZ53" s="17"/>
      <c r="HA53" s="17"/>
      <c r="HB53" s="17"/>
      <c r="HC53" s="17"/>
      <c r="HD53" s="17"/>
      <c r="HE53" s="17"/>
      <c r="HF53" s="17"/>
      <c r="HG53" s="17"/>
      <c r="HH53" s="17"/>
      <c r="HI53" s="17"/>
      <c r="HJ53" s="17"/>
      <c r="HK53" s="17"/>
      <c r="HL53" s="17"/>
      <c r="HM53" s="17"/>
      <c r="HN53" s="17"/>
      <c r="HO53" s="17"/>
      <c r="HP53" s="17"/>
      <c r="HQ53" s="17"/>
      <c r="HR53" s="17"/>
      <c r="HS53" s="17"/>
      <c r="HT53" s="17"/>
      <c r="HU53" s="17"/>
      <c r="HV53" s="17"/>
      <c r="HW53" s="17"/>
      <c r="HX53" s="17"/>
      <c r="HY53" s="17"/>
      <c r="HZ53" s="17"/>
      <c r="IA53" s="17"/>
      <c r="IB53" s="17"/>
      <c r="IC53" s="17"/>
      <c r="ID53" s="17"/>
      <c r="IE53" s="17"/>
      <c r="IF53" s="17"/>
      <c r="IG53" s="17"/>
      <c r="IH53" s="17"/>
      <c r="II53" s="17"/>
      <c r="IJ53" s="17"/>
      <c r="IK53" s="17"/>
      <c r="IL53" s="17"/>
      <c r="IM53" s="17"/>
      <c r="IN53" s="17"/>
      <c r="IO53" s="17"/>
      <c r="IP53" s="17"/>
      <c r="IQ53" s="17"/>
      <c r="IR53" s="17"/>
      <c r="IS53" s="17"/>
      <c r="IT53" s="17"/>
      <c r="IU53" s="17"/>
      <c r="IV53" s="17"/>
      <c r="IW53" s="17"/>
      <c r="IX53" s="17"/>
      <c r="IY53" s="17"/>
      <c r="IZ53" s="17"/>
      <c r="JA53" s="17"/>
      <c r="JB53" s="17"/>
      <c r="JC53" s="17"/>
      <c r="JD53" s="17"/>
      <c r="JE53" s="17"/>
      <c r="JF53" s="17"/>
      <c r="JG53" s="17"/>
      <c r="JH53" s="17"/>
      <c r="JI53" s="17"/>
      <c r="JJ53" s="17"/>
      <c r="JK53" s="17"/>
      <c r="JL53" s="17"/>
      <c r="JM53" s="17"/>
      <c r="JN53" s="17"/>
      <c r="JO53" s="17"/>
      <c r="JP53" s="17"/>
      <c r="JQ53" s="17"/>
      <c r="JR53" s="17"/>
      <c r="JS53" s="17"/>
      <c r="JT53" s="17"/>
      <c r="JU53" s="17"/>
      <c r="JV53" s="17"/>
      <c r="JW53" s="17"/>
      <c r="JX53" s="17"/>
      <c r="JY53" s="17"/>
      <c r="JZ53" s="17"/>
      <c r="KA53" s="17"/>
      <c r="KB53" s="17"/>
      <c r="KC53" s="17"/>
      <c r="KD53" s="17"/>
      <c r="KE53" s="17"/>
      <c r="KF53" s="17"/>
      <c r="KG53" s="17"/>
      <c r="KH53" s="17"/>
      <c r="KI53" s="17"/>
      <c r="KJ53" s="17"/>
      <c r="KK53" s="17"/>
      <c r="KL53" s="17"/>
      <c r="KM53" s="17"/>
      <c r="KN53" s="17"/>
      <c r="KO53" s="17"/>
      <c r="KP53" s="17"/>
      <c r="KQ53" s="17"/>
      <c r="KR53" s="17"/>
      <c r="KS53" s="17"/>
      <c r="KT53" s="17"/>
      <c r="KU53" s="17"/>
      <c r="KV53" s="17"/>
      <c r="KW53" s="17"/>
      <c r="KX53" s="17"/>
      <c r="KY53" s="17"/>
      <c r="KZ53" s="17"/>
      <c r="LA53" s="17"/>
      <c r="LB53" s="17"/>
      <c r="LC53" s="17"/>
      <c r="LD53" s="17"/>
      <c r="LE53" s="17"/>
      <c r="LF53" s="17"/>
      <c r="LG53" s="17"/>
      <c r="LH53" s="17"/>
      <c r="LI53" s="17"/>
      <c r="LJ53" s="17"/>
      <c r="LK53" s="17"/>
      <c r="LL53" s="17"/>
      <c r="LM53" s="17"/>
      <c r="LN53" s="17"/>
      <c r="LO53" s="17"/>
      <c r="LP53" s="17"/>
      <c r="LQ53" s="17"/>
      <c r="LR53" s="17"/>
      <c r="LS53" s="17"/>
      <c r="LT53" s="17"/>
      <c r="LU53" s="17"/>
      <c r="LV53" s="17"/>
      <c r="LW53" s="17"/>
      <c r="LX53" s="17"/>
      <c r="LY53" s="17"/>
      <c r="LZ53" s="17"/>
      <c r="MA53" s="17"/>
      <c r="MB53" s="17"/>
      <c r="MC53" s="17"/>
      <c r="MD53" s="17"/>
      <c r="ME53" s="17"/>
      <c r="MF53" s="17"/>
      <c r="MG53" s="17"/>
      <c r="MH53" s="17"/>
      <c r="MI53" s="17"/>
      <c r="MJ53" s="17"/>
      <c r="MK53" s="17"/>
      <c r="ML53" s="17"/>
      <c r="MM53" s="17"/>
      <c r="MN53" s="17"/>
      <c r="MO53" s="17"/>
      <c r="MP53" s="17"/>
      <c r="MQ53" s="17"/>
      <c r="MR53" s="17"/>
      <c r="MS53" s="17"/>
      <c r="MT53" s="17"/>
      <c r="MU53" s="17"/>
      <c r="MV53" s="17"/>
      <c r="MW53" s="17"/>
      <c r="MX53" s="17"/>
      <c r="MY53" s="17"/>
      <c r="MZ53" s="17"/>
      <c r="NA53" s="17"/>
      <c r="NB53" s="17"/>
      <c r="NC53" s="17"/>
      <c r="ND53" s="17"/>
      <c r="NE53" s="17"/>
      <c r="NF53" s="17"/>
      <c r="NG53" s="17"/>
      <c r="NH53" s="17"/>
      <c r="NI53" s="17"/>
      <c r="NJ53" s="17"/>
      <c r="NK53" s="17"/>
      <c r="NL53" s="17"/>
      <c r="NM53" s="17"/>
      <c r="NN53" s="17"/>
      <c r="NO53" s="17"/>
      <c r="NP53" s="17"/>
      <c r="NQ53" s="17"/>
      <c r="NR53" s="17"/>
      <c r="NS53" s="17"/>
      <c r="NT53" s="17"/>
      <c r="NU53" s="17"/>
      <c r="NV53" s="17"/>
      <c r="NW53" s="17"/>
      <c r="NX53" s="17"/>
      <c r="NY53" s="17"/>
      <c r="NZ53" s="17"/>
      <c r="OA53" s="17"/>
      <c r="OB53" s="17"/>
      <c r="OC53" s="17"/>
      <c r="OD53" s="17"/>
      <c r="OE53" s="17"/>
      <c r="OF53" s="17"/>
      <c r="OG53" s="17"/>
      <c r="OH53" s="17"/>
      <c r="OI53" s="17"/>
      <c r="OJ53" s="17"/>
      <c r="OK53" s="17"/>
      <c r="OL53" s="17"/>
      <c r="OM53" s="17"/>
      <c r="ON53" s="17"/>
      <c r="OO53" s="17"/>
      <c r="OP53" s="17"/>
      <c r="OQ53" s="17"/>
      <c r="OR53" s="17"/>
      <c r="OS53" s="17"/>
      <c r="OT53" s="17"/>
      <c r="OU53" s="17"/>
      <c r="OV53" s="17"/>
      <c r="OW53" s="17"/>
      <c r="OX53" s="17"/>
      <c r="OY53" s="17"/>
      <c r="OZ53" s="17"/>
      <c r="PA53" s="17"/>
      <c r="PB53" s="17"/>
      <c r="PC53" s="17"/>
      <c r="PD53" s="17"/>
      <c r="PE53" s="17"/>
      <c r="PF53" s="17"/>
      <c r="PG53" s="17"/>
      <c r="PH53" s="17"/>
      <c r="PI53" s="17"/>
      <c r="PJ53" s="17"/>
      <c r="PK53" s="17"/>
      <c r="PL53" s="17"/>
      <c r="PM53" s="17"/>
      <c r="PN53" s="17"/>
      <c r="PO53" s="17"/>
      <c r="PP53" s="17"/>
      <c r="PQ53" s="17"/>
      <c r="PR53" s="17"/>
      <c r="PS53" s="17"/>
      <c r="PT53" s="17"/>
      <c r="PU53" s="17"/>
      <c r="PV53" s="17"/>
      <c r="PW53" s="17"/>
      <c r="PX53" s="17"/>
      <c r="PY53" s="17"/>
      <c r="PZ53" s="17"/>
      <c r="QA53" s="17"/>
      <c r="QB53" s="17"/>
      <c r="QC53" s="17"/>
      <c r="QD53" s="17"/>
      <c r="QE53" s="17"/>
      <c r="QF53" s="17"/>
      <c r="QG53" s="17"/>
      <c r="QH53" s="17"/>
      <c r="QI53" s="17"/>
      <c r="QJ53" s="17"/>
      <c r="QK53" s="17"/>
      <c r="QL53" s="17"/>
      <c r="QM53" s="17"/>
      <c r="QN53" s="17"/>
      <c r="QO53" s="17"/>
      <c r="QP53" s="17"/>
      <c r="QQ53" s="17"/>
      <c r="QR53" s="17"/>
      <c r="QS53" s="17"/>
      <c r="QT53" s="17"/>
      <c r="QU53" s="17"/>
      <c r="QV53" s="17"/>
      <c r="QW53" s="17"/>
      <c r="QX53" s="17"/>
      <c r="QY53" s="17"/>
      <c r="QZ53" s="17"/>
      <c r="RA53" s="17"/>
      <c r="RB53" s="17"/>
      <c r="RC53" s="17"/>
      <c r="RD53" s="17"/>
      <c r="RE53" s="17"/>
      <c r="RF53" s="17"/>
      <c r="RG53" s="17"/>
      <c r="RH53" s="17"/>
      <c r="RI53" s="17"/>
      <c r="RJ53" s="17"/>
      <c r="RK53" s="17"/>
      <c r="RL53" s="17"/>
      <c r="RM53" s="17"/>
      <c r="RN53" s="17"/>
      <c r="RO53" s="17"/>
      <c r="RP53" s="17"/>
      <c r="RQ53" s="17"/>
      <c r="RR53" s="17"/>
      <c r="RS53" s="17"/>
      <c r="RT53" s="17"/>
      <c r="RU53" s="17"/>
      <c r="RV53" s="17"/>
      <c r="RW53" s="17"/>
      <c r="RX53" s="17"/>
      <c r="RY53" s="17"/>
      <c r="RZ53" s="17"/>
      <c r="SA53" s="17"/>
      <c r="SB53" s="17"/>
      <c r="SC53" s="17"/>
      <c r="SD53" s="17"/>
      <c r="SE53" s="17"/>
      <c r="SF53" s="17"/>
      <c r="SG53" s="17"/>
      <c r="SH53" s="17"/>
      <c r="SI53" s="17"/>
      <c r="SJ53" s="17"/>
      <c r="SK53" s="17"/>
      <c r="SL53" s="17"/>
      <c r="SM53" s="17"/>
      <c r="SN53" s="17"/>
      <c r="SO53" s="17"/>
      <c r="SP53" s="17"/>
      <c r="SQ53" s="17"/>
      <c r="SR53" s="17"/>
      <c r="SS53" s="17"/>
      <c r="ST53" s="17"/>
      <c r="SU53" s="17"/>
      <c r="SV53" s="17"/>
      <c r="SW53" s="17"/>
      <c r="SX53" s="17"/>
      <c r="SY53" s="17"/>
      <c r="SZ53" s="17"/>
      <c r="TA53" s="17"/>
      <c r="TB53" s="17"/>
      <c r="TC53" s="17"/>
      <c r="TD53" s="17"/>
      <c r="TE53" s="17"/>
      <c r="TF53" s="17"/>
      <c r="TG53" s="17"/>
      <c r="TH53" s="17"/>
      <c r="TI53" s="17"/>
      <c r="TJ53" s="17"/>
      <c r="TK53" s="17"/>
      <c r="TL53" s="17"/>
      <c r="TM53" s="17"/>
      <c r="TN53" s="17"/>
      <c r="TO53" s="17"/>
      <c r="TP53" s="17"/>
      <c r="TQ53" s="17"/>
      <c r="TR53" s="17"/>
      <c r="TS53" s="17"/>
      <c r="TT53" s="17"/>
      <c r="TU53" s="17"/>
      <c r="TV53" s="17"/>
      <c r="TW53" s="17"/>
      <c r="TX53" s="17"/>
      <c r="TY53" s="17"/>
      <c r="TZ53" s="17"/>
      <c r="UA53" s="17"/>
      <c r="UB53" s="17"/>
      <c r="UC53" s="17"/>
      <c r="UD53" s="17"/>
      <c r="UE53" s="17"/>
      <c r="UF53" s="17"/>
      <c r="UG53" s="17"/>
      <c r="UH53" s="17"/>
      <c r="UI53" s="17"/>
      <c r="UJ53" s="17"/>
      <c r="UK53" s="17"/>
      <c r="UL53" s="17"/>
      <c r="UM53" s="17"/>
      <c r="UN53" s="17"/>
      <c r="UO53" s="17"/>
      <c r="UP53" s="17"/>
      <c r="UQ53" s="17"/>
      <c r="UR53" s="17"/>
      <c r="US53" s="17"/>
      <c r="UT53" s="17"/>
      <c r="UU53" s="17"/>
      <c r="UV53" s="17"/>
      <c r="UW53" s="17"/>
      <c r="UX53" s="17"/>
      <c r="UY53" s="17"/>
      <c r="UZ53" s="17"/>
      <c r="VA53" s="17"/>
      <c r="VB53" s="17"/>
      <c r="VC53" s="17"/>
      <c r="VD53" s="17"/>
      <c r="VE53" s="17"/>
      <c r="VF53" s="17"/>
      <c r="VG53" s="17"/>
      <c r="VH53" s="17"/>
      <c r="VI53" s="17"/>
      <c r="VJ53" s="17"/>
      <c r="VK53" s="17"/>
      <c r="VL53" s="17"/>
      <c r="VM53" s="17"/>
      <c r="VN53" s="17"/>
      <c r="VO53" s="17"/>
      <c r="VP53" s="17"/>
      <c r="VQ53" s="17"/>
      <c r="VR53" s="17"/>
      <c r="VS53" s="17"/>
      <c r="VT53" s="17"/>
      <c r="VU53" s="17"/>
      <c r="VV53" s="17"/>
      <c r="VW53" s="17"/>
      <c r="VX53" s="17"/>
      <c r="VY53" s="17"/>
      <c r="VZ53" s="17"/>
      <c r="WA53" s="17"/>
      <c r="WB53" s="17"/>
      <c r="WC53" s="17"/>
      <c r="WD53" s="17"/>
      <c r="WE53" s="17"/>
      <c r="WF53" s="17"/>
      <c r="WG53" s="17"/>
      <c r="WH53" s="17"/>
      <c r="WI53" s="17"/>
      <c r="WJ53" s="17"/>
      <c r="WK53" s="17"/>
      <c r="WL53" s="17"/>
      <c r="WM53" s="17"/>
      <c r="WN53" s="17"/>
      <c r="WO53" s="17"/>
      <c r="WP53" s="17"/>
      <c r="WQ53" s="17"/>
      <c r="WR53" s="17"/>
      <c r="WS53" s="17"/>
      <c r="WT53" s="17"/>
      <c r="WU53" s="17"/>
      <c r="WV53" s="17"/>
      <c r="WW53" s="17"/>
      <c r="WX53" s="17"/>
      <c r="WY53" s="17"/>
      <c r="WZ53" s="17"/>
      <c r="XA53" s="17"/>
      <c r="XB53" s="17"/>
      <c r="XC53" s="17"/>
      <c r="XD53" s="17"/>
      <c r="XE53" s="17"/>
      <c r="XF53" s="17"/>
      <c r="XG53" s="17"/>
      <c r="XH53" s="17"/>
      <c r="XI53" s="17"/>
      <c r="XJ53" s="17"/>
      <c r="XK53" s="17"/>
      <c r="XL53" s="17"/>
      <c r="XM53" s="17"/>
      <c r="XN53" s="17"/>
      <c r="XO53" s="17"/>
      <c r="XP53" s="17"/>
      <c r="XQ53" s="17"/>
      <c r="XR53" s="17"/>
      <c r="XS53" s="17"/>
      <c r="XT53" s="17"/>
      <c r="XU53" s="17"/>
      <c r="XV53" s="17"/>
      <c r="XW53" s="17"/>
      <c r="XX53" s="17"/>
      <c r="XY53" s="17"/>
      <c r="XZ53" s="17"/>
      <c r="YA53" s="17"/>
      <c r="YB53" s="17"/>
      <c r="YC53" s="17"/>
      <c r="YD53" s="17"/>
      <c r="YE53" s="17"/>
      <c r="YF53" s="17"/>
      <c r="YG53" s="17"/>
      <c r="YH53" s="17"/>
      <c r="YI53" s="17"/>
      <c r="YJ53" s="17"/>
      <c r="YK53" s="17"/>
      <c r="YL53" s="17"/>
      <c r="YM53" s="17"/>
      <c r="YN53" s="17"/>
      <c r="YO53" s="17"/>
      <c r="YP53" s="17"/>
      <c r="YQ53" s="17"/>
      <c r="YR53" s="17"/>
      <c r="YS53" s="17"/>
      <c r="YT53" s="17"/>
      <c r="YU53" s="17"/>
      <c r="YV53" s="17"/>
      <c r="YW53" s="17"/>
      <c r="YX53" s="17"/>
      <c r="YY53" s="17"/>
      <c r="YZ53" s="17"/>
      <c r="ZA53" s="17"/>
      <c r="ZB53" s="17"/>
      <c r="ZC53" s="17"/>
      <c r="ZD53" s="17"/>
      <c r="ZE53" s="17"/>
      <c r="ZF53" s="17"/>
      <c r="ZG53" s="17"/>
      <c r="ZH53" s="17"/>
      <c r="ZI53" s="17"/>
      <c r="ZJ53" s="17"/>
      <c r="ZK53" s="17"/>
      <c r="ZL53" s="17"/>
      <c r="ZM53" s="17"/>
      <c r="ZN53" s="17"/>
      <c r="ZO53" s="17"/>
      <c r="ZP53" s="17"/>
      <c r="ZQ53" s="17"/>
      <c r="ZR53" s="17"/>
      <c r="ZS53" s="17"/>
      <c r="ZT53" s="17"/>
      <c r="ZU53" s="17"/>
      <c r="ZV53" s="17"/>
      <c r="ZW53" s="17"/>
      <c r="ZX53" s="17"/>
      <c r="ZY53" s="17"/>
      <c r="ZZ53" s="17"/>
    </row>
    <row r="54" spans="1:702" s="33" customFormat="1" x14ac:dyDescent="0.25">
      <c r="A54" s="30" t="str">
        <f>IF(COUNTA(B54:B54)=0,"", MAX(A$2:A53)+1)</f>
        <v/>
      </c>
      <c r="C54" s="34"/>
      <c r="D54" s="63"/>
      <c r="M54" s="34"/>
      <c r="Q54" s="34"/>
      <c r="U54" s="17"/>
      <c r="V54" s="62"/>
      <c r="W54" s="97"/>
      <c r="Z54" s="30" t="str">
        <f t="shared" si="0"/>
        <v/>
      </c>
    </row>
    <row r="55" spans="1:702" s="33" customFormat="1" x14ac:dyDescent="0.25">
      <c r="A55" s="30" t="str">
        <f>IF(COUNTA(B55:B55)=0,"", MAX(A$2:A54)+1)</f>
        <v/>
      </c>
      <c r="C55" s="34"/>
      <c r="D55" s="63"/>
      <c r="M55" s="34"/>
      <c r="Q55" s="34"/>
      <c r="U55" s="17"/>
      <c r="V55" s="62"/>
      <c r="W55" s="97"/>
      <c r="Z55" s="30" t="str">
        <f t="shared" si="0"/>
        <v/>
      </c>
    </row>
    <row r="56" spans="1:702" s="33" customFormat="1" x14ac:dyDescent="0.25">
      <c r="A56" s="30" t="str">
        <f>IF(COUNTA(B56:B56)=0,"", MAX(A$2:A55)+1)</f>
        <v/>
      </c>
      <c r="C56" s="34"/>
      <c r="D56" s="63"/>
      <c r="M56" s="34"/>
      <c r="Q56" s="34"/>
      <c r="U56" s="17"/>
      <c r="V56" s="62"/>
      <c r="W56" s="97"/>
      <c r="Z56" s="30" t="str">
        <f t="shared" si="0"/>
        <v/>
      </c>
    </row>
    <row r="57" spans="1:702" s="33" customFormat="1" x14ac:dyDescent="0.25">
      <c r="A57" s="30" t="str">
        <f>IF(COUNTA(B57:B57)=0,"", MAX(A$2:A56)+1)</f>
        <v/>
      </c>
      <c r="C57" s="34"/>
      <c r="D57" s="63"/>
      <c r="M57" s="34"/>
      <c r="Q57" s="34"/>
      <c r="U57" s="17"/>
      <c r="V57" s="62"/>
      <c r="W57" s="97"/>
      <c r="Z57" s="30" t="str">
        <f t="shared" si="0"/>
        <v/>
      </c>
    </row>
    <row r="58" spans="1:702" s="33" customFormat="1" x14ac:dyDescent="0.25">
      <c r="A58" s="30" t="str">
        <f>IF(COUNTA(B58:B58)=0,"", MAX(A$2:A57)+1)</f>
        <v/>
      </c>
      <c r="C58" s="34"/>
      <c r="D58" s="63"/>
      <c r="M58" s="34"/>
      <c r="Q58" s="34"/>
      <c r="U58" s="17"/>
      <c r="V58" s="62"/>
      <c r="W58" s="97"/>
      <c r="Z58" s="30" t="str">
        <f t="shared" si="0"/>
        <v/>
      </c>
    </row>
    <row r="59" spans="1:702" s="33" customFormat="1" x14ac:dyDescent="0.25">
      <c r="A59" s="30" t="str">
        <f>IF(COUNTA(B59:B59)=0,"", MAX(A$2:A58)+1)</f>
        <v/>
      </c>
      <c r="C59" s="34"/>
      <c r="D59" s="63"/>
      <c r="M59" s="34"/>
      <c r="Q59" s="34"/>
      <c r="U59" s="17"/>
      <c r="V59" s="62"/>
      <c r="W59" s="97"/>
      <c r="Z59" s="30" t="str">
        <f t="shared" si="0"/>
        <v/>
      </c>
    </row>
    <row r="60" spans="1:702" s="33" customFormat="1" x14ac:dyDescent="0.25">
      <c r="A60" s="30" t="str">
        <f>IF(COUNTA(B60:B60)=0,"", MAX(A$2:A59)+1)</f>
        <v/>
      </c>
      <c r="C60" s="34"/>
      <c r="D60" s="63"/>
      <c r="M60" s="34"/>
      <c r="Q60" s="34"/>
      <c r="U60" s="17"/>
      <c r="V60" s="62"/>
      <c r="W60" s="97"/>
      <c r="Z60" s="30" t="str">
        <f t="shared" si="0"/>
        <v/>
      </c>
    </row>
    <row r="61" spans="1:702" s="33" customFormat="1" x14ac:dyDescent="0.25">
      <c r="A61" s="30" t="str">
        <f>IF(COUNTA(B61:B61)=0,"", MAX(A$2:A60)+1)</f>
        <v/>
      </c>
      <c r="C61" s="34"/>
      <c r="D61" s="63"/>
      <c r="M61" s="34"/>
      <c r="Q61" s="34"/>
      <c r="U61" s="17"/>
      <c r="V61" s="62"/>
      <c r="W61" s="97"/>
      <c r="Z61" s="30" t="str">
        <f t="shared" si="0"/>
        <v/>
      </c>
    </row>
    <row r="62" spans="1:702" s="33" customFormat="1" x14ac:dyDescent="0.25">
      <c r="A62" s="30" t="str">
        <f>IF(COUNTA(B62:B62)=0,"", MAX(A$2:A61)+1)</f>
        <v/>
      </c>
      <c r="C62" s="34"/>
      <c r="D62" s="63"/>
      <c r="M62" s="34"/>
      <c r="Q62" s="34"/>
      <c r="U62" s="17"/>
      <c r="V62" s="62"/>
      <c r="W62" s="97"/>
      <c r="Z62" s="30" t="str">
        <f t="shared" si="0"/>
        <v/>
      </c>
    </row>
    <row r="63" spans="1:702" s="33" customFormat="1" x14ac:dyDescent="0.25">
      <c r="A63" s="30" t="str">
        <f>IF(COUNTA(B63:B63)=0,"", MAX(A$2:A62)+1)</f>
        <v/>
      </c>
      <c r="C63" s="34"/>
      <c r="D63" s="63"/>
      <c r="M63" s="34"/>
      <c r="Q63" s="34"/>
      <c r="U63" s="17"/>
      <c r="V63" s="62"/>
      <c r="W63" s="97"/>
      <c r="Z63" s="30" t="str">
        <f t="shared" si="0"/>
        <v/>
      </c>
    </row>
    <row r="64" spans="1:702" s="33" customFormat="1" x14ac:dyDescent="0.25">
      <c r="A64" s="30" t="str">
        <f>IF(COUNTA(B64:B64)=0,"", MAX(A$2:A63)+1)</f>
        <v/>
      </c>
      <c r="C64" s="34"/>
      <c r="D64" s="63"/>
      <c r="M64" s="34"/>
      <c r="Q64" s="34"/>
      <c r="U64" s="17"/>
      <c r="V64" s="62"/>
      <c r="W64" s="97"/>
      <c r="Z64" s="30" t="str">
        <f t="shared" si="0"/>
        <v/>
      </c>
    </row>
    <row r="65" spans="1:26" s="33" customFormat="1" x14ac:dyDescent="0.25">
      <c r="A65" s="30" t="str">
        <f>IF(COUNTA(B65:B65)=0,"", MAX(A$2:A64)+1)</f>
        <v/>
      </c>
      <c r="C65" s="34"/>
      <c r="D65" s="63"/>
      <c r="M65" s="34"/>
      <c r="Q65" s="34"/>
      <c r="U65" s="17"/>
      <c r="V65" s="62"/>
      <c r="W65" s="97"/>
      <c r="Z65" s="30" t="str">
        <f t="shared" si="0"/>
        <v/>
      </c>
    </row>
    <row r="66" spans="1:26" s="33" customFormat="1" x14ac:dyDescent="0.25">
      <c r="A66" s="30" t="str">
        <f>IF(COUNTA(B66:B66)=0,"", MAX(A$2:A65)+1)</f>
        <v/>
      </c>
      <c r="C66" s="34"/>
      <c r="D66" s="63"/>
      <c r="M66" s="34"/>
      <c r="Q66" s="34"/>
      <c r="U66" s="17"/>
      <c r="V66" s="62"/>
      <c r="W66" s="97"/>
      <c r="Z66" s="30" t="str">
        <f t="shared" si="0"/>
        <v/>
      </c>
    </row>
    <row r="67" spans="1:26" s="33" customFormat="1" x14ac:dyDescent="0.25">
      <c r="A67" s="30" t="str">
        <f>IF(COUNTA(B67:B67)=0,"", MAX(A$2:A66)+1)</f>
        <v/>
      </c>
      <c r="C67" s="34"/>
      <c r="D67" s="63"/>
      <c r="M67" s="34"/>
      <c r="Q67" s="34"/>
      <c r="U67" s="17"/>
      <c r="V67" s="62"/>
      <c r="W67" s="97"/>
      <c r="Z67" s="30" t="str">
        <f t="shared" si="0"/>
        <v/>
      </c>
    </row>
    <row r="68" spans="1:26" s="33" customFormat="1" x14ac:dyDescent="0.25">
      <c r="A68" s="30" t="str">
        <f>IF(COUNTA(B68:B68)=0,"", MAX(A$2:A67)+1)</f>
        <v/>
      </c>
      <c r="C68" s="34"/>
      <c r="D68" s="63"/>
      <c r="M68" s="34"/>
      <c r="Q68" s="34"/>
      <c r="U68" s="17"/>
      <c r="V68" s="62"/>
      <c r="W68" s="97"/>
      <c r="Z68" s="30" t="str">
        <f t="shared" ref="Z68:Z103" si="1">IF(ISBLANK(AN68),"",IF(AN68=TRUE,IF(AP68=AC68,"FILLED","CANCELLED"),"ACTIVE"))</f>
        <v/>
      </c>
    </row>
    <row r="69" spans="1:26" s="33" customFormat="1" x14ac:dyDescent="0.25">
      <c r="A69" s="30" t="str">
        <f>IF(COUNTA(B69:B69)=0,"", MAX(A$2:A68)+1)</f>
        <v/>
      </c>
      <c r="C69" s="34"/>
      <c r="D69" s="63"/>
      <c r="M69" s="34"/>
      <c r="Q69" s="34"/>
      <c r="U69" s="17"/>
      <c r="V69" s="62"/>
      <c r="W69" s="97"/>
      <c r="Z69" s="30" t="str">
        <f t="shared" si="1"/>
        <v/>
      </c>
    </row>
    <row r="70" spans="1:26" s="33" customFormat="1" x14ac:dyDescent="0.25">
      <c r="A70" s="30" t="str">
        <f>IF(COUNTA(B70:B70)=0,"", MAX(A$2:A69)+1)</f>
        <v/>
      </c>
      <c r="C70" s="34"/>
      <c r="D70" s="63"/>
      <c r="M70" s="34"/>
      <c r="Q70" s="34"/>
      <c r="U70" s="17"/>
      <c r="V70" s="62"/>
      <c r="W70" s="97"/>
      <c r="Z70" s="30" t="str">
        <f t="shared" si="1"/>
        <v/>
      </c>
    </row>
    <row r="71" spans="1:26" s="33" customFormat="1" x14ac:dyDescent="0.25">
      <c r="A71" s="30" t="str">
        <f>IF(COUNTA(B71:B71)=0,"", MAX(A$2:A70)+1)</f>
        <v/>
      </c>
      <c r="C71" s="34"/>
      <c r="D71" s="63"/>
      <c r="M71" s="34"/>
      <c r="Q71" s="34"/>
      <c r="U71" s="17"/>
      <c r="V71" s="62"/>
      <c r="W71" s="97"/>
      <c r="Z71" s="30" t="str">
        <f t="shared" si="1"/>
        <v/>
      </c>
    </row>
    <row r="72" spans="1:26" s="33" customFormat="1" x14ac:dyDescent="0.25">
      <c r="A72" s="30" t="str">
        <f>IF(COUNTA(B72:B72)=0,"", MAX(A$2:A71)+1)</f>
        <v/>
      </c>
      <c r="C72" s="34"/>
      <c r="D72" s="63"/>
      <c r="M72" s="34"/>
      <c r="Q72" s="34"/>
      <c r="U72" s="17"/>
      <c r="V72" s="62"/>
      <c r="W72" s="97"/>
      <c r="Z72" s="30" t="str">
        <f t="shared" si="1"/>
        <v/>
      </c>
    </row>
    <row r="73" spans="1:26" s="33" customFormat="1" x14ac:dyDescent="0.25">
      <c r="A73" s="30" t="str">
        <f>IF(COUNTA(B73:B73)=0,"", MAX(A$2:A72)+1)</f>
        <v/>
      </c>
      <c r="C73" s="34"/>
      <c r="D73" s="63"/>
      <c r="M73" s="34"/>
      <c r="Q73" s="34"/>
      <c r="U73" s="17"/>
      <c r="V73" s="62"/>
      <c r="W73" s="97"/>
      <c r="Z73" s="30" t="str">
        <f t="shared" si="1"/>
        <v/>
      </c>
    </row>
    <row r="74" spans="1:26" s="33" customFormat="1" x14ac:dyDescent="0.25">
      <c r="A74" s="30" t="str">
        <f>IF(COUNTA(B74:B74)=0,"", MAX(A$2:A73)+1)</f>
        <v/>
      </c>
      <c r="C74" s="34"/>
      <c r="D74" s="63"/>
      <c r="M74" s="34"/>
      <c r="Q74" s="34"/>
      <c r="U74" s="17"/>
      <c r="V74" s="62"/>
      <c r="W74" s="97"/>
      <c r="Z74" s="30" t="str">
        <f t="shared" si="1"/>
        <v/>
      </c>
    </row>
    <row r="75" spans="1:26" s="33" customFormat="1" x14ac:dyDescent="0.25">
      <c r="A75" s="30" t="str">
        <f>IF(COUNTA(B75:B75)=0,"", MAX(A$2:A74)+1)</f>
        <v/>
      </c>
      <c r="C75" s="34"/>
      <c r="D75" s="63"/>
      <c r="M75" s="34"/>
      <c r="Q75" s="34"/>
      <c r="U75" s="17"/>
      <c r="V75" s="62"/>
      <c r="W75" s="97"/>
      <c r="Z75" s="30" t="str">
        <f t="shared" si="1"/>
        <v/>
      </c>
    </row>
    <row r="76" spans="1:26" s="33" customFormat="1" x14ac:dyDescent="0.25">
      <c r="A76" s="30" t="str">
        <f>IF(COUNTA(B76:B76)=0,"", MAX(A$2:A75)+1)</f>
        <v/>
      </c>
      <c r="C76" s="34"/>
      <c r="D76" s="63"/>
      <c r="M76" s="34"/>
      <c r="Q76" s="34"/>
      <c r="U76" s="17"/>
      <c r="V76" s="62"/>
      <c r="W76" s="97"/>
      <c r="Z76" s="30" t="str">
        <f t="shared" si="1"/>
        <v/>
      </c>
    </row>
    <row r="77" spans="1:26" s="33" customFormat="1" x14ac:dyDescent="0.25">
      <c r="A77" s="30" t="str">
        <f>IF(COUNTA(B77:B77)=0,"", MAX(A$2:A76)+1)</f>
        <v/>
      </c>
      <c r="C77" s="34"/>
      <c r="D77" s="63"/>
      <c r="M77" s="34"/>
      <c r="Q77" s="34"/>
      <c r="U77" s="17"/>
      <c r="V77" s="62"/>
      <c r="W77" s="97"/>
      <c r="Z77" s="30" t="str">
        <f t="shared" si="1"/>
        <v/>
      </c>
    </row>
    <row r="78" spans="1:26" s="33" customFormat="1" x14ac:dyDescent="0.25">
      <c r="A78" s="30" t="str">
        <f>IF(COUNTA(B78:B78)=0,"", MAX(A$2:A77)+1)</f>
        <v/>
      </c>
      <c r="C78" s="34"/>
      <c r="D78" s="63"/>
      <c r="M78" s="34"/>
      <c r="Q78" s="34"/>
      <c r="U78" s="17"/>
      <c r="V78" s="62"/>
      <c r="W78" s="97"/>
      <c r="Z78" s="30" t="str">
        <f t="shared" si="1"/>
        <v/>
      </c>
    </row>
    <row r="79" spans="1:26" s="33" customFormat="1" x14ac:dyDescent="0.25">
      <c r="A79" s="30" t="str">
        <f>IF(COUNTA(B79:B79)=0,"", MAX(A$2:A78)+1)</f>
        <v/>
      </c>
      <c r="C79" s="34"/>
      <c r="D79" s="63"/>
      <c r="M79" s="34"/>
      <c r="Q79" s="34"/>
      <c r="U79" s="17"/>
      <c r="V79" s="62"/>
      <c r="W79" s="97"/>
      <c r="Z79" s="30" t="str">
        <f t="shared" si="1"/>
        <v/>
      </c>
    </row>
    <row r="80" spans="1:26" s="33" customFormat="1" x14ac:dyDescent="0.25">
      <c r="A80" s="30" t="str">
        <f>IF(COUNTA(B80:B80)=0,"", MAX(A$2:A79)+1)</f>
        <v/>
      </c>
      <c r="C80" s="34"/>
      <c r="D80" s="63"/>
      <c r="M80" s="34"/>
      <c r="Q80" s="34"/>
      <c r="U80" s="17"/>
      <c r="V80" s="62"/>
      <c r="W80" s="97"/>
      <c r="Z80" s="30" t="str">
        <f t="shared" si="1"/>
        <v/>
      </c>
    </row>
    <row r="81" spans="1:26" s="33" customFormat="1" x14ac:dyDescent="0.25">
      <c r="A81" s="30" t="str">
        <f>IF(COUNTA(B81:B81)=0,"", MAX(A$2:A80)+1)</f>
        <v/>
      </c>
      <c r="C81" s="34"/>
      <c r="D81" s="63"/>
      <c r="M81" s="34"/>
      <c r="Q81" s="34"/>
      <c r="U81" s="17"/>
      <c r="V81" s="62"/>
      <c r="W81" s="97"/>
      <c r="Z81" s="30" t="str">
        <f t="shared" si="1"/>
        <v/>
      </c>
    </row>
    <row r="82" spans="1:26" s="33" customFormat="1" x14ac:dyDescent="0.25">
      <c r="A82" s="30" t="str">
        <f>IF(COUNTA(B82:B82)=0,"", MAX(A$2:A81)+1)</f>
        <v/>
      </c>
      <c r="C82" s="34"/>
      <c r="D82" s="63"/>
      <c r="M82" s="34"/>
      <c r="Q82" s="34"/>
      <c r="U82" s="17"/>
      <c r="V82" s="62"/>
      <c r="W82" s="97"/>
      <c r="Z82" s="30" t="str">
        <f t="shared" si="1"/>
        <v/>
      </c>
    </row>
    <row r="83" spans="1:26" s="33" customFormat="1" x14ac:dyDescent="0.25">
      <c r="A83" s="30" t="str">
        <f>IF(COUNTA(B83:B83)=0,"", MAX(A$2:A82)+1)</f>
        <v/>
      </c>
      <c r="C83" s="34"/>
      <c r="D83" s="63"/>
      <c r="M83" s="34"/>
      <c r="Q83" s="34"/>
      <c r="U83" s="17"/>
      <c r="V83" s="62"/>
      <c r="W83" s="97"/>
      <c r="Z83" s="30" t="str">
        <f t="shared" si="1"/>
        <v/>
      </c>
    </row>
    <row r="84" spans="1:26" s="33" customFormat="1" x14ac:dyDescent="0.25">
      <c r="A84" s="30" t="str">
        <f>IF(COUNTA(B84:B84)=0,"", MAX(A$2:A83)+1)</f>
        <v/>
      </c>
      <c r="C84" s="34"/>
      <c r="D84" s="63"/>
      <c r="M84" s="34"/>
      <c r="Q84" s="34"/>
      <c r="U84" s="17"/>
      <c r="V84" s="62"/>
      <c r="W84" s="97"/>
      <c r="Z84" s="30" t="str">
        <f t="shared" si="1"/>
        <v/>
      </c>
    </row>
    <row r="85" spans="1:26" s="33" customFormat="1" x14ac:dyDescent="0.25">
      <c r="A85" s="30" t="str">
        <f>IF(COUNTA(B85:B85)=0,"", MAX(A$2:A84)+1)</f>
        <v/>
      </c>
      <c r="C85" s="34"/>
      <c r="D85" s="63"/>
      <c r="M85" s="34"/>
      <c r="Q85" s="34"/>
      <c r="U85" s="17"/>
      <c r="V85" s="62"/>
      <c r="W85" s="97"/>
      <c r="Z85" s="30" t="str">
        <f t="shared" si="1"/>
        <v/>
      </c>
    </row>
    <row r="86" spans="1:26" s="33" customFormat="1" x14ac:dyDescent="0.25">
      <c r="A86" s="30" t="str">
        <f>IF(COUNTA(B86:B86)=0,"", MAX(A$2:A85)+1)</f>
        <v/>
      </c>
      <c r="C86" s="34"/>
      <c r="D86" s="63"/>
      <c r="M86" s="34"/>
      <c r="Q86" s="34"/>
      <c r="U86" s="17"/>
      <c r="V86" s="62"/>
      <c r="W86" s="97"/>
      <c r="Z86" s="30" t="str">
        <f t="shared" si="1"/>
        <v/>
      </c>
    </row>
    <row r="87" spans="1:26" s="33" customFormat="1" x14ac:dyDescent="0.25">
      <c r="A87" s="30" t="str">
        <f>IF(COUNTA(B87:B87)=0,"", MAX(A$2:A86)+1)</f>
        <v/>
      </c>
      <c r="C87" s="34"/>
      <c r="D87" s="63"/>
      <c r="M87" s="34"/>
      <c r="Q87" s="34"/>
      <c r="U87" s="17"/>
      <c r="V87" s="62"/>
      <c r="W87" s="97"/>
      <c r="Z87" s="30" t="str">
        <f t="shared" si="1"/>
        <v/>
      </c>
    </row>
    <row r="88" spans="1:26" s="33" customFormat="1" x14ac:dyDescent="0.25">
      <c r="A88" s="30" t="str">
        <f>IF(COUNTA(B88:B88)=0,"", MAX(A$2:A87)+1)</f>
        <v/>
      </c>
      <c r="C88" s="34"/>
      <c r="D88" s="63"/>
      <c r="M88" s="34"/>
      <c r="Q88" s="34"/>
      <c r="U88" s="17"/>
      <c r="V88" s="62"/>
      <c r="W88" s="97"/>
      <c r="Z88" s="30" t="str">
        <f t="shared" si="1"/>
        <v/>
      </c>
    </row>
    <row r="89" spans="1:26" s="33" customFormat="1" x14ac:dyDescent="0.25">
      <c r="A89" s="30" t="str">
        <f>IF(COUNTA(B89:B89)=0,"", MAX(A$2:A88)+1)</f>
        <v/>
      </c>
      <c r="C89" s="34"/>
      <c r="D89" s="63"/>
      <c r="M89" s="34"/>
      <c r="Q89" s="34"/>
      <c r="U89" s="17"/>
      <c r="V89" s="62"/>
      <c r="W89" s="97"/>
      <c r="Z89" s="30" t="str">
        <f t="shared" si="1"/>
        <v/>
      </c>
    </row>
    <row r="90" spans="1:26" s="33" customFormat="1" x14ac:dyDescent="0.25">
      <c r="A90" s="30" t="str">
        <f>IF(COUNTA(B90:B90)=0,"", MAX(A$2:A89)+1)</f>
        <v/>
      </c>
      <c r="C90" s="34"/>
      <c r="D90" s="63"/>
      <c r="M90" s="34"/>
      <c r="Q90" s="34"/>
      <c r="U90" s="17"/>
      <c r="V90" s="62"/>
      <c r="W90" s="97"/>
      <c r="Z90" s="30" t="str">
        <f t="shared" si="1"/>
        <v/>
      </c>
    </row>
    <row r="91" spans="1:26" s="33" customFormat="1" x14ac:dyDescent="0.25">
      <c r="A91" s="30" t="str">
        <f>IF(COUNTA(B91:B91)=0,"", MAX(A$2:A90)+1)</f>
        <v/>
      </c>
      <c r="C91" s="34"/>
      <c r="D91" s="63"/>
      <c r="M91" s="34"/>
      <c r="Q91" s="34"/>
      <c r="U91" s="17"/>
      <c r="V91" s="62"/>
      <c r="W91" s="97"/>
      <c r="Z91" s="30" t="str">
        <f t="shared" si="1"/>
        <v/>
      </c>
    </row>
    <row r="92" spans="1:26" s="33" customFormat="1" x14ac:dyDescent="0.25">
      <c r="A92" s="30" t="str">
        <f>IF(COUNTA(B92:B92)=0,"", MAX(A$2:A91)+1)</f>
        <v/>
      </c>
      <c r="C92" s="34"/>
      <c r="D92" s="63"/>
      <c r="M92" s="34"/>
      <c r="Q92" s="34"/>
      <c r="U92" s="17"/>
      <c r="V92" s="62"/>
      <c r="W92" s="97"/>
      <c r="Z92" s="30" t="str">
        <f t="shared" si="1"/>
        <v/>
      </c>
    </row>
    <row r="93" spans="1:26" x14ac:dyDescent="0.25">
      <c r="A93" s="30" t="str">
        <f>IF(COUNTA(B93:B93)=0,"", MAX(A$2:A92)+1)</f>
        <v/>
      </c>
      <c r="I93" s="37"/>
      <c r="U93" s="17"/>
      <c r="Z93" s="30" t="str">
        <f t="shared" si="1"/>
        <v/>
      </c>
    </row>
    <row r="94" spans="1:26" x14ac:dyDescent="0.25">
      <c r="A94" s="30" t="str">
        <f>IF(COUNTA(B94:B94)=0,"", MAX(A$2:A93)+1)</f>
        <v/>
      </c>
      <c r="I94" s="37"/>
      <c r="U94" s="17"/>
      <c r="Z94" s="30" t="str">
        <f t="shared" si="1"/>
        <v/>
      </c>
    </row>
    <row r="95" spans="1:26" x14ac:dyDescent="0.25">
      <c r="A95" s="30" t="str">
        <f>IF(COUNTA(B95:B95)=0,"", MAX(A$2:A94)+1)</f>
        <v/>
      </c>
      <c r="U95" s="17"/>
      <c r="Z95" s="30" t="str">
        <f t="shared" si="1"/>
        <v/>
      </c>
    </row>
    <row r="96" spans="1:26" x14ac:dyDescent="0.25">
      <c r="A96" s="30" t="str">
        <f>IF(COUNTA(B96:B96)=0,"", MAX(A$2:A95)+1)</f>
        <v/>
      </c>
      <c r="U96" s="17"/>
      <c r="Z96" s="30" t="str">
        <f t="shared" si="1"/>
        <v/>
      </c>
    </row>
    <row r="97" spans="1:26" x14ac:dyDescent="0.25">
      <c r="A97" s="30" t="str">
        <f>IF(COUNTA(B97:B97)=0,"", MAX(A$2:A96)+1)</f>
        <v/>
      </c>
      <c r="U97" s="17"/>
      <c r="Z97" s="30" t="str">
        <f t="shared" si="1"/>
        <v/>
      </c>
    </row>
    <row r="98" spans="1:26" x14ac:dyDescent="0.25">
      <c r="A98" s="30" t="str">
        <f>IF(COUNTA(B98:B98)=0,"", MAX(A$2:A97)+1)</f>
        <v/>
      </c>
      <c r="U98" s="17"/>
      <c r="Z98" s="30" t="str">
        <f t="shared" si="1"/>
        <v/>
      </c>
    </row>
    <row r="99" spans="1:26" x14ac:dyDescent="0.25">
      <c r="A99" s="30" t="str">
        <f>IF(COUNTA(B99:B99)=0,"", MAX(A$2:A98)+1)</f>
        <v/>
      </c>
      <c r="U99" s="17"/>
      <c r="Z99" s="30" t="str">
        <f t="shared" si="1"/>
        <v/>
      </c>
    </row>
    <row r="100" spans="1:26" x14ac:dyDescent="0.25">
      <c r="A100" s="30" t="str">
        <f>IF(COUNTA(B100:B100)=0,"", MAX(A$2:A99)+1)</f>
        <v/>
      </c>
      <c r="U100" s="17"/>
      <c r="Z100" s="30" t="str">
        <f t="shared" si="1"/>
        <v/>
      </c>
    </row>
    <row r="101" spans="1:26" x14ac:dyDescent="0.25">
      <c r="A101" s="30" t="str">
        <f>IF(COUNTA(B101:B101)=0,"", MAX(A$2:A100)+1)</f>
        <v/>
      </c>
      <c r="U101" s="17"/>
      <c r="Z101" s="30" t="str">
        <f t="shared" si="1"/>
        <v/>
      </c>
    </row>
    <row r="102" spans="1:26" x14ac:dyDescent="0.25">
      <c r="A102" s="30" t="str">
        <f>IF(COUNTA(B102:B102)=0,"", MAX(A$2:A101)+1)</f>
        <v/>
      </c>
      <c r="U102" s="17"/>
      <c r="Z102" s="30" t="str">
        <f t="shared" si="1"/>
        <v/>
      </c>
    </row>
    <row r="103" spans="1:26" x14ac:dyDescent="0.25">
      <c r="U103" s="17"/>
      <c r="Z103" s="30" t="str">
        <f t="shared" si="1"/>
        <v/>
      </c>
    </row>
    <row r="104" spans="1:26" x14ac:dyDescent="0.25">
      <c r="U104" s="17"/>
    </row>
    <row r="105" spans="1:26" x14ac:dyDescent="0.25">
      <c r="U105" s="17"/>
    </row>
  </sheetData>
  <mergeCells count="2">
    <mergeCell ref="A1:C1"/>
    <mergeCell ref="T1:U1"/>
  </mergeCells>
  <conditionalFormatting sqref="Z3:Z1048576">
    <cfRule type="cellIs" dxfId="6" priority="6" operator="equal">
      <formula>"FILLED"</formula>
    </cfRule>
    <cfRule type="cellIs" dxfId="5" priority="7" operator="equal">
      <formula>"CANCELLED"</formula>
    </cfRule>
  </conditionalFormatting>
  <conditionalFormatting sqref="U1:U1048576">
    <cfRule type="containsText" dxfId="4" priority="3" operator="containsText" text="unauthorized.">
      <formula>NOT(ISERROR(SEARCH("unauthorized.",U1)))</formula>
    </cfRule>
    <cfRule type="containsText" dxfId="3" priority="4" operator="containsText" text="Error">
      <formula>NOT(ISERROR(SEARCH("Error",U1)))</formula>
    </cfRule>
    <cfRule type="containsText" dxfId="2" priority="5" operator="containsText" text="Order placed">
      <formula>NOT(ISERROR(SEARCH("Order placed",U1)))</formula>
    </cfRule>
  </conditionalFormatting>
  <conditionalFormatting sqref="Z1:Z1048576">
    <cfRule type="containsText" dxfId="1" priority="1" operator="containsText" text="ACTIVE">
      <formula>NOT(ISERROR(SEARCH("ACTIVE",Z1)))</formula>
    </cfRule>
    <cfRule type="cellIs" dxfId="0" priority="2" operator="equal">
      <formula>0</formula>
    </cfRule>
  </conditionalFormatting>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C15" sqref="C15"/>
    </sheetView>
  </sheetViews>
  <sheetFormatPr defaultRowHeight="15.75" x14ac:dyDescent="0.25"/>
  <cols>
    <col min="1" max="1" width="6.625" style="11" customWidth="1"/>
    <col min="2" max="2" width="12.625" style="17" customWidth="1"/>
    <col min="3" max="3" width="19.875" style="17" customWidth="1"/>
    <col min="4" max="4" width="17.5" style="17" customWidth="1"/>
    <col min="5" max="5" width="6" style="17" customWidth="1"/>
    <col min="6" max="6" width="18" style="17" customWidth="1"/>
    <col min="7" max="12" width="14.5" style="17" customWidth="1"/>
    <col min="13" max="14" width="17.5" style="17" customWidth="1"/>
    <col min="15" max="16384" width="9" style="17"/>
  </cols>
  <sheetData>
    <row r="1" spans="1:14" s="2" customFormat="1" ht="41.25" customHeight="1" x14ac:dyDescent="0.25">
      <c r="A1" s="101" t="s">
        <v>86</v>
      </c>
      <c r="B1" s="101"/>
      <c r="C1" s="101"/>
      <c r="D1" s="101"/>
      <c r="E1" s="101"/>
      <c r="F1" s="101"/>
      <c r="G1" s="101"/>
    </row>
    <row r="2" spans="1:14" s="2" customFormat="1" ht="38.25" customHeight="1" x14ac:dyDescent="0.25">
      <c r="B2" s="2" t="s">
        <v>63</v>
      </c>
      <c r="C2" s="1" t="s">
        <v>62</v>
      </c>
      <c r="D2" s="6"/>
      <c r="F2" s="2" t="s">
        <v>75</v>
      </c>
      <c r="G2" s="2" t="s">
        <v>63</v>
      </c>
      <c r="M2" s="6"/>
      <c r="N2" s="6"/>
    </row>
    <row r="3" spans="1:14" x14ac:dyDescent="0.25">
      <c r="A3" s="11">
        <f>IF(ISBLANK(B3),"", MAX(A$2:A2)+1)</f>
        <v>1</v>
      </c>
      <c r="B3" s="17" t="s">
        <v>56</v>
      </c>
      <c r="C3" s="17">
        <v>78</v>
      </c>
      <c r="D3" s="12"/>
      <c r="E3" s="11">
        <f>IF(ISBLANK(F3),"", MAX(E$2:E2)+1)</f>
        <v>1</v>
      </c>
      <c r="F3" s="19" t="s">
        <v>76</v>
      </c>
      <c r="G3" s="19" t="s">
        <v>56</v>
      </c>
      <c r="H3" s="41"/>
      <c r="I3" s="41"/>
      <c r="J3" s="41"/>
      <c r="K3" s="41"/>
      <c r="L3" s="41"/>
      <c r="M3" s="12"/>
      <c r="N3" s="12"/>
    </row>
    <row r="4" spans="1:14" x14ac:dyDescent="0.25">
      <c r="A4" s="11">
        <f>IF(ISBLANK(B4),"", MAX(A$2:A3)+1)</f>
        <v>2</v>
      </c>
      <c r="B4" s="17" t="s">
        <v>57</v>
      </c>
      <c r="C4" s="17">
        <v>0.89</v>
      </c>
      <c r="D4" s="19"/>
      <c r="E4" s="11">
        <f>IF(ISBLANK(F4),"", MAX(E$2:E3)+1)</f>
        <v>2</v>
      </c>
      <c r="F4" s="19" t="s">
        <v>77</v>
      </c>
      <c r="G4" s="19" t="s">
        <v>57</v>
      </c>
      <c r="H4" s="19"/>
      <c r="I4" s="19"/>
      <c r="J4" s="19"/>
      <c r="K4" s="19"/>
      <c r="L4" s="19"/>
      <c r="M4" s="12"/>
      <c r="N4" s="12"/>
    </row>
    <row r="5" spans="1:14" x14ac:dyDescent="0.25">
      <c r="A5" s="11">
        <f>IF(ISBLANK(B5),"", MAX(A$2:A4)+1)</f>
        <v>3</v>
      </c>
      <c r="B5" s="17" t="s">
        <v>58</v>
      </c>
      <c r="C5" s="17">
        <v>9</v>
      </c>
      <c r="D5" s="19"/>
      <c r="E5" s="11">
        <f>IF(ISBLANK(F5),"", MAX(E$2:E4)+1)</f>
        <v>3</v>
      </c>
      <c r="F5" s="42" t="s">
        <v>78</v>
      </c>
      <c r="G5" s="19" t="s">
        <v>57</v>
      </c>
      <c r="H5" s="19"/>
      <c r="I5" s="19"/>
      <c r="J5" s="19"/>
      <c r="K5" s="19"/>
      <c r="L5" s="19"/>
      <c r="M5" s="12"/>
      <c r="N5" s="12"/>
    </row>
    <row r="6" spans="1:14" x14ac:dyDescent="0.25">
      <c r="A6" s="11">
        <f>IF(ISBLANK(B6),"", MAX(A$2:A5)+1)</f>
        <v>4</v>
      </c>
      <c r="B6" s="17" t="s">
        <v>59</v>
      </c>
      <c r="C6" s="17">
        <v>8</v>
      </c>
      <c r="D6" s="19"/>
      <c r="E6" s="11">
        <f>IF(ISBLANK(F6),"", MAX(E$2:E5)+1)</f>
        <v>4</v>
      </c>
      <c r="F6" s="42" t="s">
        <v>79</v>
      </c>
      <c r="G6" s="19" t="s">
        <v>57</v>
      </c>
      <c r="H6" s="19"/>
      <c r="I6" s="19"/>
      <c r="J6" s="19"/>
      <c r="K6" s="19"/>
      <c r="L6" s="19"/>
      <c r="M6" s="12"/>
      <c r="N6" s="12"/>
    </row>
    <row r="7" spans="1:14" x14ac:dyDescent="0.25">
      <c r="A7" s="11">
        <f>IF(ISBLANK(B7),"", MAX(A$2:A6)+1)</f>
        <v>5</v>
      </c>
      <c r="B7" s="17" t="s">
        <v>60</v>
      </c>
      <c r="C7" s="17">
        <v>6.66</v>
      </c>
      <c r="D7" s="19"/>
      <c r="E7" s="11">
        <f>IF(ISBLANK(F7),"", MAX(E$2:E6)+1)</f>
        <v>5</v>
      </c>
      <c r="F7" s="42" t="s">
        <v>80</v>
      </c>
      <c r="G7" s="19" t="s">
        <v>57</v>
      </c>
      <c r="H7" s="19"/>
      <c r="I7" s="19"/>
      <c r="J7" s="19"/>
      <c r="K7" s="19"/>
      <c r="L7" s="19"/>
      <c r="M7" s="12"/>
      <c r="N7" s="12"/>
    </row>
    <row r="8" spans="1:14" x14ac:dyDescent="0.25">
      <c r="A8" s="11">
        <f>IF(ISBLANK(B8),"", MAX(A$2:A7)+1)</f>
        <v>6</v>
      </c>
      <c r="B8" s="17" t="s">
        <v>61</v>
      </c>
      <c r="C8" s="17">
        <v>0.97</v>
      </c>
      <c r="D8" s="19"/>
      <c r="E8" s="11">
        <f>IF(ISBLANK(F8),"", MAX(E$2:E7)+1)</f>
        <v>6</v>
      </c>
      <c r="F8" s="42" t="s">
        <v>81</v>
      </c>
      <c r="G8" s="19" t="s">
        <v>57</v>
      </c>
      <c r="H8" s="19"/>
      <c r="I8" s="19"/>
      <c r="J8" s="19"/>
      <c r="K8" s="19"/>
      <c r="L8" s="19"/>
      <c r="M8" s="12"/>
      <c r="N8" s="12"/>
    </row>
    <row r="9" spans="1:14" x14ac:dyDescent="0.25">
      <c r="A9" s="11" t="str">
        <f>IF(ISBLANK(B9),"", MAX(A$2:A8)+1)</f>
        <v/>
      </c>
      <c r="C9" s="12"/>
      <c r="D9" s="19"/>
      <c r="E9" s="11">
        <f>IF(ISBLANK(F9),"", MAX(E$2:E8)+1)</f>
        <v>7</v>
      </c>
      <c r="F9" s="42" t="s">
        <v>82</v>
      </c>
      <c r="G9" s="19" t="s">
        <v>58</v>
      </c>
      <c r="H9" s="19"/>
      <c r="I9" s="19"/>
      <c r="J9" s="19"/>
      <c r="K9" s="19"/>
      <c r="L9" s="19"/>
      <c r="M9" s="12"/>
      <c r="N9" s="12"/>
    </row>
    <row r="10" spans="1:14" x14ac:dyDescent="0.25">
      <c r="A10" s="11" t="str">
        <f>IF(ISBLANK(B10),"", MAX(A$2:A9)+1)</f>
        <v/>
      </c>
      <c r="C10" s="12"/>
      <c r="D10" s="12"/>
      <c r="E10" s="11">
        <f>IF(ISBLANK(F10),"", MAX(E$2:E9)+1)</f>
        <v>8</v>
      </c>
      <c r="F10" s="40" t="s">
        <v>83</v>
      </c>
      <c r="G10" s="42" t="s">
        <v>59</v>
      </c>
      <c r="H10" s="19"/>
      <c r="I10" s="19"/>
      <c r="J10" s="19"/>
      <c r="K10" s="19"/>
      <c r="L10" s="19"/>
      <c r="M10" s="12"/>
      <c r="N10" s="12"/>
    </row>
    <row r="11" spans="1:14" x14ac:dyDescent="0.25">
      <c r="A11" s="11" t="str">
        <f>IF(ISBLANK(B11),"", MAX(A$2:A10)+1)</f>
        <v/>
      </c>
      <c r="C11" s="12"/>
      <c r="D11" s="12"/>
      <c r="E11" s="11">
        <f>IF(ISBLANK(F11),"", MAX(E$2:E10)+1)</f>
        <v>9</v>
      </c>
      <c r="F11" s="40" t="s">
        <v>84</v>
      </c>
      <c r="G11" s="42" t="s">
        <v>60</v>
      </c>
      <c r="H11" s="19"/>
      <c r="I11" s="19"/>
      <c r="J11" s="19"/>
      <c r="K11" s="19"/>
      <c r="L11" s="19"/>
      <c r="M11" s="12"/>
      <c r="N11" s="12"/>
    </row>
    <row r="12" spans="1:14" x14ac:dyDescent="0.25">
      <c r="A12" s="11" t="str">
        <f>IF(ISBLANK(B12),"", MAX(A$2:A11)+1)</f>
        <v/>
      </c>
      <c r="C12" s="12"/>
      <c r="D12" s="12"/>
      <c r="E12" s="11">
        <f>IF(ISBLANK(F12),"", MAX(E$2:E11)+1)</f>
        <v>10</v>
      </c>
      <c r="F12" s="40" t="s">
        <v>85</v>
      </c>
      <c r="G12" s="42" t="s">
        <v>61</v>
      </c>
      <c r="H12" s="19"/>
      <c r="I12" s="19"/>
      <c r="J12" s="19"/>
      <c r="K12" s="19"/>
      <c r="L12" s="19"/>
      <c r="M12" s="12"/>
      <c r="N12" s="12"/>
    </row>
    <row r="13" spans="1:14" x14ac:dyDescent="0.25">
      <c r="A13" s="11" t="str">
        <f>IF(ISBLANK(B13),"", MAX(A$2:A12)+1)</f>
        <v/>
      </c>
      <c r="C13" s="12"/>
      <c r="D13" s="12"/>
      <c r="E13" s="11">
        <f>IF(ISBLANK(F13),"", MAX(E$2:E12)+1)</f>
        <v>11</v>
      </c>
      <c r="F13" s="40" t="s">
        <v>87</v>
      </c>
      <c r="G13" s="42" t="s">
        <v>88</v>
      </c>
      <c r="H13" s="19"/>
      <c r="I13" s="19"/>
      <c r="J13" s="19"/>
      <c r="K13" s="19"/>
      <c r="L13" s="19"/>
      <c r="M13" s="12"/>
      <c r="N13" s="12"/>
    </row>
    <row r="14" spans="1:14" x14ac:dyDescent="0.25">
      <c r="A14" s="11" t="str">
        <f>IF(ISBLANK(B14),"", MAX(A$2:A13)+1)</f>
        <v/>
      </c>
      <c r="C14" s="12"/>
      <c r="D14" s="12"/>
      <c r="E14" s="11">
        <f>IF(ISBLANK(F14),"", MAX(E$2:E13)+1)</f>
        <v>12</v>
      </c>
      <c r="F14" s="40" t="s">
        <v>147</v>
      </c>
      <c r="G14" s="42" t="s">
        <v>57</v>
      </c>
      <c r="H14" s="19"/>
      <c r="I14" s="19"/>
      <c r="J14" s="19"/>
      <c r="K14" s="19"/>
      <c r="L14" s="19"/>
      <c r="M14" s="12"/>
      <c r="N14" s="12"/>
    </row>
    <row r="15" spans="1:14" x14ac:dyDescent="0.25">
      <c r="A15" s="11" t="str">
        <f>IF(ISBLANK(B15),"", MAX(A$2:A14)+1)</f>
        <v/>
      </c>
      <c r="C15" s="12"/>
      <c r="D15" s="12"/>
      <c r="E15" s="11" t="str">
        <f>IF(ISBLANK(F15),"", MAX(E$2:E14)+1)</f>
        <v/>
      </c>
      <c r="F15" s="40"/>
      <c r="G15" s="42"/>
      <c r="H15" s="19"/>
      <c r="I15" s="19"/>
      <c r="J15" s="19"/>
      <c r="K15" s="19"/>
      <c r="L15" s="19"/>
      <c r="M15" s="12"/>
      <c r="N15" s="12"/>
    </row>
    <row r="16" spans="1:14" x14ac:dyDescent="0.25">
      <c r="A16" s="11" t="str">
        <f>IF(ISBLANK(B16),"", MAX(A$2:A15)+1)</f>
        <v/>
      </c>
      <c r="B16" s="12"/>
      <c r="C16" s="12"/>
      <c r="D16" s="12"/>
      <c r="E16" s="11" t="str">
        <f>IF(ISBLANK(F16),"", MAX(E$2:E15)+1)</f>
        <v/>
      </c>
      <c r="F16" s="40"/>
      <c r="G16" s="42"/>
      <c r="H16" s="19"/>
      <c r="I16" s="19"/>
      <c r="J16" s="19"/>
      <c r="K16" s="19"/>
      <c r="L16" s="19"/>
      <c r="M16" s="12"/>
      <c r="N16" s="12"/>
    </row>
    <row r="17" spans="1:14" x14ac:dyDescent="0.25">
      <c r="A17" s="11" t="str">
        <f>IF(ISBLANK(B17),"", MAX(A$2:A16)+1)</f>
        <v/>
      </c>
      <c r="B17" s="12"/>
      <c r="C17" s="12"/>
      <c r="D17" s="12"/>
      <c r="E17" s="11" t="str">
        <f>IF(ISBLANK(F17),"", MAX(E$2:E16)+1)</f>
        <v/>
      </c>
      <c r="F17" s="40"/>
      <c r="G17" s="42"/>
      <c r="H17" s="19"/>
      <c r="I17" s="19"/>
      <c r="J17" s="19"/>
      <c r="K17" s="19"/>
      <c r="L17" s="19"/>
      <c r="M17" s="12"/>
      <c r="N17" s="12"/>
    </row>
    <row r="18" spans="1:14" x14ac:dyDescent="0.25">
      <c r="A18" s="11" t="str">
        <f>IF(ISBLANK(B18),"", MAX(A$2:A17)+1)</f>
        <v/>
      </c>
      <c r="B18" s="12"/>
      <c r="C18" s="12"/>
      <c r="D18" s="12"/>
      <c r="E18" s="11" t="str">
        <f>IF(ISBLANK(F18),"", MAX(E$2:E17)+1)</f>
        <v/>
      </c>
      <c r="F18" s="40"/>
      <c r="G18" s="42"/>
      <c r="H18" s="19"/>
      <c r="I18" s="19"/>
      <c r="J18" s="19"/>
      <c r="K18" s="19"/>
      <c r="L18" s="19"/>
      <c r="M18" s="12"/>
      <c r="N18" s="12"/>
    </row>
    <row r="19" spans="1:14" x14ac:dyDescent="0.25">
      <c r="A19" s="11" t="str">
        <f>IF(ISBLANK(B19),"", MAX(A$2:A18)+1)</f>
        <v/>
      </c>
      <c r="B19" s="12"/>
      <c r="C19" s="12"/>
      <c r="D19" s="12"/>
      <c r="E19" s="11" t="str">
        <f>IF(ISBLANK(F19),"", MAX(E$2:E18)+1)</f>
        <v/>
      </c>
      <c r="F19" s="40"/>
      <c r="G19" s="42"/>
      <c r="H19" s="19"/>
      <c r="I19" s="19"/>
      <c r="J19" s="19"/>
      <c r="K19" s="19"/>
      <c r="L19" s="19"/>
      <c r="M19" s="12"/>
      <c r="N19" s="12"/>
    </row>
    <row r="20" spans="1:14" x14ac:dyDescent="0.25">
      <c r="A20" s="11" t="str">
        <f>IF(ISBLANK(B20),"", MAX(A$2:A19)+1)</f>
        <v/>
      </c>
      <c r="B20" s="12"/>
      <c r="C20" s="12"/>
      <c r="D20" s="12"/>
      <c r="E20" s="11" t="str">
        <f>IF(ISBLANK(F20),"", MAX(E$2:E19)+1)</f>
        <v/>
      </c>
      <c r="F20" s="40"/>
      <c r="G20" s="42"/>
      <c r="H20" s="19"/>
      <c r="I20" s="19"/>
      <c r="J20" s="19"/>
      <c r="K20" s="19"/>
      <c r="L20" s="19"/>
      <c r="M20" s="12"/>
      <c r="N20" s="12"/>
    </row>
    <row r="21" spans="1:14" x14ac:dyDescent="0.25">
      <c r="A21" s="11" t="str">
        <f>IF(ISBLANK(B21),"", MAX(A$2:A20)+1)</f>
        <v/>
      </c>
      <c r="B21" s="12"/>
      <c r="C21" s="12"/>
      <c r="D21" s="12"/>
      <c r="E21" s="11" t="str">
        <f>IF(ISBLANK(F21),"", MAX(E$2:E20)+1)</f>
        <v/>
      </c>
      <c r="F21" s="40"/>
      <c r="G21" s="42"/>
      <c r="H21" s="19"/>
      <c r="I21" s="19"/>
      <c r="J21" s="19"/>
      <c r="K21" s="19"/>
      <c r="L21" s="19"/>
      <c r="M21" s="12"/>
      <c r="N21" s="12"/>
    </row>
    <row r="22" spans="1:14" x14ac:dyDescent="0.25">
      <c r="A22" s="11" t="str">
        <f>IF(ISBLANK(B22),"", MAX(A$2:A21)+1)</f>
        <v/>
      </c>
      <c r="B22" s="12"/>
      <c r="C22" s="12"/>
      <c r="D22" s="12"/>
      <c r="E22" s="11" t="str">
        <f>IF(ISBLANK(F22),"", MAX(E$2:E21)+1)</f>
        <v/>
      </c>
      <c r="F22" s="40"/>
      <c r="G22" s="42"/>
      <c r="H22" s="19"/>
      <c r="I22" s="19"/>
      <c r="J22" s="19"/>
      <c r="K22" s="19"/>
      <c r="L22" s="19"/>
      <c r="M22" s="12"/>
      <c r="N22" s="12"/>
    </row>
    <row r="23" spans="1:14" x14ac:dyDescent="0.25">
      <c r="A23" s="11" t="str">
        <f>IF(ISBLANK(B23),"", MAX(A$2:A22)+1)</f>
        <v/>
      </c>
      <c r="B23" s="12"/>
      <c r="C23" s="12"/>
      <c r="D23" s="12"/>
      <c r="E23" s="11" t="str">
        <f>IF(ISBLANK(F23),"", MAX(E$2:E22)+1)</f>
        <v/>
      </c>
      <c r="F23" s="40"/>
      <c r="G23" s="42"/>
      <c r="H23" s="19"/>
      <c r="I23" s="19"/>
      <c r="J23" s="19"/>
      <c r="K23" s="19"/>
      <c r="L23" s="19"/>
      <c r="M23" s="12"/>
      <c r="N23" s="12"/>
    </row>
    <row r="24" spans="1:14" x14ac:dyDescent="0.25">
      <c r="A24" s="11" t="str">
        <f>IF(ISBLANK(B24),"", MAX(A$2:A23)+1)</f>
        <v/>
      </c>
      <c r="B24" s="12"/>
      <c r="C24" s="12"/>
      <c r="D24" s="12"/>
      <c r="E24" s="11" t="str">
        <f>IF(ISBLANK(F24),"", MAX(E$2:E23)+1)</f>
        <v/>
      </c>
      <c r="F24" s="40"/>
      <c r="G24" s="42"/>
      <c r="H24" s="19"/>
      <c r="I24" s="19"/>
      <c r="J24" s="19"/>
      <c r="K24" s="19"/>
      <c r="L24" s="19"/>
      <c r="M24" s="12"/>
      <c r="N24" s="12"/>
    </row>
    <row r="25" spans="1:14" x14ac:dyDescent="0.25">
      <c r="A25" s="11" t="str">
        <f>IF(ISBLANK(B25),"", MAX(A$2:A24)+1)</f>
        <v/>
      </c>
      <c r="B25" s="12"/>
      <c r="C25" s="12"/>
      <c r="D25" s="12"/>
      <c r="E25" s="11" t="str">
        <f>IF(ISBLANK(F25),"", MAX(E$2:E24)+1)</f>
        <v/>
      </c>
      <c r="F25" s="40"/>
      <c r="G25" s="42"/>
      <c r="H25" s="19"/>
      <c r="I25" s="19"/>
      <c r="J25" s="19"/>
      <c r="K25" s="19"/>
      <c r="L25" s="19"/>
      <c r="M25" s="12"/>
      <c r="N25" s="12"/>
    </row>
    <row r="26" spans="1:14" x14ac:dyDescent="0.25">
      <c r="A26" s="11" t="str">
        <f>IF(ISBLANK(B26),"", MAX(A$2:A25)+1)</f>
        <v/>
      </c>
      <c r="B26" s="12"/>
      <c r="C26" s="12"/>
      <c r="D26" s="12"/>
      <c r="E26" s="11" t="str">
        <f>IF(ISBLANK(F26),"", MAX(E$2:E25)+1)</f>
        <v/>
      </c>
      <c r="F26" s="40"/>
      <c r="G26" s="42"/>
      <c r="H26" s="19"/>
      <c r="I26" s="19"/>
      <c r="J26" s="19"/>
      <c r="K26" s="19"/>
      <c r="L26" s="19"/>
      <c r="M26" s="12"/>
      <c r="N26" s="12"/>
    </row>
    <row r="27" spans="1:14" x14ac:dyDescent="0.25">
      <c r="A27" s="11" t="str">
        <f>IF(ISBLANK(B27),"", MAX(A$2:A26)+1)</f>
        <v/>
      </c>
      <c r="B27" s="12"/>
      <c r="C27" s="12"/>
      <c r="D27" s="12"/>
      <c r="E27" s="11" t="str">
        <f>IF(ISBLANK(F27),"", MAX(E$2:E26)+1)</f>
        <v/>
      </c>
      <c r="F27" s="40"/>
      <c r="G27" s="42"/>
      <c r="H27" s="19"/>
      <c r="I27" s="19"/>
      <c r="J27" s="19"/>
      <c r="K27" s="19"/>
      <c r="L27" s="19"/>
      <c r="M27" s="12"/>
      <c r="N27" s="12"/>
    </row>
    <row r="28" spans="1:14" x14ac:dyDescent="0.25">
      <c r="A28" s="11" t="str">
        <f>IF(ISBLANK(B28),"", MAX(A$2:A27)+1)</f>
        <v/>
      </c>
      <c r="B28" s="12"/>
      <c r="C28" s="12"/>
      <c r="D28" s="12"/>
      <c r="E28" s="11" t="str">
        <f>IF(ISBLANK(F28),"", MAX(E$2:E27)+1)</f>
        <v/>
      </c>
      <c r="F28" s="40"/>
      <c r="G28" s="42"/>
      <c r="H28" s="19"/>
      <c r="I28" s="19"/>
      <c r="J28" s="19"/>
      <c r="K28" s="19"/>
      <c r="L28" s="19"/>
      <c r="M28" s="12"/>
      <c r="N28" s="12"/>
    </row>
    <row r="29" spans="1:14" x14ac:dyDescent="0.25">
      <c r="A29" s="11" t="str">
        <f>IF(ISBLANK(B29),"", MAX(A$2:A28)+1)</f>
        <v/>
      </c>
      <c r="B29" s="12"/>
      <c r="C29" s="12"/>
      <c r="D29" s="12"/>
      <c r="E29" s="11" t="str">
        <f>IF(ISBLANK(F29),"", MAX(E$2:E28)+1)</f>
        <v/>
      </c>
      <c r="F29" s="40"/>
      <c r="G29" s="42"/>
      <c r="H29" s="19"/>
      <c r="I29" s="19"/>
      <c r="J29" s="19"/>
      <c r="K29" s="19"/>
      <c r="L29" s="19"/>
      <c r="M29" s="12"/>
      <c r="N29" s="12"/>
    </row>
    <row r="30" spans="1:14" x14ac:dyDescent="0.25">
      <c r="A30" s="11" t="str">
        <f>IF(ISBLANK(B30),"", MAX(A$2:A29)+1)</f>
        <v/>
      </c>
      <c r="B30" s="12"/>
      <c r="C30" s="12"/>
      <c r="D30" s="12"/>
      <c r="E30" s="11" t="str">
        <f>IF(ISBLANK(F30),"", MAX(E$2:E29)+1)</f>
        <v/>
      </c>
      <c r="F30" s="40"/>
      <c r="G30" s="42"/>
      <c r="H30" s="19"/>
      <c r="I30" s="19"/>
      <c r="J30" s="19"/>
      <c r="K30" s="19"/>
      <c r="L30" s="19"/>
      <c r="M30" s="12"/>
      <c r="N30" s="12"/>
    </row>
    <row r="31" spans="1:14" x14ac:dyDescent="0.25">
      <c r="A31" s="11" t="str">
        <f>IF(ISBLANK(B31),"", MAX(A$2:A30)+1)</f>
        <v/>
      </c>
      <c r="B31" s="12"/>
      <c r="C31" s="12"/>
      <c r="D31" s="12"/>
      <c r="E31" s="11" t="str">
        <f>IF(ISBLANK(F31),"", MAX(E$2:E30)+1)</f>
        <v/>
      </c>
      <c r="F31" s="40"/>
      <c r="G31" s="42"/>
      <c r="H31" s="19"/>
      <c r="I31" s="19"/>
      <c r="J31" s="19"/>
      <c r="K31" s="19"/>
      <c r="L31" s="19"/>
      <c r="M31" s="12"/>
      <c r="N31" s="12"/>
    </row>
    <row r="32" spans="1:14" x14ac:dyDescent="0.25">
      <c r="A32" s="11" t="str">
        <f>IF(ISBLANK(B32),"", MAX(A$2:A31)+1)</f>
        <v/>
      </c>
      <c r="B32" s="12"/>
      <c r="C32" s="12"/>
      <c r="D32" s="12"/>
      <c r="E32" s="11" t="str">
        <f>IF(ISBLANK(F32),"", MAX(E$2:E31)+1)</f>
        <v/>
      </c>
      <c r="F32" s="40"/>
      <c r="G32" s="42"/>
      <c r="H32" s="19"/>
      <c r="I32" s="19"/>
      <c r="J32" s="19"/>
      <c r="K32" s="19"/>
      <c r="L32" s="19"/>
      <c r="M32" s="12"/>
      <c r="N32" s="12"/>
    </row>
    <row r="33" spans="1:14" x14ac:dyDescent="0.25">
      <c r="A33" s="11" t="str">
        <f>IF(ISBLANK(B33),"", MAX(A$2:A32)+1)</f>
        <v/>
      </c>
      <c r="B33" s="12"/>
      <c r="C33" s="12"/>
      <c r="D33" s="12"/>
      <c r="E33" s="11" t="str">
        <f>IF(ISBLANK(F33),"", MAX(E$2:E32)+1)</f>
        <v/>
      </c>
      <c r="F33" s="40"/>
      <c r="G33" s="42"/>
      <c r="H33" s="19"/>
      <c r="I33" s="19"/>
      <c r="J33" s="19"/>
      <c r="K33" s="19"/>
      <c r="L33" s="19"/>
      <c r="M33" s="12"/>
      <c r="N33" s="12"/>
    </row>
    <row r="34" spans="1:14" x14ac:dyDescent="0.25">
      <c r="A34" s="11" t="str">
        <f>IF(ISBLANK(B34),"", MAX(A$2:A33)+1)</f>
        <v/>
      </c>
      <c r="B34" s="12"/>
      <c r="C34" s="12"/>
      <c r="D34" s="12"/>
      <c r="E34" s="11" t="str">
        <f>IF(ISBLANK(F34),"", MAX(E$2:E33)+1)</f>
        <v/>
      </c>
      <c r="F34" s="40"/>
      <c r="G34" s="42"/>
      <c r="H34" s="19"/>
      <c r="I34" s="19"/>
      <c r="J34" s="19"/>
      <c r="K34" s="19"/>
      <c r="L34" s="19"/>
      <c r="M34" s="12"/>
      <c r="N34" s="12"/>
    </row>
    <row r="35" spans="1:14" x14ac:dyDescent="0.25">
      <c r="A35" s="11" t="str">
        <f>IF(ISBLANK(B35),"", MAX(A$2:A34)+1)</f>
        <v/>
      </c>
      <c r="B35" s="12"/>
      <c r="C35" s="12"/>
      <c r="D35" s="12"/>
      <c r="E35" s="11" t="str">
        <f>IF(ISBLANK(F35),"", MAX(E$2:E34)+1)</f>
        <v/>
      </c>
      <c r="F35" s="40"/>
      <c r="G35" s="42"/>
      <c r="H35" s="19"/>
      <c r="I35" s="19"/>
      <c r="J35" s="19"/>
      <c r="K35" s="19"/>
      <c r="L35" s="19"/>
      <c r="M35" s="12"/>
      <c r="N35" s="12"/>
    </row>
    <row r="36" spans="1:14" x14ac:dyDescent="0.25">
      <c r="A36" s="11" t="str">
        <f>IF(ISBLANK(B36),"", MAX(A$2:A35)+1)</f>
        <v/>
      </c>
      <c r="B36" s="12"/>
      <c r="C36" s="12"/>
      <c r="D36" s="12"/>
      <c r="E36" s="11" t="str">
        <f>IF(ISBLANK(F36),"", MAX(E$2:E35)+1)</f>
        <v/>
      </c>
      <c r="F36" s="40"/>
      <c r="G36" s="42"/>
      <c r="H36" s="19"/>
      <c r="I36" s="19"/>
      <c r="J36" s="19"/>
      <c r="K36" s="19"/>
      <c r="L36" s="19"/>
      <c r="M36" s="12"/>
      <c r="N36" s="12"/>
    </row>
    <row r="37" spans="1:14" x14ac:dyDescent="0.25">
      <c r="A37" s="11" t="str">
        <f>IF(ISBLANK(B37),"", MAX(A$2:A36)+1)</f>
        <v/>
      </c>
      <c r="B37" s="12"/>
      <c r="C37" s="12"/>
      <c r="D37" s="12"/>
      <c r="E37" s="11" t="str">
        <f>IF(ISBLANK(F37),"", MAX(E$2:E36)+1)</f>
        <v/>
      </c>
      <c r="F37" s="40"/>
      <c r="G37" s="42"/>
      <c r="H37" s="19"/>
      <c r="I37" s="19"/>
      <c r="J37" s="19"/>
      <c r="K37" s="19"/>
      <c r="L37" s="19"/>
      <c r="M37" s="12"/>
      <c r="N37" s="12"/>
    </row>
    <row r="38" spans="1:14" x14ac:dyDescent="0.25">
      <c r="A38" s="11" t="str">
        <f>IF(ISBLANK(B38),"", MAX(A$2:A37)+1)</f>
        <v/>
      </c>
      <c r="B38" s="12"/>
      <c r="C38" s="12"/>
      <c r="D38" s="12"/>
      <c r="E38" s="11" t="str">
        <f>IF(ISBLANK(F38),"", MAX(E$2:E37)+1)</f>
        <v/>
      </c>
      <c r="F38" s="40"/>
      <c r="G38" s="42"/>
      <c r="H38" s="19"/>
      <c r="I38" s="19"/>
      <c r="J38" s="19"/>
      <c r="K38" s="19"/>
      <c r="L38" s="19"/>
      <c r="M38" s="12"/>
      <c r="N38" s="12"/>
    </row>
    <row r="39" spans="1:14" x14ac:dyDescent="0.25">
      <c r="A39" s="11" t="str">
        <f>IF(ISBLANK(B39),"", MAX(A$2:A38)+1)</f>
        <v/>
      </c>
      <c r="B39" s="12"/>
      <c r="C39" s="12"/>
      <c r="D39" s="12"/>
      <c r="E39" s="11" t="str">
        <f>IF(ISBLANK(F39),"", MAX(E$2:E38)+1)</f>
        <v/>
      </c>
      <c r="F39" s="40"/>
      <c r="G39" s="42"/>
      <c r="H39" s="19"/>
      <c r="I39" s="19"/>
      <c r="J39" s="19"/>
      <c r="K39" s="19"/>
      <c r="L39" s="19"/>
      <c r="M39" s="12"/>
      <c r="N39" s="12"/>
    </row>
    <row r="40" spans="1:14" x14ac:dyDescent="0.25">
      <c r="A40" s="11" t="str">
        <f>IF(ISBLANK(B40),"", MAX(A$2:A39)+1)</f>
        <v/>
      </c>
      <c r="B40" s="12"/>
      <c r="C40" s="12"/>
      <c r="D40" s="12"/>
      <c r="E40" s="11" t="str">
        <f>IF(ISBLANK(F40),"", MAX(E$2:E39)+1)</f>
        <v/>
      </c>
      <c r="F40" s="40"/>
      <c r="G40" s="42"/>
      <c r="H40" s="19"/>
      <c r="I40" s="19"/>
      <c r="J40" s="19"/>
      <c r="K40" s="19"/>
      <c r="L40" s="19"/>
      <c r="M40" s="12"/>
      <c r="N40" s="12"/>
    </row>
    <row r="41" spans="1:14" x14ac:dyDescent="0.25">
      <c r="A41" s="11" t="str">
        <f>IF(ISBLANK(B41),"", MAX(A$2:A40)+1)</f>
        <v/>
      </c>
      <c r="B41" s="12"/>
      <c r="C41" s="12"/>
      <c r="D41" s="12"/>
      <c r="E41" s="11" t="str">
        <f>IF(ISBLANK(F41),"", MAX(E$2:E40)+1)</f>
        <v/>
      </c>
      <c r="F41" s="40"/>
      <c r="G41" s="42"/>
      <c r="H41" s="19"/>
      <c r="I41" s="19"/>
      <c r="J41" s="19"/>
      <c r="K41" s="19"/>
      <c r="L41" s="19"/>
      <c r="M41" s="12"/>
      <c r="N41" s="12"/>
    </row>
    <row r="42" spans="1:14" x14ac:dyDescent="0.25">
      <c r="A42" s="11" t="str">
        <f>IF(ISBLANK(B42),"", MAX(A$2:A41)+1)</f>
        <v/>
      </c>
      <c r="B42" s="12"/>
      <c r="C42" s="12"/>
      <c r="D42" s="12"/>
      <c r="E42" s="11" t="str">
        <f>IF(ISBLANK(F42),"", MAX(E$2:E41)+1)</f>
        <v/>
      </c>
      <c r="F42" s="40"/>
      <c r="G42" s="42"/>
      <c r="H42" s="19"/>
      <c r="I42" s="19"/>
      <c r="J42" s="19"/>
      <c r="K42" s="19"/>
      <c r="L42" s="19"/>
      <c r="M42" s="12"/>
      <c r="N42" s="12"/>
    </row>
    <row r="43" spans="1:14" x14ac:dyDescent="0.25">
      <c r="A43" s="11" t="str">
        <f>IF(ISBLANK(B43),"", MAX(A$2:A42)+1)</f>
        <v/>
      </c>
      <c r="B43" s="12"/>
      <c r="C43" s="12"/>
      <c r="D43" s="12"/>
      <c r="E43" s="11" t="str">
        <f>IF(ISBLANK(F43),"", MAX(E$2:E42)+1)</f>
        <v/>
      </c>
      <c r="F43" s="40"/>
      <c r="G43" s="42"/>
      <c r="H43" s="19"/>
      <c r="I43" s="19"/>
      <c r="J43" s="19"/>
      <c r="K43" s="19"/>
      <c r="L43" s="19"/>
      <c r="M43" s="12"/>
      <c r="N43" s="12"/>
    </row>
    <row r="44" spans="1:14" x14ac:dyDescent="0.25">
      <c r="A44" s="11" t="str">
        <f>IF(ISBLANK(B44),"", MAX(A$2:A43)+1)</f>
        <v/>
      </c>
      <c r="B44" s="12"/>
      <c r="C44" s="12"/>
      <c r="D44" s="12"/>
      <c r="E44" s="11" t="str">
        <f>IF(ISBLANK(F44),"", MAX(E$2:E43)+1)</f>
        <v/>
      </c>
      <c r="F44" s="40"/>
      <c r="G44" s="42"/>
      <c r="H44" s="19"/>
      <c r="I44" s="19"/>
      <c r="J44" s="19"/>
      <c r="K44" s="19"/>
      <c r="L44" s="19"/>
      <c r="M44" s="12"/>
      <c r="N44" s="12"/>
    </row>
    <row r="45" spans="1:14" x14ac:dyDescent="0.25">
      <c r="A45" s="11" t="str">
        <f>IF(ISBLANK(B45),"", MAX(A$2:A44)+1)</f>
        <v/>
      </c>
      <c r="B45" s="12"/>
      <c r="C45" s="12"/>
      <c r="D45" s="12"/>
      <c r="E45" s="11" t="str">
        <f>IF(ISBLANK(F45),"", MAX(E$2:E44)+1)</f>
        <v/>
      </c>
      <c r="F45" s="40"/>
      <c r="G45" s="42"/>
      <c r="H45" s="19"/>
      <c r="I45" s="19"/>
      <c r="J45" s="19"/>
      <c r="K45" s="19"/>
      <c r="L45" s="19"/>
      <c r="M45" s="12"/>
      <c r="N45" s="12"/>
    </row>
    <row r="46" spans="1:14" x14ac:dyDescent="0.25">
      <c r="A46" s="11" t="str">
        <f>IF(ISBLANK(B46),"", MAX(A$2:A45)+1)</f>
        <v/>
      </c>
      <c r="B46" s="12"/>
      <c r="C46" s="12"/>
      <c r="D46" s="12"/>
      <c r="E46" s="11" t="str">
        <f>IF(ISBLANK(F46),"", MAX(E$2:E45)+1)</f>
        <v/>
      </c>
      <c r="F46" s="40"/>
      <c r="G46" s="42"/>
      <c r="H46" s="19"/>
      <c r="I46" s="19"/>
      <c r="J46" s="19"/>
      <c r="K46" s="19"/>
      <c r="L46" s="19"/>
      <c r="M46" s="12"/>
      <c r="N46" s="12"/>
    </row>
    <row r="47" spans="1:14" x14ac:dyDescent="0.25">
      <c r="A47" s="11" t="str">
        <f>IF(ISBLANK(B47),"", MAX(A$2:A46)+1)</f>
        <v/>
      </c>
      <c r="B47" s="12"/>
      <c r="C47" s="12"/>
      <c r="D47" s="12"/>
      <c r="E47" s="11" t="str">
        <f>IF(ISBLANK(F47),"", MAX(E$2:E46)+1)</f>
        <v/>
      </c>
      <c r="F47" s="40"/>
      <c r="G47" s="42"/>
      <c r="H47" s="19"/>
      <c r="I47" s="19"/>
      <c r="J47" s="19"/>
      <c r="K47" s="19"/>
      <c r="L47" s="19"/>
      <c r="M47" s="12"/>
      <c r="N47" s="12"/>
    </row>
    <row r="48" spans="1:14" x14ac:dyDescent="0.25">
      <c r="A48" s="11" t="str">
        <f>IF(ISBLANK(B48),"", MAX(A$2:A47)+1)</f>
        <v/>
      </c>
      <c r="B48" s="12"/>
      <c r="C48" s="12"/>
      <c r="D48" s="12"/>
      <c r="E48" s="11" t="str">
        <f>IF(ISBLANK(F48),"", MAX(E$2:E47)+1)</f>
        <v/>
      </c>
      <c r="F48" s="40"/>
      <c r="G48" s="42"/>
      <c r="H48" s="19"/>
      <c r="I48" s="19"/>
      <c r="J48" s="19"/>
      <c r="K48" s="19"/>
      <c r="L48" s="19"/>
      <c r="M48" s="12"/>
      <c r="N48" s="12"/>
    </row>
    <row r="49" spans="1:14" x14ac:dyDescent="0.25">
      <c r="A49" s="11" t="str">
        <f>IF(ISBLANK(B49),"", MAX(A$2:A48)+1)</f>
        <v/>
      </c>
      <c r="B49" s="12"/>
      <c r="C49" s="12"/>
      <c r="D49" s="12"/>
      <c r="E49" s="11" t="str">
        <f>IF(ISBLANK(F49),"", MAX(E$2:E48)+1)</f>
        <v/>
      </c>
      <c r="F49" s="40"/>
      <c r="G49" s="42"/>
      <c r="H49" s="19"/>
      <c r="I49" s="19"/>
      <c r="J49" s="19"/>
      <c r="K49" s="19"/>
      <c r="L49" s="19"/>
      <c r="M49" s="12"/>
      <c r="N49" s="12"/>
    </row>
    <row r="50" spans="1:14" x14ac:dyDescent="0.25">
      <c r="A50" s="11" t="str">
        <f>IF(ISBLANK(B50),"", MAX(A$2:A49)+1)</f>
        <v/>
      </c>
      <c r="B50" s="12"/>
      <c r="C50" s="12"/>
      <c r="D50" s="12"/>
      <c r="E50" s="11" t="str">
        <f>IF(ISBLANK(F50),"", MAX(E$2:E49)+1)</f>
        <v/>
      </c>
      <c r="F50" s="40"/>
      <c r="G50" s="42"/>
      <c r="H50" s="19"/>
      <c r="I50" s="19"/>
      <c r="J50" s="19"/>
      <c r="K50" s="19"/>
      <c r="L50" s="19"/>
      <c r="M50" s="12"/>
      <c r="N50" s="12"/>
    </row>
    <row r="51" spans="1:14" x14ac:dyDescent="0.25">
      <c r="A51" s="11" t="str">
        <f>IF(ISBLANK(B51),"", MAX(A$2:A50)+1)</f>
        <v/>
      </c>
      <c r="B51" s="12"/>
      <c r="C51" s="12"/>
      <c r="D51" s="12"/>
      <c r="E51" s="11" t="str">
        <f>IF(ISBLANK(F51),"", MAX(E$2:E50)+1)</f>
        <v/>
      </c>
      <c r="F51" s="40"/>
      <c r="G51" s="42"/>
      <c r="H51" s="19"/>
      <c r="I51" s="19"/>
      <c r="J51" s="19"/>
      <c r="K51" s="19"/>
      <c r="L51" s="19"/>
      <c r="M51" s="12"/>
      <c r="N51" s="12"/>
    </row>
    <row r="52" spans="1:14" x14ac:dyDescent="0.25">
      <c r="A52" s="11" t="str">
        <f>IF(ISBLANK(B52),"", MAX(A$2:A51)+1)</f>
        <v/>
      </c>
      <c r="B52" s="12"/>
      <c r="C52" s="12"/>
      <c r="D52" s="12"/>
      <c r="E52" s="11" t="str">
        <f>IF(ISBLANK(F52),"", MAX(E$2:E51)+1)</f>
        <v/>
      </c>
      <c r="F52" s="40"/>
      <c r="G52" s="42"/>
      <c r="H52" s="19"/>
      <c r="I52" s="19"/>
      <c r="J52" s="19"/>
      <c r="K52" s="19"/>
      <c r="L52" s="19"/>
      <c r="M52" s="12"/>
      <c r="N52" s="12"/>
    </row>
    <row r="53" spans="1:14" x14ac:dyDescent="0.25">
      <c r="A53" s="11" t="str">
        <f>IF(ISBLANK(B53),"", MAX(A$2:A52)+1)</f>
        <v/>
      </c>
      <c r="B53" s="12"/>
      <c r="C53" s="12"/>
      <c r="D53" s="12"/>
      <c r="E53" s="11" t="str">
        <f>IF(ISBLANK(F53),"", MAX(E$2:E52)+1)</f>
        <v/>
      </c>
      <c r="F53" s="40"/>
      <c r="G53" s="42"/>
      <c r="H53" s="19"/>
      <c r="I53" s="19"/>
      <c r="J53" s="19"/>
      <c r="K53" s="19"/>
      <c r="L53" s="19"/>
      <c r="M53" s="12"/>
      <c r="N53" s="12"/>
    </row>
    <row r="54" spans="1:14" x14ac:dyDescent="0.25">
      <c r="A54" s="11" t="str">
        <f>IF(ISBLANK(B54),"", MAX(A$2:A53)+1)</f>
        <v/>
      </c>
      <c r="B54" s="12"/>
      <c r="C54" s="12"/>
      <c r="D54" s="12"/>
      <c r="E54" s="11" t="str">
        <f>IF(ISBLANK(F54),"", MAX(E$2:E53)+1)</f>
        <v/>
      </c>
      <c r="F54" s="40"/>
      <c r="G54" s="42"/>
      <c r="H54" s="19"/>
      <c r="I54" s="19"/>
      <c r="J54" s="19"/>
      <c r="K54" s="19"/>
      <c r="L54" s="19"/>
      <c r="M54" s="12"/>
      <c r="N54" s="12"/>
    </row>
    <row r="55" spans="1:14" x14ac:dyDescent="0.25">
      <c r="A55" s="11" t="str">
        <f>IF(ISBLANK(B55),"", MAX(A$2:A54)+1)</f>
        <v/>
      </c>
      <c r="B55" s="12"/>
      <c r="C55" s="12"/>
      <c r="D55" s="12"/>
      <c r="E55" s="11" t="str">
        <f>IF(ISBLANK(F55),"", MAX(E$2:E54)+1)</f>
        <v/>
      </c>
      <c r="F55" s="40"/>
      <c r="G55" s="42"/>
      <c r="H55" s="19"/>
      <c r="I55" s="19"/>
      <c r="J55" s="19"/>
      <c r="K55" s="19"/>
      <c r="L55" s="19"/>
      <c r="M55" s="12"/>
      <c r="N55" s="12"/>
    </row>
    <row r="56" spans="1:14" x14ac:dyDescent="0.25">
      <c r="A56" s="11" t="str">
        <f>IF(ISBLANK(B56),"", MAX(A$2:A55)+1)</f>
        <v/>
      </c>
      <c r="B56" s="12"/>
      <c r="C56" s="12"/>
      <c r="D56" s="12"/>
      <c r="E56" s="11" t="str">
        <f>IF(ISBLANK(F56),"", MAX(E$2:E55)+1)</f>
        <v/>
      </c>
      <c r="F56" s="40"/>
      <c r="G56" s="42"/>
      <c r="H56" s="19"/>
      <c r="I56" s="19"/>
      <c r="J56" s="19"/>
      <c r="K56" s="19"/>
      <c r="L56" s="19"/>
      <c r="M56" s="12"/>
      <c r="N56" s="12"/>
    </row>
    <row r="57" spans="1:14" x14ac:dyDescent="0.25">
      <c r="A57" s="11" t="str">
        <f>IF(ISBLANK(B57),"", MAX(A$2:A56)+1)</f>
        <v/>
      </c>
      <c r="B57" s="12"/>
      <c r="C57" s="12"/>
      <c r="D57" s="12"/>
      <c r="E57" s="11" t="str">
        <f>IF(ISBLANK(F57),"", MAX(E$2:E56)+1)</f>
        <v/>
      </c>
      <c r="F57" s="40"/>
      <c r="G57" s="42"/>
      <c r="H57" s="19"/>
      <c r="I57" s="19"/>
      <c r="J57" s="19"/>
      <c r="K57" s="19"/>
      <c r="L57" s="19"/>
      <c r="M57" s="12"/>
      <c r="N57" s="12"/>
    </row>
    <row r="58" spans="1:14" x14ac:dyDescent="0.25">
      <c r="A58" s="11" t="str">
        <f>IF(ISBLANK(B58),"", MAX(A$2:A57)+1)</f>
        <v/>
      </c>
      <c r="B58" s="12"/>
      <c r="C58" s="12"/>
      <c r="D58" s="12"/>
      <c r="E58" s="11" t="str">
        <f>IF(ISBLANK(F58),"", MAX(E$2:E57)+1)</f>
        <v/>
      </c>
      <c r="F58" s="40"/>
      <c r="G58" s="42"/>
      <c r="H58" s="19"/>
      <c r="I58" s="19"/>
      <c r="J58" s="19"/>
      <c r="K58" s="19"/>
      <c r="L58" s="19"/>
      <c r="M58" s="12"/>
      <c r="N58" s="12"/>
    </row>
    <row r="59" spans="1:14" x14ac:dyDescent="0.25">
      <c r="A59" s="11" t="str">
        <f>IF(ISBLANK(B59),"", MAX(A$2:A58)+1)</f>
        <v/>
      </c>
      <c r="B59" s="12"/>
      <c r="C59" s="12"/>
      <c r="D59" s="12"/>
      <c r="E59" s="11" t="str">
        <f>IF(ISBLANK(F59),"", MAX(E$2:E58)+1)</f>
        <v/>
      </c>
      <c r="F59" s="40"/>
      <c r="G59" s="42"/>
      <c r="H59" s="19"/>
      <c r="I59" s="19"/>
      <c r="J59" s="19"/>
      <c r="K59" s="19"/>
      <c r="L59" s="19"/>
      <c r="M59" s="12"/>
      <c r="N59" s="12"/>
    </row>
    <row r="60" spans="1:14" x14ac:dyDescent="0.25">
      <c r="A60" s="11" t="str">
        <f>IF(ISBLANK(B60),"", MAX(A$2:A59)+1)</f>
        <v/>
      </c>
      <c r="B60" s="12"/>
      <c r="C60" s="12"/>
      <c r="D60" s="12"/>
      <c r="E60" s="11" t="str">
        <f>IF(ISBLANK(F60),"", MAX(E$2:E59)+1)</f>
        <v/>
      </c>
      <c r="F60" s="40"/>
      <c r="G60" s="42"/>
      <c r="H60" s="19"/>
      <c r="I60" s="19"/>
      <c r="J60" s="19"/>
      <c r="K60" s="19"/>
      <c r="L60" s="19"/>
      <c r="M60" s="12"/>
      <c r="N60" s="12"/>
    </row>
    <row r="61" spans="1:14" x14ac:dyDescent="0.25">
      <c r="A61" s="11" t="str">
        <f>IF(ISBLANK(B61),"", MAX(A$2:A60)+1)</f>
        <v/>
      </c>
      <c r="B61" s="12"/>
      <c r="C61" s="12"/>
      <c r="D61" s="12"/>
      <c r="E61" s="11" t="str">
        <f>IF(ISBLANK(F61),"", MAX(E$2:E60)+1)</f>
        <v/>
      </c>
      <c r="F61" s="40"/>
      <c r="G61" s="42"/>
      <c r="H61" s="19"/>
      <c r="I61" s="19"/>
      <c r="J61" s="19"/>
      <c r="K61" s="19"/>
      <c r="L61" s="19"/>
      <c r="M61" s="12"/>
      <c r="N61" s="12"/>
    </row>
    <row r="62" spans="1:14" x14ac:dyDescent="0.25">
      <c r="A62" s="11" t="str">
        <f>IF(ISBLANK(B62),"", MAX(A$2:A61)+1)</f>
        <v/>
      </c>
      <c r="B62" s="12"/>
      <c r="C62" s="12"/>
      <c r="D62" s="12"/>
      <c r="E62" s="11" t="str">
        <f>IF(ISBLANK(F62),"", MAX(E$2:E61)+1)</f>
        <v/>
      </c>
      <c r="F62" s="40"/>
      <c r="G62" s="42"/>
      <c r="H62" s="19"/>
      <c r="I62" s="19"/>
      <c r="J62" s="19"/>
      <c r="K62" s="19"/>
      <c r="L62" s="19"/>
      <c r="M62" s="12"/>
      <c r="N62" s="12"/>
    </row>
    <row r="63" spans="1:14" x14ac:dyDescent="0.25">
      <c r="A63" s="11" t="str">
        <f>IF(ISBLANK(B63),"", MAX(A$2:A62)+1)</f>
        <v/>
      </c>
      <c r="B63" s="12"/>
      <c r="C63" s="12"/>
      <c r="D63" s="12"/>
      <c r="E63" s="11" t="str">
        <f>IF(ISBLANK(F63),"", MAX(E$2:E62)+1)</f>
        <v/>
      </c>
      <c r="F63" s="40"/>
      <c r="G63" s="42"/>
      <c r="H63" s="19"/>
      <c r="I63" s="19"/>
      <c r="J63" s="19"/>
      <c r="K63" s="19"/>
      <c r="L63" s="19"/>
      <c r="M63" s="12"/>
      <c r="N63" s="12"/>
    </row>
    <row r="64" spans="1:14" x14ac:dyDescent="0.25">
      <c r="A64" s="11" t="str">
        <f>IF(ISBLANK(B64),"", MAX(A$2:A63)+1)</f>
        <v/>
      </c>
      <c r="B64" s="12"/>
      <c r="C64" s="12"/>
      <c r="D64" s="12"/>
      <c r="E64" s="11" t="str">
        <f>IF(ISBLANK(F64),"", MAX(E$2:E63)+1)</f>
        <v/>
      </c>
      <c r="F64" s="40"/>
      <c r="G64" s="42"/>
      <c r="H64" s="19"/>
      <c r="I64" s="19"/>
      <c r="J64" s="19"/>
      <c r="K64" s="19"/>
      <c r="L64" s="19"/>
      <c r="M64" s="12"/>
      <c r="N64" s="12"/>
    </row>
    <row r="65" spans="1:14" x14ac:dyDescent="0.25">
      <c r="A65" s="11" t="str">
        <f>IF(ISBLANK(B65),"", MAX(A$2:A64)+1)</f>
        <v/>
      </c>
      <c r="B65" s="12"/>
      <c r="C65" s="12"/>
      <c r="D65" s="12"/>
      <c r="E65" s="11" t="str">
        <f>IF(ISBLANK(F65),"", MAX(E$2:E64)+1)</f>
        <v/>
      </c>
      <c r="F65" s="40"/>
      <c r="G65" s="42"/>
      <c r="H65" s="19"/>
      <c r="I65" s="19"/>
      <c r="J65" s="19"/>
      <c r="K65" s="19"/>
      <c r="L65" s="19"/>
      <c r="M65" s="12"/>
      <c r="N65" s="12"/>
    </row>
    <row r="66" spans="1:14" x14ac:dyDescent="0.25">
      <c r="A66" s="11" t="str">
        <f>IF(ISBLANK(B66),"", MAX(A$2:A65)+1)</f>
        <v/>
      </c>
      <c r="B66" s="12"/>
      <c r="C66" s="12"/>
      <c r="D66" s="12"/>
      <c r="E66" s="11" t="str">
        <f>IF(ISBLANK(F66),"", MAX(E$2:E65)+1)</f>
        <v/>
      </c>
      <c r="F66" s="40"/>
      <c r="G66" s="42"/>
      <c r="H66" s="19"/>
      <c r="I66" s="19"/>
      <c r="J66" s="19"/>
      <c r="K66" s="19"/>
      <c r="L66" s="19"/>
      <c r="M66" s="12"/>
      <c r="N66" s="12"/>
    </row>
    <row r="67" spans="1:14" x14ac:dyDescent="0.25">
      <c r="A67" s="11" t="str">
        <f>IF(ISBLANK(B67),"", MAX(A$2:A66)+1)</f>
        <v/>
      </c>
      <c r="B67" s="12"/>
      <c r="C67" s="12"/>
      <c r="D67" s="12"/>
      <c r="E67" s="11" t="str">
        <f>IF(ISBLANK(F67),"", MAX(E$2:E66)+1)</f>
        <v/>
      </c>
      <c r="F67" s="40"/>
      <c r="G67" s="42"/>
      <c r="H67" s="19"/>
      <c r="I67" s="19"/>
      <c r="J67" s="19"/>
      <c r="K67" s="19"/>
      <c r="L67" s="19"/>
      <c r="M67" s="12"/>
      <c r="N67" s="12"/>
    </row>
    <row r="68" spans="1:14" x14ac:dyDescent="0.25">
      <c r="A68" s="11" t="str">
        <f>IF(ISBLANK(B68),"", MAX(A$2:A67)+1)</f>
        <v/>
      </c>
      <c r="B68" s="12"/>
      <c r="C68" s="12"/>
      <c r="D68" s="12"/>
      <c r="E68" s="11" t="str">
        <f>IF(ISBLANK(F68),"", MAX(E$2:E67)+1)</f>
        <v/>
      </c>
      <c r="F68" s="40"/>
      <c r="G68" s="42"/>
      <c r="H68" s="19"/>
      <c r="I68" s="19"/>
      <c r="J68" s="19"/>
      <c r="K68" s="19"/>
      <c r="L68" s="19"/>
      <c r="M68" s="12"/>
      <c r="N68" s="12"/>
    </row>
    <row r="69" spans="1:14" x14ac:dyDescent="0.25">
      <c r="A69" s="11" t="str">
        <f>IF(ISBLANK(B69),"", MAX(A$2:A68)+1)</f>
        <v/>
      </c>
      <c r="B69" s="12"/>
      <c r="C69" s="12"/>
      <c r="D69" s="12"/>
      <c r="E69" s="11" t="str">
        <f>IF(ISBLANK(F69),"", MAX(E$2:E68)+1)</f>
        <v/>
      </c>
      <c r="F69" s="40"/>
      <c r="G69" s="42"/>
      <c r="H69" s="19"/>
      <c r="I69" s="19"/>
      <c r="J69" s="19"/>
      <c r="K69" s="19"/>
      <c r="L69" s="19"/>
      <c r="M69" s="12"/>
      <c r="N69" s="12"/>
    </row>
    <row r="70" spans="1:14" x14ac:dyDescent="0.25">
      <c r="A70" s="11" t="str">
        <f>IF(ISBLANK(B70),"", MAX(A$2:A69)+1)</f>
        <v/>
      </c>
      <c r="B70" s="12"/>
      <c r="C70" s="12"/>
      <c r="D70" s="12"/>
      <c r="E70" s="11" t="str">
        <f>IF(ISBLANK(F70),"", MAX(E$2:E69)+1)</f>
        <v/>
      </c>
      <c r="F70" s="40"/>
      <c r="G70" s="42"/>
      <c r="H70" s="19"/>
      <c r="I70" s="19"/>
      <c r="J70" s="19"/>
      <c r="K70" s="19"/>
      <c r="L70" s="19"/>
      <c r="M70" s="12"/>
      <c r="N70" s="12"/>
    </row>
    <row r="71" spans="1:14" x14ac:dyDescent="0.25">
      <c r="A71" s="11" t="str">
        <f>IF(ISBLANK(B71),"", MAX(A$2:A70)+1)</f>
        <v/>
      </c>
      <c r="B71" s="12"/>
      <c r="C71" s="12"/>
      <c r="D71" s="12"/>
      <c r="E71" s="11" t="str">
        <f>IF(ISBLANK(F71),"", MAX(E$2:E70)+1)</f>
        <v/>
      </c>
      <c r="F71" s="40"/>
      <c r="G71" s="42"/>
      <c r="H71" s="19"/>
      <c r="I71" s="19"/>
      <c r="J71" s="19"/>
      <c r="K71" s="19"/>
      <c r="L71" s="19"/>
      <c r="M71" s="12"/>
      <c r="N71" s="12"/>
    </row>
    <row r="72" spans="1:14" x14ac:dyDescent="0.25">
      <c r="A72" s="11" t="str">
        <f>IF(ISBLANK(B72),"", MAX(A$2:A71)+1)</f>
        <v/>
      </c>
      <c r="B72" s="12"/>
      <c r="C72" s="12"/>
      <c r="D72" s="12"/>
      <c r="E72" s="11" t="str">
        <f>IF(ISBLANK(F72),"", MAX(E$2:E71)+1)</f>
        <v/>
      </c>
      <c r="F72" s="40"/>
      <c r="G72" s="42"/>
      <c r="H72" s="19"/>
      <c r="I72" s="19"/>
      <c r="J72" s="19"/>
      <c r="K72" s="19"/>
      <c r="L72" s="19"/>
      <c r="M72" s="12"/>
      <c r="N72" s="12"/>
    </row>
    <row r="73" spans="1:14" x14ac:dyDescent="0.25">
      <c r="A73" s="11" t="str">
        <f>IF(ISBLANK(B73),"", MAX(A$2:A72)+1)</f>
        <v/>
      </c>
      <c r="B73" s="12"/>
      <c r="C73" s="12"/>
      <c r="D73" s="12"/>
      <c r="E73" s="11" t="str">
        <f>IF(ISBLANK(F73),"", MAX(E$2:E72)+1)</f>
        <v/>
      </c>
      <c r="F73" s="40"/>
      <c r="G73" s="42"/>
      <c r="H73" s="19"/>
      <c r="I73" s="19"/>
      <c r="J73" s="19"/>
      <c r="K73" s="19"/>
      <c r="L73" s="19"/>
      <c r="M73" s="12"/>
      <c r="N73" s="12"/>
    </row>
    <row r="74" spans="1:14" x14ac:dyDescent="0.25">
      <c r="A74" s="11" t="str">
        <f>IF(ISBLANK(B74),"", MAX(A$2:A73)+1)</f>
        <v/>
      </c>
      <c r="B74" s="12"/>
      <c r="C74" s="12"/>
      <c r="D74" s="12"/>
      <c r="E74" s="11" t="str">
        <f>IF(ISBLANK(F74),"", MAX(E$2:E73)+1)</f>
        <v/>
      </c>
      <c r="F74" s="40"/>
      <c r="G74" s="42"/>
      <c r="H74" s="19"/>
      <c r="I74" s="19"/>
      <c r="J74" s="19"/>
      <c r="K74" s="19"/>
      <c r="L74" s="19"/>
      <c r="M74" s="12"/>
      <c r="N74" s="12"/>
    </row>
    <row r="75" spans="1:14" x14ac:dyDescent="0.25">
      <c r="A75" s="11" t="str">
        <f>IF(ISBLANK(B75),"", MAX(A$2:A74)+1)</f>
        <v/>
      </c>
      <c r="B75" s="12"/>
      <c r="C75" s="12"/>
      <c r="D75" s="12"/>
      <c r="E75" s="11" t="str">
        <f>IF(ISBLANK(F75),"", MAX(E$2:E74)+1)</f>
        <v/>
      </c>
      <c r="F75" s="40"/>
      <c r="G75" s="42"/>
      <c r="H75" s="19"/>
      <c r="I75" s="19"/>
      <c r="J75" s="19"/>
      <c r="K75" s="19"/>
      <c r="L75" s="19"/>
      <c r="M75" s="12"/>
      <c r="N75" s="12"/>
    </row>
    <row r="76" spans="1:14" x14ac:dyDescent="0.25">
      <c r="A76" s="11" t="str">
        <f>IF(ISBLANK(B76),"", MAX(A$2:A75)+1)</f>
        <v/>
      </c>
      <c r="B76" s="12"/>
      <c r="C76" s="12"/>
      <c r="D76" s="12"/>
      <c r="E76" s="11" t="str">
        <f>IF(ISBLANK(F76),"", MAX(E$2:E75)+1)</f>
        <v/>
      </c>
      <c r="F76" s="40"/>
      <c r="G76" s="42"/>
      <c r="H76" s="19"/>
      <c r="I76" s="19"/>
      <c r="J76" s="19"/>
      <c r="K76" s="19"/>
      <c r="L76" s="19"/>
      <c r="M76" s="12"/>
      <c r="N76" s="12"/>
    </row>
    <row r="77" spans="1:14" x14ac:dyDescent="0.25">
      <c r="A77" s="11" t="str">
        <f>IF(ISBLANK(B77),"", MAX(A$2:A76)+1)</f>
        <v/>
      </c>
      <c r="B77" s="12"/>
      <c r="C77" s="12"/>
      <c r="D77" s="12"/>
      <c r="E77" s="11" t="str">
        <f>IF(ISBLANK(F77),"", MAX(E$2:E76)+1)</f>
        <v/>
      </c>
      <c r="F77" s="40"/>
      <c r="G77" s="42"/>
      <c r="H77" s="19"/>
      <c r="I77" s="19"/>
      <c r="J77" s="19"/>
      <c r="K77" s="19"/>
      <c r="L77" s="19"/>
      <c r="M77" s="12"/>
      <c r="N77" s="12"/>
    </row>
    <row r="78" spans="1:14" x14ac:dyDescent="0.25">
      <c r="A78" s="11" t="str">
        <f>IF(ISBLANK(B78),"", MAX(A$2:A77)+1)</f>
        <v/>
      </c>
      <c r="B78" s="12"/>
      <c r="C78" s="12"/>
      <c r="D78" s="12"/>
      <c r="E78" s="11" t="str">
        <f>IF(ISBLANK(F78),"", MAX(E$2:E77)+1)</f>
        <v/>
      </c>
      <c r="F78" s="40"/>
      <c r="G78" s="42"/>
      <c r="H78" s="19"/>
      <c r="I78" s="19"/>
      <c r="J78" s="19"/>
      <c r="K78" s="19"/>
      <c r="L78" s="19"/>
      <c r="M78" s="12"/>
      <c r="N78" s="12"/>
    </row>
    <row r="79" spans="1:14" x14ac:dyDescent="0.25">
      <c r="A79" s="11" t="str">
        <f>IF(ISBLANK(B79),"", MAX(A$2:A78)+1)</f>
        <v/>
      </c>
      <c r="B79" s="12"/>
      <c r="C79" s="12"/>
      <c r="D79" s="12"/>
      <c r="E79" s="11" t="str">
        <f>IF(ISBLANK(F79),"", MAX(E$2:E78)+1)</f>
        <v/>
      </c>
      <c r="F79" s="40"/>
      <c r="G79" s="42"/>
      <c r="H79" s="19"/>
      <c r="I79" s="19"/>
      <c r="J79" s="19"/>
      <c r="K79" s="19"/>
      <c r="L79" s="19"/>
      <c r="M79" s="12"/>
      <c r="N79" s="12"/>
    </row>
    <row r="80" spans="1:14" x14ac:dyDescent="0.25">
      <c r="A80" s="11" t="str">
        <f>IF(ISBLANK(B80),"", MAX(A$2:A79)+1)</f>
        <v/>
      </c>
      <c r="B80" s="12"/>
      <c r="C80" s="12"/>
      <c r="D80" s="12"/>
      <c r="E80" s="11" t="str">
        <f>IF(ISBLANK(F80),"", MAX(E$2:E79)+1)</f>
        <v/>
      </c>
      <c r="F80" s="40"/>
      <c r="G80" s="42"/>
      <c r="H80" s="19"/>
      <c r="I80" s="19"/>
      <c r="J80" s="19"/>
      <c r="K80" s="19"/>
      <c r="L80" s="19"/>
      <c r="M80" s="12"/>
      <c r="N80" s="12"/>
    </row>
    <row r="81" spans="1:14" x14ac:dyDescent="0.25">
      <c r="A81" s="11" t="str">
        <f>IF(ISBLANK(B81),"", MAX(A$2:A80)+1)</f>
        <v/>
      </c>
      <c r="B81" s="12"/>
      <c r="C81" s="12"/>
      <c r="D81" s="12"/>
      <c r="E81" s="11" t="str">
        <f>IF(ISBLANK(F81),"", MAX(E$2:E80)+1)</f>
        <v/>
      </c>
      <c r="F81" s="40"/>
      <c r="G81" s="42"/>
      <c r="H81" s="19"/>
      <c r="I81" s="19"/>
      <c r="J81" s="19"/>
      <c r="K81" s="19"/>
      <c r="L81" s="19"/>
      <c r="M81" s="12"/>
      <c r="N81" s="12"/>
    </row>
    <row r="82" spans="1:14" x14ac:dyDescent="0.25">
      <c r="A82" s="11" t="str">
        <f>IF(ISBLANK(B82),"", MAX(A$2:A81)+1)</f>
        <v/>
      </c>
      <c r="B82" s="12"/>
      <c r="C82" s="12"/>
      <c r="D82" s="12"/>
      <c r="E82" s="11" t="str">
        <f>IF(ISBLANK(F82),"", MAX(E$2:E81)+1)</f>
        <v/>
      </c>
      <c r="F82" s="40"/>
      <c r="G82" s="42"/>
      <c r="H82" s="19"/>
      <c r="I82" s="19"/>
      <c r="J82" s="19"/>
      <c r="K82" s="19"/>
      <c r="L82" s="19"/>
      <c r="M82" s="12"/>
      <c r="N82" s="12"/>
    </row>
    <row r="83" spans="1:14" x14ac:dyDescent="0.25">
      <c r="A83" s="11" t="str">
        <f>IF(ISBLANK(B83),"", MAX(A$2:A82)+1)</f>
        <v/>
      </c>
      <c r="B83" s="12"/>
      <c r="C83" s="12"/>
      <c r="D83" s="12"/>
      <c r="E83" s="11" t="str">
        <f>IF(ISBLANK(F83),"", MAX(E$2:E82)+1)</f>
        <v/>
      </c>
      <c r="F83" s="40"/>
      <c r="G83" s="42"/>
      <c r="H83" s="19"/>
      <c r="I83" s="19"/>
      <c r="J83" s="19"/>
      <c r="K83" s="19"/>
      <c r="L83" s="19"/>
      <c r="M83" s="12"/>
      <c r="N83" s="12"/>
    </row>
    <row r="84" spans="1:14" x14ac:dyDescent="0.25">
      <c r="A84" s="11" t="str">
        <f>IF(ISBLANK(B84),"", MAX(A$2:A83)+1)</f>
        <v/>
      </c>
      <c r="B84" s="12"/>
      <c r="C84" s="12"/>
      <c r="D84" s="12"/>
      <c r="E84" s="11" t="str">
        <f>IF(ISBLANK(F84),"", MAX(E$2:E83)+1)</f>
        <v/>
      </c>
      <c r="F84" s="40"/>
      <c r="G84" s="42"/>
      <c r="H84" s="19"/>
      <c r="I84" s="19"/>
      <c r="J84" s="19"/>
      <c r="K84" s="19"/>
      <c r="L84" s="19"/>
      <c r="M84" s="12"/>
      <c r="N84" s="12"/>
    </row>
    <row r="85" spans="1:14" x14ac:dyDescent="0.25">
      <c r="A85" s="11" t="str">
        <f>IF(ISBLANK(B85),"", MAX(A$2:A84)+1)</f>
        <v/>
      </c>
      <c r="B85" s="12"/>
      <c r="C85" s="12"/>
      <c r="D85" s="12"/>
      <c r="E85" s="11" t="str">
        <f>IF(ISBLANK(F85),"", MAX(E$2:E84)+1)</f>
        <v/>
      </c>
      <c r="F85" s="40"/>
      <c r="G85" s="42"/>
      <c r="H85" s="19"/>
      <c r="I85" s="19"/>
      <c r="J85" s="19"/>
      <c r="K85" s="19"/>
      <c r="L85" s="19"/>
      <c r="M85" s="12"/>
      <c r="N85" s="12"/>
    </row>
    <row r="86" spans="1:14" x14ac:dyDescent="0.25">
      <c r="A86" s="11" t="str">
        <f>IF(ISBLANK(B86),"", MAX(A$2:A85)+1)</f>
        <v/>
      </c>
      <c r="B86" s="12"/>
      <c r="C86" s="12"/>
      <c r="D86" s="12"/>
      <c r="E86" s="11" t="str">
        <f>IF(ISBLANK(F86),"", MAX(E$2:E85)+1)</f>
        <v/>
      </c>
      <c r="F86" s="40"/>
      <c r="G86" s="42"/>
      <c r="H86" s="19"/>
      <c r="I86" s="19"/>
      <c r="J86" s="19"/>
      <c r="K86" s="19"/>
      <c r="L86" s="19"/>
      <c r="M86" s="12"/>
      <c r="N86" s="12"/>
    </row>
    <row r="87" spans="1:14" x14ac:dyDescent="0.25">
      <c r="A87" s="11" t="str">
        <f>IF(ISBLANK(B87),"", MAX(A$2:A86)+1)</f>
        <v/>
      </c>
      <c r="B87" s="12"/>
      <c r="C87" s="12"/>
      <c r="D87" s="12"/>
      <c r="E87" s="11" t="str">
        <f>IF(ISBLANK(F87),"", MAX(E$2:E86)+1)</f>
        <v/>
      </c>
      <c r="F87" s="40"/>
      <c r="G87" s="42"/>
      <c r="H87" s="19"/>
      <c r="I87" s="19"/>
      <c r="J87" s="19"/>
      <c r="K87" s="19"/>
      <c r="L87" s="19"/>
      <c r="M87" s="12"/>
      <c r="N87" s="12"/>
    </row>
    <row r="88" spans="1:14" x14ac:dyDescent="0.25">
      <c r="A88" s="11" t="str">
        <f>IF(ISBLANK(B88),"", MAX(A$2:A87)+1)</f>
        <v/>
      </c>
      <c r="B88" s="12"/>
      <c r="C88" s="12"/>
      <c r="D88" s="12"/>
      <c r="E88" s="11" t="str">
        <f>IF(ISBLANK(F88),"", MAX(E$2:E87)+1)</f>
        <v/>
      </c>
      <c r="F88" s="40"/>
      <c r="G88" s="42"/>
      <c r="H88" s="19"/>
      <c r="I88" s="19"/>
      <c r="J88" s="19"/>
      <c r="K88" s="19"/>
      <c r="L88" s="19"/>
      <c r="M88" s="12"/>
      <c r="N88" s="12"/>
    </row>
    <row r="89" spans="1:14" x14ac:dyDescent="0.25">
      <c r="A89" s="11" t="str">
        <f>IF(ISBLANK(B89),"", MAX(A$2:A88)+1)</f>
        <v/>
      </c>
      <c r="B89" s="12"/>
      <c r="C89" s="12"/>
      <c r="D89" s="12"/>
      <c r="E89" s="11" t="str">
        <f>IF(ISBLANK(F89),"", MAX(E$2:E88)+1)</f>
        <v/>
      </c>
      <c r="F89" s="40"/>
      <c r="G89" s="42"/>
      <c r="H89" s="19"/>
      <c r="I89" s="19"/>
      <c r="J89" s="19"/>
      <c r="K89" s="19"/>
      <c r="L89" s="19"/>
      <c r="M89" s="12"/>
      <c r="N89" s="12"/>
    </row>
    <row r="90" spans="1:14" x14ac:dyDescent="0.25">
      <c r="A90" s="11" t="str">
        <f>IF(ISBLANK(B90),"", MAX(A$2:A89)+1)</f>
        <v/>
      </c>
      <c r="B90" s="12"/>
      <c r="C90" s="12"/>
      <c r="D90" s="12"/>
      <c r="E90" s="11" t="str">
        <f>IF(ISBLANK(F90),"", MAX(E$2:E89)+1)</f>
        <v/>
      </c>
      <c r="F90" s="40"/>
      <c r="G90" s="42"/>
      <c r="H90" s="19"/>
      <c r="I90" s="19"/>
      <c r="J90" s="19"/>
      <c r="K90" s="19"/>
      <c r="L90" s="19"/>
      <c r="M90" s="12"/>
      <c r="N90" s="12"/>
    </row>
    <row r="91" spans="1:14" x14ac:dyDescent="0.25">
      <c r="A91" s="11" t="str">
        <f>IF(ISBLANK(B91),"", MAX(A$2:A90)+1)</f>
        <v/>
      </c>
      <c r="B91" s="12"/>
      <c r="C91" s="12"/>
      <c r="D91" s="12"/>
      <c r="E91" s="11" t="str">
        <f>IF(ISBLANK(F91),"", MAX(E$2:E90)+1)</f>
        <v/>
      </c>
      <c r="F91" s="40"/>
      <c r="G91" s="42"/>
      <c r="H91" s="19"/>
      <c r="I91" s="19"/>
      <c r="J91" s="19"/>
      <c r="K91" s="19"/>
      <c r="L91" s="19"/>
      <c r="M91" s="12"/>
      <c r="N91" s="12"/>
    </row>
    <row r="92" spans="1:14" x14ac:dyDescent="0.25">
      <c r="A92" s="11" t="str">
        <f>IF(ISBLANK(B92),"", MAX(A$2:A91)+1)</f>
        <v/>
      </c>
      <c r="B92" s="12"/>
      <c r="C92" s="12"/>
      <c r="D92" s="12"/>
      <c r="E92" s="11" t="str">
        <f>IF(ISBLANK(F92),"", MAX(E$2:E91)+1)</f>
        <v/>
      </c>
      <c r="F92" s="40"/>
      <c r="G92" s="42"/>
      <c r="H92" s="19"/>
      <c r="I92" s="19"/>
      <c r="J92" s="19"/>
      <c r="K92" s="19"/>
      <c r="L92" s="19"/>
      <c r="M92" s="12"/>
      <c r="N92" s="12"/>
    </row>
    <row r="93" spans="1:14" x14ac:dyDescent="0.25">
      <c r="A93" s="11" t="str">
        <f>IF(ISBLANK(B93),"", MAX(A$2:A92)+1)</f>
        <v/>
      </c>
      <c r="B93" s="12"/>
      <c r="C93" s="12"/>
      <c r="D93" s="12"/>
      <c r="E93" s="11" t="str">
        <f>IF(ISBLANK(F93),"", MAX(E$2:E92)+1)</f>
        <v/>
      </c>
      <c r="F93" s="40"/>
      <c r="G93" s="42"/>
      <c r="H93" s="19"/>
      <c r="I93" s="19"/>
      <c r="J93" s="19"/>
      <c r="K93" s="19"/>
      <c r="L93" s="19"/>
      <c r="M93" s="12"/>
      <c r="N93" s="12"/>
    </row>
    <row r="94" spans="1:14" x14ac:dyDescent="0.25">
      <c r="A94" s="11" t="str">
        <f>IF(ISBLANK(B94),"", MAX(A$2:A93)+1)</f>
        <v/>
      </c>
      <c r="B94" s="12"/>
      <c r="C94" s="12"/>
      <c r="D94" s="12"/>
      <c r="E94" s="11" t="str">
        <f>IF(ISBLANK(F94),"", MAX(E$2:E93)+1)</f>
        <v/>
      </c>
      <c r="F94" s="40"/>
      <c r="G94" s="42"/>
      <c r="H94" s="19"/>
      <c r="I94" s="19"/>
      <c r="J94" s="19"/>
      <c r="K94" s="19"/>
      <c r="L94" s="19"/>
      <c r="M94" s="12"/>
      <c r="N94" s="12"/>
    </row>
    <row r="95" spans="1:14" x14ac:dyDescent="0.25">
      <c r="A95" s="11" t="str">
        <f>IF(ISBLANK(B95),"", MAX(A$2:A94)+1)</f>
        <v/>
      </c>
      <c r="B95" s="12"/>
      <c r="C95" s="12"/>
      <c r="D95" s="12"/>
      <c r="E95" s="11" t="str">
        <f>IF(ISBLANK(F95),"", MAX(E$2:E94)+1)</f>
        <v/>
      </c>
      <c r="F95" s="40"/>
      <c r="G95" s="42"/>
      <c r="H95" s="19"/>
      <c r="I95" s="19"/>
      <c r="J95" s="19"/>
      <c r="K95" s="19"/>
      <c r="L95" s="19"/>
      <c r="M95" s="12"/>
      <c r="N95" s="12"/>
    </row>
    <row r="96" spans="1:14" x14ac:dyDescent="0.25">
      <c r="A96" s="11" t="str">
        <f>IF(ISBLANK(B96),"", MAX(A$2:A95)+1)</f>
        <v/>
      </c>
      <c r="B96" s="12"/>
      <c r="C96" s="12"/>
      <c r="D96" s="12"/>
      <c r="E96" s="11" t="str">
        <f>IF(ISBLANK(F96),"", MAX(E$2:E95)+1)</f>
        <v/>
      </c>
      <c r="F96" s="40"/>
      <c r="G96" s="42"/>
      <c r="H96" s="19"/>
      <c r="I96" s="19"/>
      <c r="J96" s="19"/>
      <c r="K96" s="19"/>
      <c r="L96" s="19"/>
      <c r="M96" s="12"/>
      <c r="N96" s="12"/>
    </row>
    <row r="97" spans="1:14" x14ac:dyDescent="0.25">
      <c r="A97" s="11" t="str">
        <f>IF(ISBLANK(B97),"", MAX(A$2:A96)+1)</f>
        <v/>
      </c>
      <c r="B97" s="12"/>
      <c r="C97" s="12"/>
      <c r="D97" s="12"/>
      <c r="E97" s="11" t="str">
        <f>IF(ISBLANK(F97),"", MAX(E$2:E96)+1)</f>
        <v/>
      </c>
      <c r="F97" s="40"/>
      <c r="G97" s="42"/>
      <c r="H97" s="19"/>
      <c r="I97" s="19"/>
      <c r="J97" s="19"/>
      <c r="K97" s="19"/>
      <c r="L97" s="19"/>
      <c r="M97" s="12"/>
      <c r="N97" s="12"/>
    </row>
    <row r="98" spans="1:14" x14ac:dyDescent="0.25">
      <c r="A98" s="11" t="str">
        <f>IF(ISBLANK(B98),"", MAX(A$2:A97)+1)</f>
        <v/>
      </c>
      <c r="B98" s="12"/>
      <c r="C98" s="12"/>
      <c r="D98" s="12"/>
      <c r="E98" s="11" t="str">
        <f>IF(ISBLANK(F98),"", MAX(E$2:E97)+1)</f>
        <v/>
      </c>
      <c r="F98" s="40"/>
      <c r="G98" s="42"/>
      <c r="H98" s="19"/>
      <c r="I98" s="19"/>
      <c r="J98" s="19"/>
      <c r="K98" s="19"/>
      <c r="L98" s="19"/>
      <c r="M98" s="12"/>
      <c r="N98" s="12"/>
    </row>
    <row r="99" spans="1:14" x14ac:dyDescent="0.25">
      <c r="A99" s="11" t="str">
        <f>IF(ISBLANK(B99),"", MAX(A$2:A98)+1)</f>
        <v/>
      </c>
      <c r="B99" s="12"/>
      <c r="C99" s="12"/>
      <c r="D99" s="12"/>
      <c r="E99" s="11" t="str">
        <f>IF(ISBLANK(F99),"", MAX(E$2:E98)+1)</f>
        <v/>
      </c>
      <c r="F99" s="40"/>
      <c r="G99" s="42"/>
      <c r="H99" s="19"/>
      <c r="I99" s="19"/>
      <c r="J99" s="19"/>
      <c r="K99" s="19"/>
      <c r="L99" s="19"/>
      <c r="M99" s="12"/>
      <c r="N99" s="12"/>
    </row>
    <row r="100" spans="1:14" x14ac:dyDescent="0.25">
      <c r="A100" s="11" t="str">
        <f>IF(ISBLANK(B100),"", MAX(A$2:A99)+1)</f>
        <v/>
      </c>
      <c r="B100" s="12"/>
      <c r="C100" s="12"/>
      <c r="D100" s="12"/>
      <c r="E100" s="11" t="str">
        <f>IF(ISBLANK(F100),"", MAX(E$2:E99)+1)</f>
        <v/>
      </c>
      <c r="F100" s="40"/>
      <c r="G100" s="42"/>
      <c r="H100" s="19"/>
      <c r="I100" s="19"/>
      <c r="J100" s="19"/>
      <c r="K100" s="19"/>
      <c r="L100" s="19"/>
      <c r="M100" s="12"/>
      <c r="N100" s="12"/>
    </row>
    <row r="101" spans="1:14" x14ac:dyDescent="0.25">
      <c r="A101" s="11" t="str">
        <f>IF(ISBLANK(B101),"", MAX(A$2:A100)+1)</f>
        <v/>
      </c>
      <c r="B101" s="12"/>
      <c r="C101" s="12"/>
      <c r="D101" s="12"/>
      <c r="E101" s="11" t="str">
        <f>IF(ISBLANK(F101),"", MAX(E$2:E100)+1)</f>
        <v/>
      </c>
      <c r="F101" s="40"/>
      <c r="G101" s="42"/>
      <c r="H101" s="19"/>
      <c r="I101" s="19"/>
      <c r="J101" s="19"/>
      <c r="K101" s="19"/>
      <c r="L101" s="19"/>
      <c r="M101" s="12"/>
      <c r="N101" s="12"/>
    </row>
    <row r="102" spans="1:14" x14ac:dyDescent="0.25">
      <c r="A102" s="11" t="str">
        <f>IF(ISBLANK(B102),"", MAX(A$2:A101)+1)</f>
        <v/>
      </c>
      <c r="B102" s="12"/>
      <c r="C102" s="12"/>
      <c r="D102" s="12"/>
      <c r="E102" s="11" t="str">
        <f>IF(ISBLANK(F102),"", MAX(E$2:E101)+1)</f>
        <v/>
      </c>
      <c r="F102" s="40"/>
      <c r="G102" s="42"/>
      <c r="H102" s="19"/>
      <c r="I102" s="19"/>
      <c r="J102" s="19"/>
      <c r="K102" s="19"/>
      <c r="L102" s="19"/>
      <c r="M102" s="12"/>
      <c r="N102" s="12"/>
    </row>
    <row r="103" spans="1:14" x14ac:dyDescent="0.25">
      <c r="E103" s="22"/>
      <c r="F103" s="16"/>
      <c r="G103" s="43"/>
      <c r="H103" s="22"/>
      <c r="I103" s="22"/>
      <c r="J103" s="22"/>
      <c r="K103" s="22"/>
      <c r="L103" s="22"/>
    </row>
    <row r="104" spans="1:14" x14ac:dyDescent="0.25">
      <c r="E104" s="22"/>
      <c r="F104" s="16"/>
      <c r="G104" s="43"/>
      <c r="H104" s="22"/>
      <c r="I104" s="22"/>
      <c r="J104" s="22"/>
      <c r="K104" s="22"/>
      <c r="L104" s="22"/>
    </row>
    <row r="105" spans="1:14" x14ac:dyDescent="0.25">
      <c r="E105" s="22"/>
      <c r="F105" s="16"/>
      <c r="G105" s="43"/>
      <c r="H105" s="22"/>
      <c r="I105" s="22"/>
      <c r="J105" s="22"/>
      <c r="K105" s="22"/>
      <c r="L105" s="22"/>
    </row>
    <row r="106" spans="1:14" x14ac:dyDescent="0.25">
      <c r="E106" s="22"/>
      <c r="F106" s="16"/>
      <c r="G106" s="43"/>
      <c r="H106" s="22"/>
      <c r="I106" s="22"/>
      <c r="J106" s="22"/>
      <c r="K106" s="22"/>
      <c r="L106" s="22"/>
    </row>
    <row r="107" spans="1:14" x14ac:dyDescent="0.25">
      <c r="E107" s="22"/>
      <c r="F107" s="16"/>
      <c r="G107" s="43"/>
      <c r="H107" s="22"/>
      <c r="I107" s="22"/>
      <c r="J107" s="22"/>
      <c r="K107" s="22"/>
      <c r="L107" s="22"/>
    </row>
    <row r="108" spans="1:14" x14ac:dyDescent="0.25">
      <c r="E108" s="22"/>
      <c r="F108" s="16"/>
      <c r="G108" s="43"/>
      <c r="H108" s="22"/>
      <c r="I108" s="22"/>
      <c r="J108" s="22"/>
      <c r="K108" s="22"/>
      <c r="L108" s="22"/>
    </row>
    <row r="109" spans="1:14" x14ac:dyDescent="0.25">
      <c r="E109" s="22"/>
      <c r="F109" s="16"/>
      <c r="G109" s="43"/>
      <c r="H109" s="22"/>
      <c r="I109" s="22"/>
      <c r="J109" s="22"/>
      <c r="K109" s="22"/>
      <c r="L109" s="22"/>
    </row>
    <row r="110" spans="1:14" x14ac:dyDescent="0.25">
      <c r="E110" s="22"/>
      <c r="F110" s="16"/>
      <c r="G110" s="43"/>
      <c r="H110" s="22"/>
      <c r="I110" s="22"/>
      <c r="J110" s="22"/>
      <c r="K110" s="22"/>
      <c r="L110" s="22"/>
    </row>
    <row r="111" spans="1:14" x14ac:dyDescent="0.25">
      <c r="E111" s="22"/>
      <c r="F111" s="16"/>
      <c r="G111" s="43"/>
      <c r="H111" s="22"/>
      <c r="I111" s="22"/>
      <c r="J111" s="22"/>
      <c r="K111" s="22"/>
      <c r="L111" s="22"/>
    </row>
    <row r="112" spans="1:14" x14ac:dyDescent="0.25">
      <c r="E112" s="22"/>
      <c r="F112" s="16"/>
      <c r="G112" s="43"/>
      <c r="H112" s="22"/>
      <c r="I112" s="22"/>
      <c r="J112" s="22"/>
      <c r="K112" s="22"/>
      <c r="L112" s="22"/>
    </row>
    <row r="113" spans="5:12" x14ac:dyDescent="0.25">
      <c r="E113" s="22"/>
      <c r="F113" s="16"/>
      <c r="G113" s="43"/>
      <c r="H113" s="22"/>
      <c r="I113" s="22"/>
      <c r="J113" s="22"/>
      <c r="K113" s="22"/>
      <c r="L113" s="22"/>
    </row>
    <row r="114" spans="5:12" x14ac:dyDescent="0.25">
      <c r="E114" s="22"/>
      <c r="F114" s="16"/>
      <c r="G114" s="43"/>
      <c r="H114" s="22"/>
      <c r="I114" s="22"/>
      <c r="J114" s="22"/>
      <c r="K114" s="22"/>
      <c r="L114" s="22"/>
    </row>
    <row r="115" spans="5:12" x14ac:dyDescent="0.25">
      <c r="E115" s="22"/>
      <c r="F115" s="16"/>
      <c r="G115" s="43"/>
      <c r="H115" s="22"/>
      <c r="I115" s="22"/>
      <c r="J115" s="22"/>
      <c r="K115" s="22"/>
      <c r="L115" s="22"/>
    </row>
    <row r="116" spans="5:12" x14ac:dyDescent="0.25">
      <c r="E116" s="22"/>
      <c r="F116" s="16"/>
      <c r="G116" s="43"/>
      <c r="H116" s="22"/>
      <c r="I116" s="22"/>
      <c r="J116" s="22"/>
      <c r="K116" s="22"/>
      <c r="L116" s="22"/>
    </row>
    <row r="117" spans="5:12" x14ac:dyDescent="0.25">
      <c r="E117" s="22"/>
      <c r="F117" s="16"/>
      <c r="G117" s="43"/>
      <c r="H117" s="22"/>
      <c r="I117" s="22"/>
      <c r="J117" s="22"/>
      <c r="K117" s="22"/>
      <c r="L117" s="22"/>
    </row>
    <row r="118" spans="5:12" x14ac:dyDescent="0.25">
      <c r="E118" s="22"/>
      <c r="F118" s="16"/>
      <c r="G118" s="43"/>
      <c r="H118" s="22"/>
      <c r="I118" s="22"/>
      <c r="J118" s="22"/>
      <c r="K118" s="22"/>
      <c r="L118" s="22"/>
    </row>
    <row r="119" spans="5:12" x14ac:dyDescent="0.25">
      <c r="E119" s="22"/>
      <c r="F119" s="16"/>
      <c r="G119" s="43"/>
      <c r="H119" s="22"/>
      <c r="I119" s="22"/>
      <c r="J119" s="22"/>
      <c r="K119" s="22"/>
      <c r="L119" s="22"/>
    </row>
    <row r="120" spans="5:12" x14ac:dyDescent="0.25">
      <c r="E120" s="22"/>
      <c r="F120" s="16"/>
      <c r="G120" s="43"/>
      <c r="H120" s="22"/>
      <c r="I120" s="22"/>
      <c r="J120" s="22"/>
      <c r="K120" s="22"/>
      <c r="L120" s="22"/>
    </row>
    <row r="121" spans="5:12" x14ac:dyDescent="0.25">
      <c r="E121" s="22"/>
      <c r="F121" s="16"/>
      <c r="G121" s="43"/>
      <c r="H121" s="22"/>
      <c r="I121" s="22"/>
      <c r="J121" s="22"/>
      <c r="K121" s="22"/>
      <c r="L121" s="22"/>
    </row>
    <row r="122" spans="5:12" x14ac:dyDescent="0.25">
      <c r="E122" s="22"/>
      <c r="F122" s="16"/>
      <c r="G122" s="43"/>
      <c r="H122" s="22"/>
      <c r="I122" s="22"/>
      <c r="J122" s="22"/>
      <c r="K122" s="22"/>
      <c r="L122" s="22"/>
    </row>
    <row r="123" spans="5:12" x14ac:dyDescent="0.25">
      <c r="E123" s="22"/>
      <c r="F123" s="16"/>
      <c r="G123" s="43"/>
      <c r="H123" s="22"/>
      <c r="I123" s="22"/>
      <c r="J123" s="22"/>
      <c r="K123" s="22"/>
      <c r="L123" s="22"/>
    </row>
    <row r="124" spans="5:12" x14ac:dyDescent="0.25">
      <c r="E124" s="22"/>
      <c r="F124" s="16"/>
      <c r="G124" s="43"/>
      <c r="H124" s="22"/>
      <c r="I124" s="22"/>
      <c r="J124" s="22"/>
      <c r="K124" s="22"/>
      <c r="L124" s="22"/>
    </row>
    <row r="125" spans="5:12" x14ac:dyDescent="0.25">
      <c r="E125" s="22"/>
      <c r="F125" s="16"/>
      <c r="G125" s="43"/>
      <c r="H125" s="22"/>
      <c r="I125" s="22"/>
      <c r="J125" s="22"/>
      <c r="K125" s="22"/>
      <c r="L125" s="22"/>
    </row>
    <row r="126" spans="5:12" x14ac:dyDescent="0.25">
      <c r="E126" s="22"/>
      <c r="F126" s="16"/>
      <c r="G126" s="43"/>
      <c r="H126" s="22"/>
      <c r="I126" s="22"/>
      <c r="J126" s="22"/>
      <c r="K126" s="22"/>
      <c r="L126" s="22"/>
    </row>
    <row r="127" spans="5:12" x14ac:dyDescent="0.25">
      <c r="E127" s="22"/>
      <c r="F127" s="16"/>
      <c r="G127" s="43"/>
      <c r="H127" s="22"/>
      <c r="I127" s="22"/>
      <c r="J127" s="22"/>
      <c r="K127" s="22"/>
      <c r="L127" s="22"/>
    </row>
    <row r="128" spans="5:12" x14ac:dyDescent="0.25">
      <c r="E128" s="22"/>
      <c r="F128" s="16"/>
      <c r="G128" s="43"/>
      <c r="H128" s="22"/>
      <c r="I128" s="22"/>
      <c r="J128" s="22"/>
      <c r="K128" s="22"/>
      <c r="L128" s="22"/>
    </row>
    <row r="129" spans="5:12" x14ac:dyDescent="0.25">
      <c r="E129" s="22"/>
      <c r="F129" s="16"/>
      <c r="G129" s="43"/>
      <c r="H129" s="22"/>
      <c r="I129" s="22"/>
      <c r="J129" s="22"/>
      <c r="K129" s="22"/>
      <c r="L129" s="22"/>
    </row>
    <row r="130" spans="5:12" x14ac:dyDescent="0.25">
      <c r="E130" s="22"/>
      <c r="F130" s="16"/>
      <c r="G130" s="43"/>
      <c r="H130" s="22"/>
      <c r="I130" s="22"/>
      <c r="J130" s="22"/>
      <c r="K130" s="22"/>
      <c r="L130" s="22"/>
    </row>
    <row r="131" spans="5:12" x14ac:dyDescent="0.25">
      <c r="E131" s="22"/>
      <c r="F131" s="16"/>
      <c r="G131" s="43"/>
      <c r="H131" s="22"/>
      <c r="I131" s="22"/>
      <c r="J131" s="22"/>
      <c r="K131" s="22"/>
      <c r="L131" s="22"/>
    </row>
    <row r="132" spans="5:12" x14ac:dyDescent="0.25">
      <c r="E132" s="22"/>
      <c r="F132" s="16"/>
      <c r="G132" s="43"/>
      <c r="H132" s="22"/>
      <c r="I132" s="22"/>
      <c r="J132" s="22"/>
      <c r="K132" s="22"/>
      <c r="L132" s="22"/>
    </row>
    <row r="133" spans="5:12" x14ac:dyDescent="0.25">
      <c r="E133" s="22"/>
      <c r="F133" s="16"/>
      <c r="G133" s="43"/>
      <c r="H133" s="22"/>
      <c r="I133" s="22"/>
      <c r="J133" s="22"/>
      <c r="K133" s="22"/>
      <c r="L133" s="22"/>
    </row>
    <row r="134" spans="5:12" x14ac:dyDescent="0.25">
      <c r="E134" s="22"/>
      <c r="F134" s="16"/>
      <c r="G134" s="43"/>
      <c r="H134" s="22"/>
      <c r="I134" s="22"/>
      <c r="J134" s="22"/>
      <c r="K134" s="22"/>
      <c r="L134" s="22"/>
    </row>
    <row r="135" spans="5:12" x14ac:dyDescent="0.25">
      <c r="E135" s="22"/>
      <c r="F135" s="16"/>
      <c r="G135" s="43"/>
      <c r="H135" s="22"/>
      <c r="I135" s="22"/>
      <c r="J135" s="22"/>
      <c r="K135" s="22"/>
      <c r="L135" s="22"/>
    </row>
    <row r="136" spans="5:12" x14ac:dyDescent="0.25">
      <c r="E136" s="22"/>
      <c r="F136" s="16"/>
      <c r="G136" s="43"/>
      <c r="H136" s="22"/>
      <c r="I136" s="22"/>
      <c r="J136" s="22"/>
      <c r="K136" s="22"/>
      <c r="L136" s="22"/>
    </row>
    <row r="137" spans="5:12" x14ac:dyDescent="0.25">
      <c r="E137" s="22"/>
      <c r="F137" s="16"/>
      <c r="G137" s="43"/>
      <c r="H137" s="22"/>
      <c r="I137" s="22"/>
      <c r="J137" s="22"/>
      <c r="K137" s="22"/>
      <c r="L137" s="22"/>
    </row>
    <row r="138" spans="5:12" x14ac:dyDescent="0.25">
      <c r="E138" s="22"/>
      <c r="F138" s="16"/>
      <c r="G138" s="43"/>
      <c r="H138" s="22"/>
      <c r="I138" s="22"/>
      <c r="J138" s="22"/>
      <c r="K138" s="22"/>
      <c r="L138" s="22"/>
    </row>
    <row r="139" spans="5:12" x14ac:dyDescent="0.25">
      <c r="E139" s="22"/>
      <c r="F139" s="16"/>
      <c r="G139" s="43"/>
      <c r="H139" s="22"/>
      <c r="I139" s="22"/>
      <c r="J139" s="22"/>
      <c r="K139" s="22"/>
      <c r="L139" s="22"/>
    </row>
    <row r="140" spans="5:12" x14ac:dyDescent="0.25">
      <c r="E140" s="22"/>
      <c r="F140" s="16"/>
      <c r="G140" s="43"/>
      <c r="H140" s="22"/>
      <c r="I140" s="22"/>
      <c r="J140" s="22"/>
      <c r="K140" s="22"/>
      <c r="L140" s="22"/>
    </row>
    <row r="141" spans="5:12" x14ac:dyDescent="0.25">
      <c r="E141" s="22"/>
      <c r="F141" s="16"/>
      <c r="G141" s="43"/>
      <c r="H141" s="22"/>
      <c r="I141" s="22"/>
      <c r="J141" s="22"/>
      <c r="K141" s="22"/>
      <c r="L141" s="22"/>
    </row>
    <row r="142" spans="5:12" x14ac:dyDescent="0.25">
      <c r="E142" s="22"/>
      <c r="F142" s="16"/>
      <c r="G142" s="43"/>
      <c r="H142" s="22"/>
      <c r="I142" s="22"/>
      <c r="J142" s="22"/>
      <c r="K142" s="22"/>
      <c r="L142" s="22"/>
    </row>
    <row r="143" spans="5:12" x14ac:dyDescent="0.25">
      <c r="E143" s="22"/>
      <c r="F143" s="16"/>
      <c r="G143" s="43"/>
      <c r="H143" s="22"/>
      <c r="I143" s="22"/>
      <c r="J143" s="22"/>
      <c r="K143" s="22"/>
      <c r="L143" s="22"/>
    </row>
    <row r="144" spans="5:12" x14ac:dyDescent="0.25">
      <c r="E144" s="22"/>
      <c r="F144" s="16"/>
      <c r="G144" s="43"/>
      <c r="H144" s="22"/>
      <c r="I144" s="22"/>
      <c r="J144" s="22"/>
      <c r="K144" s="22"/>
      <c r="L144" s="22"/>
    </row>
    <row r="145" spans="5:12" x14ac:dyDescent="0.25">
      <c r="E145" s="22"/>
      <c r="F145" s="16"/>
      <c r="G145" s="43"/>
      <c r="H145" s="22"/>
      <c r="I145" s="22"/>
      <c r="J145" s="22"/>
      <c r="K145" s="22"/>
      <c r="L145" s="22"/>
    </row>
    <row r="146" spans="5:12" x14ac:dyDescent="0.25">
      <c r="E146" s="22"/>
      <c r="F146" s="16"/>
      <c r="G146" s="43"/>
      <c r="H146" s="22"/>
      <c r="I146" s="22"/>
      <c r="J146" s="22"/>
      <c r="K146" s="22"/>
      <c r="L146" s="22"/>
    </row>
    <row r="147" spans="5:12" x14ac:dyDescent="0.25">
      <c r="E147" s="22"/>
      <c r="F147" s="16"/>
      <c r="G147" s="43"/>
      <c r="H147" s="22"/>
      <c r="I147" s="22"/>
      <c r="J147" s="22"/>
      <c r="K147" s="22"/>
      <c r="L147" s="22"/>
    </row>
    <row r="148" spans="5:12" x14ac:dyDescent="0.25">
      <c r="E148" s="22"/>
      <c r="F148" s="16"/>
      <c r="G148" s="43"/>
      <c r="H148" s="22"/>
      <c r="I148" s="22"/>
      <c r="J148" s="22"/>
      <c r="K148" s="22"/>
      <c r="L148" s="22"/>
    </row>
    <row r="149" spans="5:12" x14ac:dyDescent="0.25">
      <c r="E149" s="22"/>
      <c r="F149" s="16"/>
      <c r="G149" s="43"/>
      <c r="H149" s="22"/>
      <c r="I149" s="22"/>
      <c r="J149" s="22"/>
      <c r="K149" s="22"/>
      <c r="L149" s="22"/>
    </row>
    <row r="150" spans="5:12" x14ac:dyDescent="0.25">
      <c r="E150" s="22"/>
      <c r="F150" s="16"/>
      <c r="G150" s="43"/>
      <c r="H150" s="22"/>
      <c r="I150" s="22"/>
      <c r="J150" s="22"/>
      <c r="K150" s="22"/>
      <c r="L150" s="22"/>
    </row>
    <row r="151" spans="5:12" x14ac:dyDescent="0.25">
      <c r="E151" s="22"/>
      <c r="F151" s="16"/>
      <c r="G151" s="43"/>
      <c r="H151" s="22"/>
      <c r="I151" s="22"/>
      <c r="J151" s="22"/>
      <c r="K151" s="22"/>
      <c r="L151" s="22"/>
    </row>
    <row r="152" spans="5:12" x14ac:dyDescent="0.25">
      <c r="E152" s="22"/>
      <c r="F152" s="16"/>
      <c r="G152" s="43"/>
      <c r="H152" s="22"/>
      <c r="I152" s="22"/>
      <c r="J152" s="22"/>
      <c r="K152" s="22"/>
      <c r="L152" s="22"/>
    </row>
    <row r="153" spans="5:12" x14ac:dyDescent="0.25">
      <c r="E153" s="22"/>
      <c r="F153" s="16"/>
      <c r="G153" s="43"/>
      <c r="H153" s="22"/>
      <c r="I153" s="22"/>
      <c r="J153" s="22"/>
      <c r="K153" s="22"/>
      <c r="L153" s="22"/>
    </row>
    <row r="154" spans="5:12" x14ac:dyDescent="0.25">
      <c r="E154" s="22"/>
      <c r="F154" s="16"/>
      <c r="G154" s="43"/>
      <c r="H154" s="22"/>
      <c r="I154" s="22"/>
      <c r="J154" s="22"/>
      <c r="K154" s="22"/>
      <c r="L154" s="22"/>
    </row>
    <row r="155" spans="5:12" x14ac:dyDescent="0.25">
      <c r="E155" s="22"/>
      <c r="F155" s="16"/>
      <c r="G155" s="43"/>
      <c r="H155" s="22"/>
      <c r="I155" s="22"/>
      <c r="J155" s="22"/>
      <c r="K155" s="22"/>
      <c r="L155" s="22"/>
    </row>
    <row r="156" spans="5:12" x14ac:dyDescent="0.25">
      <c r="E156" s="22"/>
      <c r="F156" s="16"/>
      <c r="G156" s="43"/>
      <c r="H156" s="22"/>
      <c r="I156" s="22"/>
      <c r="J156" s="22"/>
      <c r="K156" s="22"/>
      <c r="L156" s="22"/>
    </row>
    <row r="157" spans="5:12" x14ac:dyDescent="0.25">
      <c r="E157" s="22"/>
      <c r="F157" s="16"/>
      <c r="G157" s="43"/>
      <c r="H157" s="22"/>
      <c r="I157" s="22"/>
      <c r="J157" s="22"/>
      <c r="K157" s="22"/>
      <c r="L157" s="22"/>
    </row>
    <row r="158" spans="5:12" x14ac:dyDescent="0.25">
      <c r="E158" s="22"/>
      <c r="F158" s="16"/>
      <c r="G158" s="43"/>
      <c r="H158" s="22"/>
      <c r="I158" s="22"/>
      <c r="J158" s="22"/>
      <c r="K158" s="22"/>
      <c r="L158" s="22"/>
    </row>
    <row r="159" spans="5:12" x14ac:dyDescent="0.25">
      <c r="E159" s="22"/>
      <c r="F159" s="16"/>
      <c r="G159" s="43"/>
      <c r="H159" s="22"/>
      <c r="I159" s="22"/>
      <c r="J159" s="22"/>
      <c r="K159" s="22"/>
      <c r="L159" s="22"/>
    </row>
    <row r="160" spans="5:12" x14ac:dyDescent="0.25">
      <c r="E160" s="22"/>
      <c r="F160" s="16"/>
      <c r="G160" s="43"/>
      <c r="H160" s="22"/>
      <c r="I160" s="22"/>
      <c r="J160" s="22"/>
      <c r="K160" s="22"/>
      <c r="L160" s="22"/>
    </row>
    <row r="161" spans="5:12" x14ac:dyDescent="0.25">
      <c r="E161" s="22"/>
      <c r="F161" s="16"/>
      <c r="G161" s="43"/>
      <c r="H161" s="22"/>
      <c r="I161" s="22"/>
      <c r="J161" s="22"/>
      <c r="K161" s="22"/>
      <c r="L161" s="22"/>
    </row>
    <row r="162" spans="5:12" x14ac:dyDescent="0.25">
      <c r="E162" s="22"/>
      <c r="F162" s="16"/>
      <c r="G162" s="43"/>
      <c r="H162" s="22"/>
      <c r="I162" s="22"/>
      <c r="J162" s="22"/>
      <c r="K162" s="22"/>
      <c r="L162" s="22"/>
    </row>
    <row r="163" spans="5:12" x14ac:dyDescent="0.25">
      <c r="E163" s="22"/>
      <c r="F163" s="16"/>
      <c r="G163" s="43"/>
      <c r="H163" s="22"/>
      <c r="I163" s="22"/>
      <c r="J163" s="22"/>
      <c r="K163" s="22"/>
      <c r="L163" s="22"/>
    </row>
    <row r="164" spans="5:12" x14ac:dyDescent="0.25">
      <c r="E164" s="22"/>
      <c r="F164" s="16"/>
      <c r="G164" s="43"/>
      <c r="H164" s="22"/>
      <c r="I164" s="22"/>
      <c r="J164" s="22"/>
      <c r="K164" s="22"/>
      <c r="L164" s="22"/>
    </row>
    <row r="165" spans="5:12" x14ac:dyDescent="0.25">
      <c r="E165" s="22"/>
      <c r="F165" s="16"/>
      <c r="G165" s="43"/>
      <c r="H165" s="22"/>
      <c r="I165" s="22"/>
      <c r="J165" s="22"/>
      <c r="K165" s="22"/>
      <c r="L165" s="22"/>
    </row>
    <row r="166" spans="5:12" x14ac:dyDescent="0.25">
      <c r="E166" s="22"/>
      <c r="F166" s="16"/>
      <c r="G166" s="43"/>
      <c r="H166" s="22"/>
      <c r="I166" s="22"/>
      <c r="J166" s="22"/>
      <c r="K166" s="22"/>
      <c r="L166" s="22"/>
    </row>
    <row r="167" spans="5:12" x14ac:dyDescent="0.25">
      <c r="E167" s="22"/>
      <c r="F167" s="16"/>
      <c r="G167" s="43"/>
      <c r="H167" s="22"/>
      <c r="I167" s="22"/>
      <c r="J167" s="22"/>
      <c r="K167" s="22"/>
      <c r="L167" s="22"/>
    </row>
    <row r="168" spans="5:12" x14ac:dyDescent="0.25">
      <c r="E168" s="22"/>
      <c r="F168" s="16"/>
      <c r="G168" s="43"/>
      <c r="H168" s="22"/>
      <c r="I168" s="22"/>
      <c r="J168" s="22"/>
      <c r="K168" s="22"/>
      <c r="L168" s="22"/>
    </row>
    <row r="169" spans="5:12" x14ac:dyDescent="0.25">
      <c r="E169" s="22"/>
      <c r="F169" s="16"/>
      <c r="G169" s="43"/>
      <c r="H169" s="22"/>
      <c r="I169" s="22"/>
      <c r="J169" s="22"/>
      <c r="K169" s="22"/>
      <c r="L169" s="22"/>
    </row>
    <row r="170" spans="5:12" x14ac:dyDescent="0.25">
      <c r="E170" s="22"/>
      <c r="F170" s="16"/>
      <c r="G170" s="43"/>
      <c r="H170" s="22"/>
      <c r="I170" s="22"/>
      <c r="J170" s="22"/>
      <c r="K170" s="22"/>
      <c r="L170" s="22"/>
    </row>
    <row r="171" spans="5:12" x14ac:dyDescent="0.25">
      <c r="E171" s="22"/>
      <c r="F171" s="16"/>
      <c r="G171" s="43"/>
      <c r="H171" s="22"/>
      <c r="I171" s="22"/>
      <c r="J171" s="22"/>
      <c r="K171" s="22"/>
      <c r="L171" s="22"/>
    </row>
    <row r="172" spans="5:12" x14ac:dyDescent="0.25">
      <c r="E172" s="22"/>
      <c r="F172" s="16"/>
      <c r="G172" s="43"/>
      <c r="H172" s="22"/>
      <c r="I172" s="22"/>
      <c r="J172" s="22"/>
      <c r="K172" s="22"/>
      <c r="L172" s="22"/>
    </row>
    <row r="173" spans="5:12" x14ac:dyDescent="0.25">
      <c r="E173" s="22"/>
      <c r="F173" s="16"/>
      <c r="G173" s="43"/>
      <c r="H173" s="22"/>
      <c r="I173" s="22"/>
      <c r="J173" s="22"/>
      <c r="K173" s="22"/>
      <c r="L173" s="22"/>
    </row>
    <row r="174" spans="5:12" x14ac:dyDescent="0.25">
      <c r="E174" s="22"/>
      <c r="F174" s="16"/>
      <c r="G174" s="43"/>
      <c r="H174" s="22"/>
      <c r="I174" s="22"/>
      <c r="J174" s="22"/>
      <c r="K174" s="22"/>
      <c r="L174" s="22"/>
    </row>
    <row r="175" spans="5:12" x14ac:dyDescent="0.25">
      <c r="E175" s="22"/>
      <c r="F175" s="16"/>
      <c r="G175" s="43"/>
      <c r="H175" s="22"/>
      <c r="I175" s="22"/>
      <c r="J175" s="22"/>
      <c r="K175" s="22"/>
      <c r="L175" s="22"/>
    </row>
    <row r="176" spans="5:12" x14ac:dyDescent="0.25">
      <c r="E176" s="22"/>
      <c r="F176" s="16"/>
      <c r="G176" s="43"/>
      <c r="H176" s="22"/>
      <c r="I176" s="22"/>
      <c r="J176" s="22"/>
      <c r="K176" s="22"/>
      <c r="L176" s="22"/>
    </row>
    <row r="177" spans="5:12" x14ac:dyDescent="0.25">
      <c r="E177" s="22"/>
      <c r="F177" s="16"/>
      <c r="G177" s="43"/>
      <c r="H177" s="22"/>
      <c r="I177" s="22"/>
      <c r="J177" s="22"/>
      <c r="K177" s="22"/>
      <c r="L177" s="22"/>
    </row>
    <row r="178" spans="5:12" x14ac:dyDescent="0.25">
      <c r="E178" s="22"/>
      <c r="F178" s="16"/>
      <c r="G178" s="43"/>
      <c r="H178" s="22"/>
      <c r="I178" s="22"/>
      <c r="J178" s="22"/>
      <c r="K178" s="22"/>
      <c r="L178" s="22"/>
    </row>
    <row r="179" spans="5:12" x14ac:dyDescent="0.25">
      <c r="E179" s="22"/>
      <c r="F179" s="16"/>
      <c r="G179" s="43"/>
      <c r="H179" s="22"/>
      <c r="I179" s="22"/>
      <c r="J179" s="22"/>
      <c r="K179" s="22"/>
      <c r="L179" s="22"/>
    </row>
    <row r="180" spans="5:12" x14ac:dyDescent="0.25">
      <c r="E180" s="22"/>
      <c r="F180" s="16"/>
      <c r="G180" s="43"/>
      <c r="H180" s="22"/>
      <c r="I180" s="22"/>
      <c r="J180" s="22"/>
      <c r="K180" s="22"/>
      <c r="L180" s="22"/>
    </row>
    <row r="181" spans="5:12" x14ac:dyDescent="0.25">
      <c r="E181" s="22"/>
      <c r="F181" s="16"/>
      <c r="G181" s="43"/>
      <c r="H181" s="22"/>
      <c r="I181" s="22"/>
      <c r="J181" s="22"/>
      <c r="K181" s="22"/>
      <c r="L181" s="22"/>
    </row>
    <row r="182" spans="5:12" x14ac:dyDescent="0.25">
      <c r="E182" s="22"/>
      <c r="F182" s="16"/>
      <c r="G182" s="43"/>
      <c r="H182" s="22"/>
      <c r="I182" s="22"/>
      <c r="J182" s="22"/>
      <c r="K182" s="22"/>
      <c r="L182" s="22"/>
    </row>
    <row r="183" spans="5:12" x14ac:dyDescent="0.25">
      <c r="E183" s="22"/>
      <c r="F183" s="16"/>
      <c r="G183" s="43"/>
      <c r="H183" s="22"/>
      <c r="I183" s="22"/>
      <c r="J183" s="22"/>
      <c r="K183" s="22"/>
      <c r="L183" s="22"/>
    </row>
    <row r="184" spans="5:12" x14ac:dyDescent="0.25">
      <c r="E184" s="22"/>
      <c r="F184" s="16"/>
      <c r="G184" s="43"/>
      <c r="H184" s="22"/>
      <c r="I184" s="22"/>
      <c r="J184" s="22"/>
      <c r="K184" s="22"/>
      <c r="L184" s="22"/>
    </row>
    <row r="185" spans="5:12" x14ac:dyDescent="0.25">
      <c r="E185" s="22"/>
      <c r="F185" s="16"/>
      <c r="G185" s="43"/>
      <c r="H185" s="22"/>
      <c r="I185" s="22"/>
      <c r="J185" s="22"/>
      <c r="K185" s="22"/>
      <c r="L185" s="22"/>
    </row>
    <row r="186" spans="5:12" x14ac:dyDescent="0.25">
      <c r="E186" s="22"/>
      <c r="F186" s="16"/>
      <c r="G186" s="43"/>
      <c r="H186" s="22"/>
      <c r="I186" s="22"/>
      <c r="J186" s="22"/>
      <c r="K186" s="22"/>
      <c r="L186" s="22"/>
    </row>
    <row r="187" spans="5:12" x14ac:dyDescent="0.25">
      <c r="E187" s="22"/>
      <c r="F187" s="16"/>
      <c r="G187" s="43"/>
      <c r="H187" s="22"/>
      <c r="I187" s="22"/>
      <c r="J187" s="22"/>
      <c r="K187" s="22"/>
      <c r="L187" s="22"/>
    </row>
    <row r="188" spans="5:12" x14ac:dyDescent="0.25">
      <c r="E188" s="22"/>
      <c r="F188" s="16"/>
      <c r="G188" s="43"/>
      <c r="H188" s="22"/>
      <c r="I188" s="22"/>
      <c r="J188" s="22"/>
      <c r="K188" s="22"/>
      <c r="L188" s="22"/>
    </row>
    <row r="189" spans="5:12" x14ac:dyDescent="0.25">
      <c r="E189" s="22"/>
      <c r="F189" s="16"/>
      <c r="G189" s="43"/>
      <c r="H189" s="22"/>
      <c r="I189" s="22"/>
      <c r="J189" s="22"/>
      <c r="K189" s="22"/>
      <c r="L189" s="22"/>
    </row>
    <row r="190" spans="5:12" x14ac:dyDescent="0.25">
      <c r="E190" s="22"/>
      <c r="F190" s="16"/>
      <c r="G190" s="43"/>
      <c r="H190" s="22"/>
      <c r="I190" s="22"/>
      <c r="J190" s="22"/>
      <c r="K190" s="22"/>
      <c r="L190" s="22"/>
    </row>
    <row r="191" spans="5:12" x14ac:dyDescent="0.25">
      <c r="E191" s="22"/>
      <c r="F191" s="16"/>
      <c r="G191" s="43"/>
      <c r="H191" s="22"/>
      <c r="I191" s="22"/>
      <c r="J191" s="22"/>
      <c r="K191" s="22"/>
      <c r="L191" s="22"/>
    </row>
    <row r="192" spans="5:12" x14ac:dyDescent="0.25">
      <c r="E192" s="22"/>
      <c r="F192" s="16"/>
      <c r="G192" s="43"/>
      <c r="H192" s="22"/>
      <c r="I192" s="22"/>
      <c r="J192" s="22"/>
      <c r="K192" s="22"/>
      <c r="L192" s="22"/>
    </row>
    <row r="193" spans="5:12" x14ac:dyDescent="0.25">
      <c r="E193" s="22"/>
      <c r="F193" s="16"/>
      <c r="G193" s="43"/>
      <c r="H193" s="22"/>
      <c r="I193" s="22"/>
      <c r="J193" s="22"/>
      <c r="K193" s="22"/>
      <c r="L193" s="22"/>
    </row>
    <row r="194" spans="5:12" x14ac:dyDescent="0.25">
      <c r="E194" s="22"/>
      <c r="F194" s="16"/>
      <c r="G194" s="43"/>
      <c r="H194" s="22"/>
      <c r="I194" s="22"/>
      <c r="J194" s="22"/>
      <c r="K194" s="22"/>
      <c r="L194" s="22"/>
    </row>
    <row r="195" spans="5:12" x14ac:dyDescent="0.25">
      <c r="E195" s="22"/>
      <c r="F195" s="16"/>
      <c r="G195" s="43"/>
      <c r="H195" s="22"/>
      <c r="I195" s="22"/>
      <c r="J195" s="22"/>
      <c r="K195" s="22"/>
      <c r="L195" s="22"/>
    </row>
    <row r="196" spans="5:12" x14ac:dyDescent="0.25">
      <c r="E196" s="22"/>
      <c r="F196" s="16"/>
      <c r="G196" s="43"/>
      <c r="H196" s="22"/>
      <c r="I196" s="22"/>
      <c r="J196" s="22"/>
      <c r="K196" s="22"/>
      <c r="L196" s="22"/>
    </row>
    <row r="197" spans="5:12" x14ac:dyDescent="0.25">
      <c r="E197" s="22"/>
      <c r="F197" s="16"/>
      <c r="G197" s="43"/>
      <c r="H197" s="22"/>
      <c r="I197" s="22"/>
      <c r="J197" s="22"/>
      <c r="K197" s="22"/>
      <c r="L197" s="22"/>
    </row>
    <row r="198" spans="5:12" x14ac:dyDescent="0.25">
      <c r="E198" s="22"/>
      <c r="F198" s="16"/>
      <c r="G198" s="43"/>
      <c r="H198" s="22"/>
      <c r="I198" s="22"/>
      <c r="J198" s="22"/>
      <c r="K198" s="22"/>
      <c r="L198" s="22"/>
    </row>
    <row r="199" spans="5:12" x14ac:dyDescent="0.25">
      <c r="E199" s="22"/>
      <c r="F199" s="16"/>
      <c r="G199" s="43"/>
      <c r="H199" s="22"/>
      <c r="I199" s="22"/>
      <c r="J199" s="22"/>
      <c r="K199" s="22"/>
      <c r="L199" s="22"/>
    </row>
    <row r="200" spans="5:12" x14ac:dyDescent="0.25">
      <c r="E200" s="22"/>
      <c r="F200" s="16"/>
      <c r="G200" s="43"/>
      <c r="H200" s="22"/>
      <c r="I200" s="22"/>
      <c r="J200" s="22"/>
      <c r="K200" s="22"/>
      <c r="L200" s="22"/>
    </row>
    <row r="201" spans="5:12" x14ac:dyDescent="0.25">
      <c r="E201" s="22"/>
      <c r="F201" s="16"/>
      <c r="G201" s="43"/>
      <c r="H201" s="22"/>
      <c r="I201" s="22"/>
      <c r="J201" s="22"/>
      <c r="K201" s="22"/>
      <c r="L201" s="22"/>
    </row>
    <row r="202" spans="5:12" x14ac:dyDescent="0.25">
      <c r="E202" s="22"/>
      <c r="F202" s="16"/>
      <c r="G202" s="43"/>
      <c r="H202" s="22"/>
      <c r="I202" s="22"/>
      <c r="J202" s="22"/>
      <c r="K202" s="22"/>
      <c r="L202" s="22"/>
    </row>
    <row r="203" spans="5:12" x14ac:dyDescent="0.25">
      <c r="E203" s="22"/>
      <c r="F203" s="16"/>
      <c r="G203" s="43"/>
      <c r="H203" s="22"/>
      <c r="I203" s="22"/>
      <c r="J203" s="22"/>
      <c r="K203" s="22"/>
      <c r="L203" s="22"/>
    </row>
    <row r="204" spans="5:12" x14ac:dyDescent="0.25">
      <c r="E204" s="22"/>
      <c r="F204" s="16"/>
      <c r="G204" s="43"/>
      <c r="H204" s="22"/>
      <c r="I204" s="22"/>
      <c r="J204" s="22"/>
      <c r="K204" s="22"/>
      <c r="L204" s="22"/>
    </row>
    <row r="205" spans="5:12" x14ac:dyDescent="0.25">
      <c r="E205" s="22"/>
      <c r="F205" s="16"/>
      <c r="G205" s="43"/>
      <c r="H205" s="22"/>
      <c r="I205" s="22"/>
      <c r="J205" s="22"/>
      <c r="K205" s="22"/>
      <c r="L205" s="22"/>
    </row>
    <row r="206" spans="5:12" x14ac:dyDescent="0.25">
      <c r="E206" s="22"/>
      <c r="F206" s="16"/>
      <c r="G206" s="43"/>
      <c r="H206" s="22"/>
      <c r="I206" s="22"/>
      <c r="J206" s="22"/>
      <c r="K206" s="22"/>
      <c r="L206" s="22"/>
    </row>
    <row r="207" spans="5:12" x14ac:dyDescent="0.25">
      <c r="E207" s="22"/>
      <c r="F207" s="16"/>
      <c r="G207" s="43"/>
      <c r="H207" s="22"/>
      <c r="I207" s="22"/>
      <c r="J207" s="22"/>
      <c r="K207" s="22"/>
      <c r="L207" s="22"/>
    </row>
    <row r="208" spans="5:12" x14ac:dyDescent="0.25">
      <c r="E208" s="22"/>
      <c r="F208" s="16"/>
      <c r="G208" s="43"/>
      <c r="H208" s="22"/>
      <c r="I208" s="22"/>
      <c r="J208" s="22"/>
      <c r="K208" s="22"/>
      <c r="L208" s="22"/>
    </row>
    <row r="209" spans="5:12" x14ac:dyDescent="0.25">
      <c r="E209" s="22"/>
      <c r="F209" s="16"/>
      <c r="G209" s="43"/>
      <c r="H209" s="22"/>
      <c r="I209" s="22"/>
      <c r="J209" s="22"/>
      <c r="K209" s="22"/>
      <c r="L209" s="22"/>
    </row>
    <row r="210" spans="5:12" x14ac:dyDescent="0.25">
      <c r="E210" s="22"/>
      <c r="F210" s="16"/>
      <c r="G210" s="43"/>
      <c r="H210" s="22"/>
      <c r="I210" s="22"/>
      <c r="J210" s="22"/>
      <c r="K210" s="22"/>
      <c r="L210" s="22"/>
    </row>
    <row r="211" spans="5:12" x14ac:dyDescent="0.25">
      <c r="E211" s="22"/>
      <c r="F211" s="16"/>
      <c r="G211" s="43"/>
      <c r="H211" s="22"/>
      <c r="I211" s="22"/>
      <c r="J211" s="22"/>
      <c r="K211" s="22"/>
      <c r="L211" s="22"/>
    </row>
    <row r="212" spans="5:12" x14ac:dyDescent="0.25">
      <c r="E212" s="22"/>
      <c r="F212" s="16"/>
      <c r="G212" s="43"/>
      <c r="H212" s="22"/>
      <c r="I212" s="22"/>
      <c r="J212" s="22"/>
      <c r="K212" s="22"/>
      <c r="L212" s="22"/>
    </row>
    <row r="213" spans="5:12" x14ac:dyDescent="0.25">
      <c r="E213" s="22"/>
      <c r="F213" s="16"/>
      <c r="G213" s="43"/>
      <c r="H213" s="22"/>
      <c r="I213" s="22"/>
      <c r="J213" s="22"/>
      <c r="K213" s="22"/>
      <c r="L213" s="22"/>
    </row>
    <row r="214" spans="5:12" x14ac:dyDescent="0.25">
      <c r="E214" s="22"/>
      <c r="F214" s="16"/>
      <c r="G214" s="43"/>
      <c r="H214" s="22"/>
      <c r="I214" s="22"/>
      <c r="J214" s="22"/>
      <c r="K214" s="22"/>
      <c r="L214" s="22"/>
    </row>
    <row r="215" spans="5:12" x14ac:dyDescent="0.25">
      <c r="E215" s="22"/>
      <c r="F215" s="16"/>
      <c r="G215" s="43"/>
      <c r="H215" s="22"/>
      <c r="I215" s="22"/>
      <c r="J215" s="22"/>
      <c r="K215" s="22"/>
      <c r="L215" s="22"/>
    </row>
    <row r="216" spans="5:12" x14ac:dyDescent="0.25">
      <c r="E216" s="22"/>
      <c r="F216" s="16"/>
      <c r="G216" s="43"/>
      <c r="H216" s="22"/>
      <c r="I216" s="22"/>
      <c r="J216" s="22"/>
      <c r="K216" s="22"/>
      <c r="L216" s="22"/>
    </row>
    <row r="217" spans="5:12" x14ac:dyDescent="0.25">
      <c r="E217" s="22"/>
      <c r="F217" s="16"/>
      <c r="G217" s="43"/>
      <c r="H217" s="22"/>
      <c r="I217" s="22"/>
      <c r="J217" s="22"/>
      <c r="K217" s="22"/>
      <c r="L217" s="22"/>
    </row>
    <row r="218" spans="5:12" x14ac:dyDescent="0.25">
      <c r="E218" s="22"/>
      <c r="F218" s="16"/>
      <c r="G218" s="43"/>
      <c r="H218" s="22"/>
      <c r="I218" s="22"/>
      <c r="J218" s="22"/>
      <c r="K218" s="22"/>
      <c r="L218" s="22"/>
    </row>
    <row r="219" spans="5:12" x14ac:dyDescent="0.25">
      <c r="E219" s="22"/>
      <c r="F219" s="16"/>
      <c r="G219" s="43"/>
      <c r="H219" s="22"/>
      <c r="I219" s="22"/>
      <c r="J219" s="22"/>
      <c r="K219" s="22"/>
      <c r="L219" s="22"/>
    </row>
    <row r="220" spans="5:12" x14ac:dyDescent="0.25">
      <c r="E220" s="22"/>
      <c r="F220" s="16"/>
      <c r="G220" s="43"/>
      <c r="H220" s="22"/>
      <c r="I220" s="22"/>
      <c r="J220" s="22"/>
      <c r="K220" s="22"/>
      <c r="L220" s="22"/>
    </row>
    <row r="221" spans="5:12" x14ac:dyDescent="0.25">
      <c r="E221" s="22"/>
      <c r="F221" s="16"/>
      <c r="G221" s="43"/>
      <c r="H221" s="22"/>
      <c r="I221" s="22"/>
      <c r="J221" s="22"/>
      <c r="K221" s="22"/>
      <c r="L221" s="22"/>
    </row>
    <row r="222" spans="5:12" x14ac:dyDescent="0.25">
      <c r="E222" s="22"/>
      <c r="F222" s="16"/>
      <c r="G222" s="43"/>
      <c r="H222" s="22"/>
      <c r="I222" s="22"/>
      <c r="J222" s="22"/>
      <c r="K222" s="22"/>
      <c r="L222" s="22"/>
    </row>
    <row r="223" spans="5:12" x14ac:dyDescent="0.25">
      <c r="E223" s="22"/>
      <c r="F223" s="16"/>
      <c r="G223" s="43"/>
      <c r="H223" s="22"/>
      <c r="I223" s="22"/>
      <c r="J223" s="22"/>
      <c r="K223" s="22"/>
      <c r="L223" s="22"/>
    </row>
    <row r="224" spans="5:12" x14ac:dyDescent="0.25">
      <c r="E224" s="22"/>
      <c r="F224" s="16"/>
      <c r="G224" s="43"/>
      <c r="H224" s="22"/>
      <c r="I224" s="22"/>
      <c r="J224" s="22"/>
      <c r="K224" s="22"/>
      <c r="L224" s="22"/>
    </row>
    <row r="225" spans="5:12" x14ac:dyDescent="0.25">
      <c r="E225" s="22"/>
      <c r="F225" s="16"/>
      <c r="G225" s="43"/>
      <c r="H225" s="22"/>
      <c r="I225" s="22"/>
      <c r="J225" s="22"/>
      <c r="K225" s="22"/>
      <c r="L225" s="22"/>
    </row>
    <row r="226" spans="5:12" x14ac:dyDescent="0.25">
      <c r="E226" s="22"/>
      <c r="F226" s="16"/>
      <c r="G226" s="43"/>
      <c r="H226" s="22"/>
      <c r="I226" s="22"/>
      <c r="J226" s="22"/>
      <c r="K226" s="22"/>
      <c r="L226" s="22"/>
    </row>
    <row r="227" spans="5:12" x14ac:dyDescent="0.25">
      <c r="E227" s="22"/>
      <c r="F227" s="16"/>
      <c r="G227" s="43"/>
      <c r="H227" s="22"/>
      <c r="I227" s="22"/>
      <c r="J227" s="22"/>
      <c r="K227" s="22"/>
      <c r="L227" s="22"/>
    </row>
    <row r="228" spans="5:12" x14ac:dyDescent="0.25">
      <c r="E228" s="22"/>
      <c r="F228" s="16"/>
      <c r="G228" s="43"/>
      <c r="H228" s="22"/>
      <c r="I228" s="22"/>
      <c r="J228" s="22"/>
      <c r="K228" s="22"/>
      <c r="L228" s="22"/>
    </row>
    <row r="229" spans="5:12" x14ac:dyDescent="0.25">
      <c r="E229" s="22"/>
      <c r="F229" s="16"/>
      <c r="G229" s="43"/>
      <c r="H229" s="22"/>
      <c r="I229" s="22"/>
      <c r="J229" s="22"/>
      <c r="K229" s="22"/>
      <c r="L229" s="22"/>
    </row>
    <row r="230" spans="5:12" x14ac:dyDescent="0.25">
      <c r="E230" s="22"/>
      <c r="F230" s="16"/>
      <c r="G230" s="43"/>
      <c r="H230" s="22"/>
      <c r="I230" s="22"/>
      <c r="J230" s="22"/>
      <c r="K230" s="22"/>
      <c r="L230" s="22"/>
    </row>
    <row r="231" spans="5:12" x14ac:dyDescent="0.25">
      <c r="E231" s="22"/>
      <c r="F231" s="16"/>
      <c r="G231" s="43"/>
      <c r="H231" s="22"/>
      <c r="I231" s="22"/>
      <c r="J231" s="22"/>
      <c r="K231" s="22"/>
      <c r="L231" s="22"/>
    </row>
    <row r="232" spans="5:12" x14ac:dyDescent="0.25">
      <c r="E232" s="22"/>
      <c r="F232" s="16"/>
      <c r="G232" s="43"/>
      <c r="H232" s="22"/>
      <c r="I232" s="22"/>
      <c r="J232" s="22"/>
      <c r="K232" s="22"/>
      <c r="L232" s="22"/>
    </row>
    <row r="233" spans="5:12" x14ac:dyDescent="0.25">
      <c r="E233" s="22"/>
      <c r="F233" s="16"/>
      <c r="G233" s="43"/>
      <c r="H233" s="22"/>
      <c r="I233" s="22"/>
      <c r="J233" s="22"/>
      <c r="K233" s="22"/>
      <c r="L233" s="22"/>
    </row>
    <row r="234" spans="5:12" x14ac:dyDescent="0.25">
      <c r="E234" s="22"/>
      <c r="F234" s="16"/>
      <c r="G234" s="43"/>
      <c r="H234" s="22"/>
      <c r="I234" s="22"/>
      <c r="J234" s="22"/>
      <c r="K234" s="22"/>
      <c r="L234" s="22"/>
    </row>
    <row r="235" spans="5:12" x14ac:dyDescent="0.25">
      <c r="E235" s="22"/>
      <c r="F235" s="16"/>
      <c r="G235" s="43"/>
      <c r="H235" s="22"/>
      <c r="I235" s="22"/>
      <c r="J235" s="22"/>
      <c r="K235" s="22"/>
      <c r="L235" s="22"/>
    </row>
    <row r="236" spans="5:12" x14ac:dyDescent="0.25">
      <c r="E236" s="22"/>
      <c r="F236" s="16"/>
      <c r="G236" s="43"/>
      <c r="H236" s="22"/>
      <c r="I236" s="22"/>
      <c r="J236" s="22"/>
      <c r="K236" s="22"/>
      <c r="L236" s="22"/>
    </row>
    <row r="237" spans="5:12" x14ac:dyDescent="0.25">
      <c r="E237" s="22"/>
      <c r="F237" s="16"/>
      <c r="G237" s="43"/>
      <c r="H237" s="22"/>
      <c r="I237" s="22"/>
      <c r="J237" s="22"/>
      <c r="K237" s="22"/>
      <c r="L237" s="22"/>
    </row>
    <row r="238" spans="5:12" x14ac:dyDescent="0.25">
      <c r="E238" s="22"/>
      <c r="F238" s="16"/>
      <c r="G238" s="43"/>
      <c r="H238" s="22"/>
      <c r="I238" s="22"/>
      <c r="J238" s="22"/>
      <c r="K238" s="22"/>
      <c r="L238" s="22"/>
    </row>
    <row r="239" spans="5:12" x14ac:dyDescent="0.25">
      <c r="E239" s="22"/>
      <c r="F239" s="16"/>
      <c r="G239" s="43"/>
      <c r="H239" s="22"/>
      <c r="I239" s="22"/>
      <c r="J239" s="22"/>
      <c r="K239" s="22"/>
      <c r="L239" s="22"/>
    </row>
    <row r="240" spans="5:12" x14ac:dyDescent="0.25">
      <c r="E240" s="22"/>
      <c r="F240" s="16"/>
      <c r="G240" s="43"/>
      <c r="H240" s="22"/>
      <c r="I240" s="22"/>
      <c r="J240" s="22"/>
      <c r="K240" s="22"/>
      <c r="L240" s="22"/>
    </row>
    <row r="241" spans="5:12" x14ac:dyDescent="0.25">
      <c r="E241" s="22"/>
      <c r="F241" s="16"/>
      <c r="G241" s="43"/>
      <c r="H241" s="22"/>
      <c r="I241" s="22"/>
      <c r="J241" s="22"/>
      <c r="K241" s="22"/>
      <c r="L241" s="22"/>
    </row>
    <row r="242" spans="5:12" x14ac:dyDescent="0.25">
      <c r="E242" s="22"/>
      <c r="F242" s="16"/>
      <c r="G242" s="43"/>
      <c r="H242" s="22"/>
      <c r="I242" s="22"/>
      <c r="J242" s="22"/>
      <c r="K242" s="22"/>
      <c r="L242" s="22"/>
    </row>
    <row r="243" spans="5:12" x14ac:dyDescent="0.25">
      <c r="E243" s="22"/>
      <c r="F243" s="16"/>
      <c r="G243" s="43"/>
      <c r="H243" s="22"/>
      <c r="I243" s="22"/>
      <c r="J243" s="22"/>
      <c r="K243" s="22"/>
      <c r="L243" s="22"/>
    </row>
    <row r="244" spans="5:12" x14ac:dyDescent="0.25">
      <c r="E244" s="22"/>
      <c r="F244" s="16"/>
      <c r="G244" s="43"/>
      <c r="H244" s="22"/>
      <c r="I244" s="22"/>
      <c r="J244" s="22"/>
      <c r="K244" s="22"/>
      <c r="L244" s="22"/>
    </row>
    <row r="245" spans="5:12" x14ac:dyDescent="0.25">
      <c r="E245" s="22"/>
      <c r="F245" s="16"/>
      <c r="G245" s="43"/>
      <c r="H245" s="22"/>
      <c r="I245" s="22"/>
      <c r="J245" s="22"/>
      <c r="K245" s="22"/>
      <c r="L245" s="22"/>
    </row>
    <row r="246" spans="5:12" x14ac:dyDescent="0.25">
      <c r="E246" s="22"/>
      <c r="F246" s="16"/>
      <c r="G246" s="43"/>
      <c r="H246" s="22"/>
      <c r="I246" s="22"/>
      <c r="J246" s="22"/>
      <c r="K246" s="22"/>
      <c r="L246" s="22"/>
    </row>
    <row r="247" spans="5:12" x14ac:dyDescent="0.25">
      <c r="E247" s="22"/>
      <c r="F247" s="16"/>
      <c r="G247" s="43"/>
      <c r="H247" s="22"/>
      <c r="I247" s="22"/>
      <c r="J247" s="22"/>
      <c r="K247" s="22"/>
      <c r="L247" s="22"/>
    </row>
    <row r="248" spans="5:12" x14ac:dyDescent="0.25">
      <c r="E248" s="22"/>
      <c r="F248" s="16"/>
      <c r="G248" s="43"/>
      <c r="H248" s="22"/>
      <c r="I248" s="22"/>
      <c r="J248" s="22"/>
      <c r="K248" s="22"/>
      <c r="L248" s="22"/>
    </row>
    <row r="249" spans="5:12" x14ac:dyDescent="0.25">
      <c r="E249" s="22"/>
      <c r="F249" s="16"/>
      <c r="G249" s="43"/>
      <c r="H249" s="22"/>
      <c r="I249" s="22"/>
      <c r="J249" s="22"/>
      <c r="K249" s="22"/>
      <c r="L249" s="22"/>
    </row>
    <row r="250" spans="5:12" x14ac:dyDescent="0.25">
      <c r="E250" s="22"/>
      <c r="F250" s="16"/>
      <c r="G250" s="43"/>
      <c r="H250" s="22"/>
      <c r="I250" s="22"/>
      <c r="J250" s="22"/>
      <c r="K250" s="22"/>
      <c r="L250" s="22"/>
    </row>
    <row r="251" spans="5:12" x14ac:dyDescent="0.25">
      <c r="E251" s="22"/>
      <c r="F251" s="16"/>
      <c r="G251" s="43"/>
      <c r="H251" s="22"/>
      <c r="I251" s="22"/>
      <c r="J251" s="22"/>
      <c r="K251" s="22"/>
      <c r="L251" s="22"/>
    </row>
    <row r="252" spans="5:12" x14ac:dyDescent="0.25">
      <c r="E252" s="22"/>
      <c r="F252" s="16"/>
      <c r="G252" s="43"/>
      <c r="H252" s="22"/>
      <c r="I252" s="22"/>
      <c r="J252" s="22"/>
      <c r="K252" s="22"/>
      <c r="L252" s="22"/>
    </row>
    <row r="253" spans="5:12" x14ac:dyDescent="0.25">
      <c r="E253" s="22"/>
      <c r="F253" s="16"/>
      <c r="G253" s="43"/>
      <c r="H253" s="22"/>
      <c r="I253" s="22"/>
      <c r="J253" s="22"/>
      <c r="K253" s="22"/>
      <c r="L253" s="22"/>
    </row>
    <row r="254" spans="5:12" x14ac:dyDescent="0.25">
      <c r="E254" s="22"/>
      <c r="F254" s="16"/>
      <c r="G254" s="43"/>
      <c r="H254" s="22"/>
      <c r="I254" s="22"/>
      <c r="J254" s="22"/>
      <c r="K254" s="22"/>
      <c r="L254" s="22"/>
    </row>
    <row r="255" spans="5:12" x14ac:dyDescent="0.25">
      <c r="E255" s="22"/>
      <c r="F255" s="16"/>
      <c r="G255" s="43"/>
      <c r="H255" s="22"/>
      <c r="I255" s="22"/>
      <c r="J255" s="22"/>
      <c r="K255" s="22"/>
      <c r="L255" s="22"/>
    </row>
    <row r="256" spans="5:12" x14ac:dyDescent="0.25">
      <c r="E256" s="22"/>
      <c r="F256" s="16"/>
      <c r="G256" s="43"/>
      <c r="H256" s="22"/>
      <c r="I256" s="22"/>
      <c r="J256" s="22"/>
      <c r="K256" s="22"/>
      <c r="L256" s="22"/>
    </row>
    <row r="257" spans="5:12" x14ac:dyDescent="0.25">
      <c r="E257" s="22"/>
      <c r="F257" s="16"/>
      <c r="G257" s="43"/>
      <c r="H257" s="22"/>
      <c r="I257" s="22"/>
      <c r="J257" s="22"/>
      <c r="K257" s="22"/>
      <c r="L257" s="22"/>
    </row>
    <row r="258" spans="5:12" x14ac:dyDescent="0.25">
      <c r="E258" s="22"/>
      <c r="F258" s="16"/>
      <c r="G258" s="43"/>
      <c r="H258" s="22"/>
      <c r="I258" s="22"/>
      <c r="J258" s="22"/>
      <c r="K258" s="22"/>
      <c r="L258" s="22"/>
    </row>
    <row r="259" spans="5:12" x14ac:dyDescent="0.25">
      <c r="E259" s="22"/>
      <c r="F259" s="16"/>
      <c r="G259" s="43"/>
      <c r="H259" s="22"/>
      <c r="I259" s="22"/>
      <c r="J259" s="22"/>
      <c r="K259" s="22"/>
      <c r="L259" s="22"/>
    </row>
    <row r="260" spans="5:12" x14ac:dyDescent="0.25">
      <c r="E260" s="22"/>
      <c r="F260" s="16"/>
      <c r="G260" s="43"/>
      <c r="H260" s="22"/>
      <c r="I260" s="22"/>
      <c r="J260" s="22"/>
      <c r="K260" s="22"/>
      <c r="L260" s="22"/>
    </row>
    <row r="261" spans="5:12" x14ac:dyDescent="0.25">
      <c r="E261" s="22"/>
      <c r="F261" s="16"/>
      <c r="G261" s="43"/>
      <c r="H261" s="22"/>
      <c r="I261" s="22"/>
      <c r="J261" s="22"/>
      <c r="K261" s="22"/>
      <c r="L261" s="22"/>
    </row>
    <row r="262" spans="5:12" x14ac:dyDescent="0.25">
      <c r="E262" s="22"/>
      <c r="F262" s="16"/>
      <c r="G262" s="43"/>
      <c r="H262" s="22"/>
      <c r="I262" s="22"/>
      <c r="J262" s="22"/>
      <c r="K262" s="22"/>
      <c r="L262" s="22"/>
    </row>
    <row r="263" spans="5:12" x14ac:dyDescent="0.25">
      <c r="E263" s="22"/>
      <c r="F263" s="16"/>
      <c r="G263" s="43"/>
      <c r="H263" s="22"/>
      <c r="I263" s="22"/>
      <c r="J263" s="22"/>
      <c r="K263" s="22"/>
      <c r="L263" s="22"/>
    </row>
    <row r="264" spans="5:12" x14ac:dyDescent="0.25">
      <c r="E264" s="22"/>
      <c r="F264" s="16"/>
      <c r="G264" s="43"/>
      <c r="H264" s="22"/>
      <c r="I264" s="22"/>
      <c r="J264" s="22"/>
      <c r="K264" s="22"/>
      <c r="L264" s="22"/>
    </row>
    <row r="265" spans="5:12" x14ac:dyDescent="0.25">
      <c r="E265" s="22"/>
      <c r="F265" s="16"/>
      <c r="G265" s="43"/>
      <c r="H265" s="22"/>
      <c r="I265" s="22"/>
      <c r="J265" s="22"/>
      <c r="K265" s="22"/>
      <c r="L265" s="22"/>
    </row>
    <row r="266" spans="5:12" x14ac:dyDescent="0.25">
      <c r="E266" s="22"/>
      <c r="F266" s="16"/>
      <c r="G266" s="43"/>
      <c r="H266" s="22"/>
      <c r="I266" s="22"/>
      <c r="J266" s="22"/>
      <c r="K266" s="22"/>
      <c r="L266" s="22"/>
    </row>
    <row r="267" spans="5:12" x14ac:dyDescent="0.25">
      <c r="E267" s="22"/>
      <c r="F267" s="16"/>
      <c r="G267" s="43"/>
      <c r="H267" s="22"/>
      <c r="I267" s="22"/>
      <c r="J267" s="22"/>
      <c r="K267" s="22"/>
      <c r="L267" s="22"/>
    </row>
    <row r="268" spans="5:12" x14ac:dyDescent="0.25">
      <c r="E268" s="22"/>
      <c r="F268" s="16"/>
      <c r="G268" s="43"/>
      <c r="H268" s="22"/>
      <c r="I268" s="22"/>
      <c r="J268" s="22"/>
      <c r="K268" s="22"/>
      <c r="L268" s="22"/>
    </row>
    <row r="269" spans="5:12" x14ac:dyDescent="0.25">
      <c r="E269" s="22"/>
      <c r="F269" s="16"/>
      <c r="G269" s="43"/>
      <c r="H269" s="22"/>
      <c r="I269" s="22"/>
      <c r="J269" s="22"/>
      <c r="K269" s="22"/>
      <c r="L269" s="22"/>
    </row>
    <row r="270" spans="5:12" x14ac:dyDescent="0.25">
      <c r="E270" s="22"/>
      <c r="F270" s="16"/>
      <c r="G270" s="43"/>
      <c r="H270" s="22"/>
      <c r="I270" s="22"/>
      <c r="J270" s="22"/>
      <c r="K270" s="22"/>
      <c r="L270" s="22"/>
    </row>
    <row r="271" spans="5:12" x14ac:dyDescent="0.25">
      <c r="E271" s="22"/>
      <c r="F271" s="16"/>
      <c r="G271" s="43"/>
      <c r="H271" s="22"/>
      <c r="I271" s="22"/>
      <c r="J271" s="22"/>
      <c r="K271" s="22"/>
      <c r="L271" s="22"/>
    </row>
    <row r="272" spans="5:12" x14ac:dyDescent="0.25">
      <c r="E272" s="22"/>
      <c r="F272" s="16"/>
      <c r="G272" s="43"/>
      <c r="H272" s="22"/>
      <c r="I272" s="22"/>
      <c r="J272" s="22"/>
      <c r="K272" s="22"/>
      <c r="L272" s="22"/>
    </row>
    <row r="273" spans="5:12" x14ac:dyDescent="0.25">
      <c r="E273" s="22"/>
      <c r="F273" s="16"/>
      <c r="G273" s="43"/>
      <c r="H273" s="22"/>
      <c r="I273" s="22"/>
      <c r="J273" s="22"/>
      <c r="K273" s="22"/>
      <c r="L273" s="22"/>
    </row>
    <row r="274" spans="5:12" x14ac:dyDescent="0.25">
      <c r="E274" s="22"/>
      <c r="F274" s="16"/>
      <c r="G274" s="43"/>
      <c r="H274" s="22"/>
      <c r="I274" s="22"/>
      <c r="J274" s="22"/>
      <c r="K274" s="22"/>
      <c r="L274" s="22"/>
    </row>
    <row r="275" spans="5:12" x14ac:dyDescent="0.25">
      <c r="E275" s="22"/>
      <c r="F275" s="16"/>
      <c r="G275" s="43"/>
      <c r="H275" s="22"/>
      <c r="I275" s="22"/>
      <c r="J275" s="22"/>
      <c r="K275" s="22"/>
      <c r="L275" s="22"/>
    </row>
    <row r="276" spans="5:12" x14ac:dyDescent="0.25">
      <c r="E276" s="22"/>
      <c r="F276" s="16"/>
      <c r="G276" s="43"/>
      <c r="H276" s="22"/>
      <c r="I276" s="22"/>
      <c r="J276" s="22"/>
      <c r="K276" s="22"/>
      <c r="L276" s="22"/>
    </row>
    <row r="277" spans="5:12" x14ac:dyDescent="0.25">
      <c r="E277" s="22"/>
      <c r="F277" s="16"/>
      <c r="G277" s="43"/>
      <c r="H277" s="22"/>
      <c r="I277" s="22"/>
      <c r="J277" s="22"/>
      <c r="K277" s="22"/>
      <c r="L277" s="22"/>
    </row>
    <row r="278" spans="5:12" x14ac:dyDescent="0.25">
      <c r="E278" s="22"/>
      <c r="F278" s="16"/>
      <c r="G278" s="43"/>
      <c r="H278" s="22"/>
      <c r="I278" s="22"/>
      <c r="J278" s="22"/>
      <c r="K278" s="22"/>
      <c r="L278" s="22"/>
    </row>
    <row r="279" spans="5:12" x14ac:dyDescent="0.25">
      <c r="E279" s="22"/>
      <c r="F279" s="16"/>
      <c r="G279" s="43"/>
      <c r="H279" s="22"/>
      <c r="I279" s="22"/>
      <c r="J279" s="22"/>
      <c r="K279" s="22"/>
      <c r="L279" s="22"/>
    </row>
    <row r="280" spans="5:12" x14ac:dyDescent="0.25">
      <c r="E280" s="22"/>
      <c r="F280" s="16"/>
      <c r="G280" s="43"/>
      <c r="H280" s="22"/>
      <c r="I280" s="22"/>
      <c r="J280" s="22"/>
      <c r="K280" s="22"/>
      <c r="L280" s="22"/>
    </row>
    <row r="281" spans="5:12" x14ac:dyDescent="0.25">
      <c r="E281" s="22"/>
      <c r="F281" s="16"/>
      <c r="G281" s="43"/>
      <c r="H281" s="22"/>
      <c r="I281" s="22"/>
      <c r="J281" s="22"/>
      <c r="K281" s="22"/>
      <c r="L281" s="22"/>
    </row>
    <row r="282" spans="5:12" x14ac:dyDescent="0.25">
      <c r="E282" s="22"/>
      <c r="F282" s="16"/>
      <c r="G282" s="43"/>
      <c r="H282" s="22"/>
      <c r="I282" s="22"/>
      <c r="J282" s="22"/>
      <c r="K282" s="22"/>
      <c r="L282" s="22"/>
    </row>
    <row r="283" spans="5:12" x14ac:dyDescent="0.25">
      <c r="E283" s="22"/>
      <c r="F283" s="16"/>
      <c r="G283" s="43"/>
      <c r="H283" s="22"/>
      <c r="I283" s="22"/>
      <c r="J283" s="22"/>
      <c r="K283" s="22"/>
      <c r="L283" s="22"/>
    </row>
    <row r="284" spans="5:12" x14ac:dyDescent="0.25">
      <c r="E284" s="22"/>
      <c r="F284" s="16"/>
      <c r="G284" s="43"/>
      <c r="H284" s="22"/>
      <c r="I284" s="22"/>
      <c r="J284" s="22"/>
      <c r="K284" s="22"/>
      <c r="L284" s="22"/>
    </row>
    <row r="285" spans="5:12" x14ac:dyDescent="0.25">
      <c r="E285" s="22"/>
      <c r="F285" s="16"/>
      <c r="G285" s="43"/>
      <c r="H285" s="22"/>
      <c r="I285" s="22"/>
      <c r="J285" s="22"/>
      <c r="K285" s="22"/>
      <c r="L285" s="22"/>
    </row>
    <row r="286" spans="5:12" x14ac:dyDescent="0.25">
      <c r="E286" s="22"/>
      <c r="F286" s="16"/>
      <c r="G286" s="43"/>
      <c r="H286" s="22"/>
      <c r="I286" s="22"/>
      <c r="J286" s="22"/>
      <c r="K286" s="22"/>
      <c r="L286" s="22"/>
    </row>
    <row r="287" spans="5:12" x14ac:dyDescent="0.25">
      <c r="E287" s="22"/>
      <c r="F287" s="16"/>
      <c r="G287" s="43"/>
      <c r="H287" s="22"/>
      <c r="I287" s="22"/>
      <c r="J287" s="22"/>
      <c r="K287" s="22"/>
      <c r="L287" s="22"/>
    </row>
    <row r="288" spans="5:12" x14ac:dyDescent="0.25">
      <c r="E288" s="22"/>
      <c r="F288" s="16"/>
      <c r="G288" s="43"/>
      <c r="H288" s="22"/>
      <c r="I288" s="22"/>
      <c r="J288" s="22"/>
      <c r="K288" s="22"/>
      <c r="L288" s="22"/>
    </row>
    <row r="289" spans="5:12" x14ac:dyDescent="0.25">
      <c r="E289" s="22"/>
      <c r="F289" s="16"/>
      <c r="G289" s="43"/>
      <c r="H289" s="22"/>
      <c r="I289" s="22"/>
      <c r="J289" s="22"/>
      <c r="K289" s="22"/>
      <c r="L289" s="22"/>
    </row>
    <row r="290" spans="5:12" x14ac:dyDescent="0.25">
      <c r="E290" s="22"/>
      <c r="F290" s="16"/>
      <c r="G290" s="43"/>
      <c r="H290" s="22"/>
      <c r="I290" s="22"/>
      <c r="J290" s="22"/>
      <c r="K290" s="22"/>
      <c r="L290" s="22"/>
    </row>
    <row r="291" spans="5:12" x14ac:dyDescent="0.25">
      <c r="E291" s="22"/>
      <c r="F291" s="16"/>
      <c r="G291" s="43"/>
      <c r="H291" s="22"/>
      <c r="I291" s="22"/>
      <c r="J291" s="22"/>
      <c r="K291" s="22"/>
      <c r="L291" s="22"/>
    </row>
    <row r="292" spans="5:12" x14ac:dyDescent="0.25">
      <c r="E292" s="22"/>
      <c r="F292" s="16"/>
      <c r="G292" s="43"/>
      <c r="H292" s="22"/>
      <c r="I292" s="22"/>
      <c r="J292" s="22"/>
      <c r="K292" s="22"/>
      <c r="L292" s="22"/>
    </row>
    <row r="293" spans="5:12" x14ac:dyDescent="0.25">
      <c r="E293" s="22"/>
      <c r="F293" s="16"/>
      <c r="G293" s="43"/>
      <c r="H293" s="22"/>
      <c r="I293" s="22"/>
      <c r="J293" s="22"/>
      <c r="K293" s="22"/>
      <c r="L293" s="22"/>
    </row>
    <row r="294" spans="5:12" x14ac:dyDescent="0.25">
      <c r="E294" s="22"/>
      <c r="F294" s="16"/>
      <c r="G294" s="43"/>
      <c r="H294" s="22"/>
      <c r="I294" s="22"/>
      <c r="J294" s="22"/>
      <c r="K294" s="22"/>
      <c r="L294" s="22"/>
    </row>
    <row r="295" spans="5:12" x14ac:dyDescent="0.25">
      <c r="E295" s="22"/>
      <c r="F295" s="16"/>
      <c r="G295" s="43"/>
      <c r="H295" s="22"/>
      <c r="I295" s="22"/>
      <c r="J295" s="22"/>
      <c r="K295" s="22"/>
      <c r="L295" s="22"/>
    </row>
    <row r="296" spans="5:12" x14ac:dyDescent="0.25">
      <c r="E296" s="22"/>
      <c r="F296" s="16"/>
      <c r="G296" s="43"/>
      <c r="H296" s="22"/>
      <c r="I296" s="22"/>
      <c r="J296" s="22"/>
      <c r="K296" s="22"/>
      <c r="L296" s="22"/>
    </row>
    <row r="297" spans="5:12" x14ac:dyDescent="0.25">
      <c r="E297" s="22"/>
      <c r="F297" s="16"/>
      <c r="G297" s="43"/>
      <c r="H297" s="22"/>
      <c r="I297" s="22"/>
      <c r="J297" s="22"/>
      <c r="K297" s="22"/>
      <c r="L297" s="22"/>
    </row>
    <row r="298" spans="5:12" x14ac:dyDescent="0.25">
      <c r="E298" s="22"/>
      <c r="F298" s="16"/>
      <c r="G298" s="43"/>
      <c r="H298" s="22"/>
      <c r="I298" s="22"/>
      <c r="J298" s="22"/>
      <c r="K298" s="22"/>
      <c r="L298" s="22"/>
    </row>
    <row r="299" spans="5:12" x14ac:dyDescent="0.25">
      <c r="E299" s="22"/>
      <c r="F299" s="16"/>
      <c r="G299" s="43"/>
      <c r="H299" s="22"/>
      <c r="I299" s="22"/>
      <c r="J299" s="22"/>
      <c r="K299" s="22"/>
      <c r="L299" s="22"/>
    </row>
    <row r="300" spans="5:12" x14ac:dyDescent="0.25">
      <c r="E300" s="22"/>
      <c r="F300" s="16"/>
      <c r="G300" s="43"/>
      <c r="H300" s="22"/>
      <c r="I300" s="22"/>
      <c r="J300" s="22"/>
      <c r="K300" s="22"/>
      <c r="L300" s="22"/>
    </row>
    <row r="301" spans="5:12" x14ac:dyDescent="0.25">
      <c r="E301" s="22"/>
      <c r="F301" s="16"/>
      <c r="G301" s="43"/>
      <c r="H301" s="22"/>
      <c r="I301" s="22"/>
      <c r="J301" s="22"/>
      <c r="K301" s="22"/>
      <c r="L301" s="22"/>
    </row>
    <row r="302" spans="5:12" x14ac:dyDescent="0.25">
      <c r="E302" s="22"/>
      <c r="F302" s="16"/>
      <c r="G302" s="43"/>
      <c r="H302" s="22"/>
      <c r="I302" s="22"/>
      <c r="J302" s="22"/>
      <c r="K302" s="22"/>
      <c r="L302" s="22"/>
    </row>
    <row r="303" spans="5:12" x14ac:dyDescent="0.25">
      <c r="E303" s="22"/>
      <c r="F303" s="16"/>
      <c r="G303" s="43"/>
      <c r="H303" s="22"/>
      <c r="I303" s="22"/>
      <c r="J303" s="22"/>
      <c r="K303" s="22"/>
      <c r="L303" s="22"/>
    </row>
    <row r="304" spans="5:12" x14ac:dyDescent="0.25">
      <c r="E304" s="22"/>
      <c r="F304" s="16"/>
      <c r="G304" s="43"/>
      <c r="H304" s="22"/>
      <c r="I304" s="22"/>
      <c r="J304" s="22"/>
      <c r="K304" s="22"/>
      <c r="L304" s="22"/>
    </row>
    <row r="305" spans="5:12" x14ac:dyDescent="0.25">
      <c r="E305" s="22"/>
      <c r="F305" s="16"/>
      <c r="G305" s="43"/>
      <c r="H305" s="22"/>
      <c r="I305" s="22"/>
      <c r="J305" s="22"/>
      <c r="K305" s="22"/>
      <c r="L305" s="22"/>
    </row>
    <row r="306" spans="5:12" x14ac:dyDescent="0.25">
      <c r="E306" s="22"/>
      <c r="F306" s="16"/>
      <c r="G306" s="43"/>
      <c r="H306" s="22"/>
      <c r="I306" s="22"/>
      <c r="J306" s="22"/>
      <c r="K306" s="22"/>
      <c r="L306" s="22"/>
    </row>
    <row r="307" spans="5:12" x14ac:dyDescent="0.25">
      <c r="E307" s="22"/>
      <c r="F307" s="16"/>
      <c r="G307" s="43"/>
      <c r="H307" s="22"/>
      <c r="I307" s="22"/>
      <c r="J307" s="22"/>
      <c r="K307" s="22"/>
      <c r="L307" s="22"/>
    </row>
    <row r="308" spans="5:12" x14ac:dyDescent="0.25">
      <c r="E308" s="22"/>
      <c r="F308" s="16"/>
      <c r="G308" s="43"/>
      <c r="H308" s="22"/>
      <c r="I308" s="22"/>
      <c r="J308" s="22"/>
      <c r="K308" s="22"/>
      <c r="L308" s="22"/>
    </row>
    <row r="309" spans="5:12" x14ac:dyDescent="0.25">
      <c r="E309" s="22"/>
      <c r="F309" s="16"/>
      <c r="G309" s="43"/>
      <c r="H309" s="22"/>
      <c r="I309" s="22"/>
      <c r="J309" s="22"/>
      <c r="K309" s="22"/>
      <c r="L309" s="22"/>
    </row>
    <row r="310" spans="5:12" x14ac:dyDescent="0.25">
      <c r="E310" s="22"/>
      <c r="F310" s="16"/>
      <c r="G310" s="43"/>
      <c r="H310" s="22"/>
      <c r="I310" s="22"/>
      <c r="J310" s="22"/>
      <c r="K310" s="22"/>
      <c r="L310" s="22"/>
    </row>
    <row r="311" spans="5:12" x14ac:dyDescent="0.25">
      <c r="E311" s="22"/>
      <c r="F311" s="16"/>
      <c r="G311" s="43"/>
      <c r="H311" s="22"/>
      <c r="I311" s="22"/>
      <c r="J311" s="22"/>
      <c r="K311" s="22"/>
      <c r="L311" s="22"/>
    </row>
    <row r="312" spans="5:12" x14ac:dyDescent="0.25">
      <c r="E312" s="22"/>
      <c r="F312" s="16"/>
      <c r="G312" s="43"/>
      <c r="H312" s="22"/>
      <c r="I312" s="22"/>
      <c r="J312" s="22"/>
      <c r="K312" s="22"/>
      <c r="L312" s="22"/>
    </row>
    <row r="313" spans="5:12" x14ac:dyDescent="0.25">
      <c r="E313" s="22"/>
      <c r="F313" s="16"/>
      <c r="G313" s="43"/>
      <c r="H313" s="22"/>
      <c r="I313" s="22"/>
      <c r="J313" s="22"/>
      <c r="K313" s="22"/>
      <c r="L313" s="22"/>
    </row>
    <row r="314" spans="5:12" x14ac:dyDescent="0.25">
      <c r="E314" s="22"/>
      <c r="F314" s="16"/>
      <c r="G314" s="43"/>
      <c r="H314" s="22"/>
      <c r="I314" s="22"/>
      <c r="J314" s="22"/>
      <c r="K314" s="22"/>
      <c r="L314" s="22"/>
    </row>
    <row r="315" spans="5:12" x14ac:dyDescent="0.25">
      <c r="E315" s="22"/>
      <c r="F315" s="16"/>
      <c r="G315" s="43"/>
      <c r="H315" s="22"/>
      <c r="I315" s="22"/>
      <c r="J315" s="22"/>
      <c r="K315" s="22"/>
      <c r="L315" s="22"/>
    </row>
    <row r="316" spans="5:12" x14ac:dyDescent="0.25">
      <c r="E316" s="22"/>
      <c r="F316" s="16"/>
      <c r="G316" s="43"/>
      <c r="H316" s="22"/>
      <c r="I316" s="22"/>
      <c r="J316" s="22"/>
      <c r="K316" s="22"/>
      <c r="L316" s="22"/>
    </row>
    <row r="317" spans="5:12" x14ac:dyDescent="0.25">
      <c r="E317" s="22"/>
      <c r="F317" s="16"/>
      <c r="G317" s="43"/>
      <c r="H317" s="22"/>
      <c r="I317" s="22"/>
      <c r="J317" s="22"/>
      <c r="K317" s="22"/>
      <c r="L317" s="22"/>
    </row>
    <row r="318" spans="5:12" x14ac:dyDescent="0.25">
      <c r="E318" s="22"/>
      <c r="F318" s="16"/>
      <c r="G318" s="43"/>
      <c r="H318" s="22"/>
      <c r="I318" s="22"/>
      <c r="J318" s="22"/>
      <c r="K318" s="22"/>
      <c r="L318" s="22"/>
    </row>
    <row r="319" spans="5:12" x14ac:dyDescent="0.25">
      <c r="E319" s="22"/>
      <c r="F319" s="16"/>
      <c r="G319" s="43"/>
      <c r="H319" s="22"/>
      <c r="I319" s="22"/>
      <c r="J319" s="22"/>
      <c r="K319" s="22"/>
      <c r="L319" s="22"/>
    </row>
    <row r="320" spans="5:12" x14ac:dyDescent="0.25">
      <c r="E320" s="22"/>
      <c r="F320" s="16"/>
      <c r="G320" s="43"/>
      <c r="H320" s="22"/>
      <c r="I320" s="22"/>
      <c r="J320" s="22"/>
      <c r="K320" s="22"/>
      <c r="L320" s="22"/>
    </row>
    <row r="321" spans="5:12" x14ac:dyDescent="0.25">
      <c r="E321" s="22"/>
      <c r="F321" s="16"/>
      <c r="G321" s="43"/>
      <c r="H321" s="22"/>
      <c r="I321" s="22"/>
      <c r="J321" s="22"/>
      <c r="K321" s="22"/>
      <c r="L321" s="22"/>
    </row>
    <row r="322" spans="5:12" x14ac:dyDescent="0.25">
      <c r="E322" s="22"/>
      <c r="F322" s="16"/>
      <c r="G322" s="43"/>
      <c r="H322" s="22"/>
      <c r="I322" s="22"/>
      <c r="J322" s="22"/>
      <c r="K322" s="22"/>
      <c r="L322" s="22"/>
    </row>
    <row r="323" spans="5:12" x14ac:dyDescent="0.25">
      <c r="E323" s="22"/>
      <c r="F323" s="16"/>
      <c r="G323" s="43"/>
      <c r="H323" s="22"/>
      <c r="I323" s="22"/>
      <c r="J323" s="22"/>
      <c r="K323" s="22"/>
      <c r="L323" s="22"/>
    </row>
    <row r="324" spans="5:12" x14ac:dyDescent="0.25">
      <c r="E324" s="22"/>
      <c r="F324" s="16"/>
      <c r="G324" s="43"/>
      <c r="H324" s="22"/>
      <c r="I324" s="22"/>
      <c r="J324" s="22"/>
      <c r="K324" s="22"/>
      <c r="L324" s="22"/>
    </row>
    <row r="325" spans="5:12" x14ac:dyDescent="0.25">
      <c r="E325" s="22"/>
      <c r="F325" s="16"/>
      <c r="G325" s="43"/>
      <c r="H325" s="22"/>
      <c r="I325" s="22"/>
      <c r="J325" s="22"/>
      <c r="K325" s="22"/>
      <c r="L325" s="22"/>
    </row>
    <row r="326" spans="5:12" x14ac:dyDescent="0.25">
      <c r="E326" s="22"/>
      <c r="F326" s="16"/>
      <c r="G326" s="43"/>
      <c r="H326" s="22"/>
      <c r="I326" s="22"/>
      <c r="J326" s="22"/>
      <c r="K326" s="22"/>
      <c r="L326" s="22"/>
    </row>
    <row r="327" spans="5:12" x14ac:dyDescent="0.25">
      <c r="E327" s="22"/>
      <c r="F327" s="16"/>
      <c r="G327" s="43"/>
      <c r="H327" s="22"/>
      <c r="I327" s="22"/>
      <c r="J327" s="22"/>
      <c r="K327" s="22"/>
      <c r="L327" s="22"/>
    </row>
    <row r="328" spans="5:12" x14ac:dyDescent="0.25">
      <c r="E328" s="22"/>
      <c r="F328" s="16"/>
      <c r="G328" s="43"/>
      <c r="H328" s="22"/>
      <c r="I328" s="22"/>
      <c r="J328" s="22"/>
      <c r="K328" s="22"/>
      <c r="L328" s="22"/>
    </row>
    <row r="329" spans="5:12" x14ac:dyDescent="0.25">
      <c r="E329" s="22"/>
      <c r="F329" s="16"/>
      <c r="G329" s="43"/>
      <c r="H329" s="22"/>
      <c r="I329" s="22"/>
      <c r="J329" s="22"/>
      <c r="K329" s="22"/>
      <c r="L329" s="22"/>
    </row>
    <row r="330" spans="5:12" x14ac:dyDescent="0.25">
      <c r="E330" s="22"/>
      <c r="F330" s="16"/>
      <c r="G330" s="43"/>
      <c r="H330" s="22"/>
      <c r="I330" s="22"/>
      <c r="J330" s="22"/>
      <c r="K330" s="22"/>
      <c r="L330" s="22"/>
    </row>
    <row r="331" spans="5:12" x14ac:dyDescent="0.25">
      <c r="E331" s="22"/>
      <c r="F331" s="16"/>
      <c r="G331" s="43"/>
      <c r="H331" s="22"/>
      <c r="I331" s="22"/>
      <c r="J331" s="22"/>
      <c r="K331" s="22"/>
      <c r="L331" s="22"/>
    </row>
    <row r="332" spans="5:12" x14ac:dyDescent="0.25">
      <c r="E332" s="22"/>
      <c r="F332" s="16"/>
      <c r="G332" s="43"/>
      <c r="H332" s="22"/>
      <c r="I332" s="22"/>
      <c r="J332" s="22"/>
      <c r="K332" s="22"/>
      <c r="L332" s="22"/>
    </row>
    <row r="333" spans="5:12" x14ac:dyDescent="0.25">
      <c r="E333" s="22"/>
      <c r="F333" s="16"/>
      <c r="G333" s="43"/>
      <c r="H333" s="22"/>
      <c r="I333" s="22"/>
      <c r="J333" s="22"/>
      <c r="K333" s="22"/>
      <c r="L333" s="22"/>
    </row>
    <row r="334" spans="5:12" x14ac:dyDescent="0.25">
      <c r="E334" s="22"/>
      <c r="F334" s="16"/>
      <c r="G334" s="43"/>
      <c r="H334" s="22"/>
      <c r="I334" s="22"/>
      <c r="J334" s="22"/>
      <c r="K334" s="22"/>
      <c r="L334" s="22"/>
    </row>
    <row r="335" spans="5:12" x14ac:dyDescent="0.25">
      <c r="E335" s="22"/>
      <c r="F335" s="16"/>
      <c r="G335" s="43"/>
      <c r="H335" s="22"/>
      <c r="I335" s="22"/>
      <c r="J335" s="22"/>
      <c r="K335" s="22"/>
      <c r="L335" s="22"/>
    </row>
    <row r="336" spans="5:12" x14ac:dyDescent="0.25">
      <c r="E336" s="22"/>
      <c r="F336" s="16"/>
      <c r="G336" s="43"/>
      <c r="H336" s="22"/>
      <c r="I336" s="22"/>
      <c r="J336" s="22"/>
      <c r="K336" s="22"/>
      <c r="L336" s="22"/>
    </row>
    <row r="337" spans="5:12" x14ac:dyDescent="0.25">
      <c r="E337" s="22"/>
      <c r="F337" s="16"/>
      <c r="G337" s="43"/>
      <c r="H337" s="22"/>
      <c r="I337" s="22"/>
      <c r="J337" s="22"/>
      <c r="K337" s="22"/>
      <c r="L337" s="22"/>
    </row>
    <row r="338" spans="5:12" x14ac:dyDescent="0.25">
      <c r="E338" s="22"/>
      <c r="F338" s="16"/>
      <c r="G338" s="43"/>
      <c r="H338" s="22"/>
      <c r="I338" s="22"/>
      <c r="J338" s="22"/>
      <c r="K338" s="22"/>
      <c r="L338" s="22"/>
    </row>
    <row r="339" spans="5:12" x14ac:dyDescent="0.25">
      <c r="E339" s="22"/>
      <c r="F339" s="16"/>
      <c r="G339" s="43"/>
      <c r="H339" s="22"/>
      <c r="I339" s="22"/>
      <c r="J339" s="22"/>
      <c r="K339" s="22"/>
      <c r="L339" s="22"/>
    </row>
    <row r="340" spans="5:12" x14ac:dyDescent="0.25">
      <c r="E340" s="22"/>
      <c r="F340" s="16"/>
      <c r="G340" s="43"/>
      <c r="H340" s="22"/>
      <c r="I340" s="22"/>
      <c r="J340" s="22"/>
      <c r="K340" s="22"/>
      <c r="L340" s="22"/>
    </row>
    <row r="341" spans="5:12" x14ac:dyDescent="0.25">
      <c r="E341" s="22"/>
      <c r="F341" s="16"/>
      <c r="G341" s="43"/>
      <c r="H341" s="22"/>
      <c r="I341" s="22"/>
      <c r="J341" s="22"/>
      <c r="K341" s="22"/>
      <c r="L341" s="22"/>
    </row>
    <row r="342" spans="5:12" x14ac:dyDescent="0.25">
      <c r="E342" s="22"/>
      <c r="F342" s="16"/>
      <c r="G342" s="43"/>
      <c r="H342" s="22"/>
      <c r="I342" s="22"/>
      <c r="J342" s="22"/>
      <c r="K342" s="22"/>
      <c r="L342" s="22"/>
    </row>
    <row r="343" spans="5:12" x14ac:dyDescent="0.25">
      <c r="E343" s="22"/>
      <c r="F343" s="16"/>
      <c r="G343" s="43"/>
      <c r="H343" s="22"/>
      <c r="I343" s="22"/>
      <c r="J343" s="22"/>
      <c r="K343" s="22"/>
      <c r="L343" s="22"/>
    </row>
    <row r="344" spans="5:12" x14ac:dyDescent="0.25">
      <c r="E344" s="22"/>
      <c r="F344" s="16"/>
      <c r="G344" s="43"/>
      <c r="H344" s="22"/>
      <c r="I344" s="22"/>
      <c r="J344" s="22"/>
      <c r="K344" s="22"/>
      <c r="L344" s="22"/>
    </row>
    <row r="345" spans="5:12" x14ac:dyDescent="0.25">
      <c r="E345" s="22"/>
      <c r="F345" s="16"/>
      <c r="G345" s="43"/>
      <c r="H345" s="22"/>
      <c r="I345" s="22"/>
      <c r="J345" s="22"/>
      <c r="K345" s="22"/>
      <c r="L345" s="22"/>
    </row>
    <row r="346" spans="5:12" x14ac:dyDescent="0.25">
      <c r="E346" s="22"/>
      <c r="F346" s="16"/>
      <c r="G346" s="43"/>
      <c r="H346" s="22"/>
      <c r="I346" s="22"/>
      <c r="J346" s="22"/>
      <c r="K346" s="22"/>
      <c r="L346" s="22"/>
    </row>
    <row r="347" spans="5:12" x14ac:dyDescent="0.25">
      <c r="E347" s="22"/>
      <c r="F347" s="16"/>
      <c r="G347" s="43"/>
      <c r="H347" s="22"/>
      <c r="I347" s="22"/>
      <c r="J347" s="22"/>
      <c r="K347" s="22"/>
      <c r="L347" s="22"/>
    </row>
    <row r="348" spans="5:12" x14ac:dyDescent="0.25">
      <c r="E348" s="22"/>
      <c r="F348" s="16"/>
      <c r="G348" s="43"/>
      <c r="H348" s="22"/>
      <c r="I348" s="22"/>
      <c r="J348" s="22"/>
      <c r="K348" s="22"/>
      <c r="L348" s="22"/>
    </row>
    <row r="349" spans="5:12" x14ac:dyDescent="0.25">
      <c r="E349" s="22"/>
      <c r="F349" s="16"/>
      <c r="G349" s="43"/>
      <c r="H349" s="22"/>
      <c r="I349" s="22"/>
      <c r="J349" s="22"/>
      <c r="K349" s="22"/>
      <c r="L349" s="22"/>
    </row>
    <row r="350" spans="5:12" x14ac:dyDescent="0.25">
      <c r="E350" s="22"/>
      <c r="F350" s="16"/>
      <c r="G350" s="43"/>
      <c r="H350" s="22"/>
      <c r="I350" s="22"/>
      <c r="J350" s="22"/>
      <c r="K350" s="22"/>
      <c r="L350" s="22"/>
    </row>
    <row r="351" spans="5:12" x14ac:dyDescent="0.25">
      <c r="E351" s="22"/>
      <c r="F351" s="16"/>
      <c r="G351" s="43"/>
      <c r="H351" s="22"/>
      <c r="I351" s="22"/>
      <c r="J351" s="22"/>
      <c r="K351" s="22"/>
      <c r="L351" s="22"/>
    </row>
    <row r="352" spans="5:12" x14ac:dyDescent="0.25">
      <c r="E352" s="22"/>
      <c r="F352" s="16"/>
      <c r="G352" s="43"/>
      <c r="H352" s="22"/>
      <c r="I352" s="22"/>
      <c r="J352" s="22"/>
      <c r="K352" s="22"/>
      <c r="L352" s="22"/>
    </row>
    <row r="353" spans="5:12" x14ac:dyDescent="0.25">
      <c r="E353" s="22"/>
      <c r="F353" s="16"/>
      <c r="G353" s="43"/>
      <c r="H353" s="22"/>
      <c r="I353" s="22"/>
      <c r="J353" s="22"/>
      <c r="K353" s="22"/>
      <c r="L353" s="22"/>
    </row>
    <row r="354" spans="5:12" x14ac:dyDescent="0.25">
      <c r="E354" s="22"/>
      <c r="F354" s="16"/>
      <c r="G354" s="43"/>
      <c r="H354" s="22"/>
      <c r="I354" s="22"/>
      <c r="J354" s="22"/>
      <c r="K354" s="22"/>
      <c r="L354" s="22"/>
    </row>
    <row r="355" spans="5:12" x14ac:dyDescent="0.25">
      <c r="E355" s="22"/>
      <c r="F355" s="16"/>
      <c r="G355" s="43"/>
      <c r="H355" s="22"/>
      <c r="I355" s="22"/>
      <c r="J355" s="22"/>
      <c r="K355" s="22"/>
      <c r="L355" s="22"/>
    </row>
    <row r="356" spans="5:12" x14ac:dyDescent="0.25">
      <c r="E356" s="22"/>
      <c r="F356" s="16"/>
      <c r="G356" s="43"/>
      <c r="H356" s="22"/>
      <c r="I356" s="22"/>
      <c r="J356" s="22"/>
      <c r="K356" s="22"/>
      <c r="L356" s="22"/>
    </row>
    <row r="357" spans="5:12" x14ac:dyDescent="0.25">
      <c r="E357" s="22"/>
      <c r="F357" s="16"/>
      <c r="G357" s="43"/>
      <c r="H357" s="22"/>
      <c r="I357" s="22"/>
      <c r="J357" s="22"/>
      <c r="K357" s="22"/>
      <c r="L357" s="22"/>
    </row>
    <row r="358" spans="5:12" x14ac:dyDescent="0.25">
      <c r="E358" s="22"/>
      <c r="F358" s="16"/>
      <c r="G358" s="43"/>
      <c r="H358" s="22"/>
      <c r="I358" s="22"/>
      <c r="J358" s="22"/>
      <c r="K358" s="22"/>
      <c r="L358" s="22"/>
    </row>
    <row r="359" spans="5:12" x14ac:dyDescent="0.25">
      <c r="E359" s="22"/>
      <c r="F359" s="16"/>
      <c r="G359" s="43"/>
      <c r="H359" s="22"/>
      <c r="I359" s="22"/>
      <c r="J359" s="22"/>
      <c r="K359" s="22"/>
      <c r="L359" s="22"/>
    </row>
    <row r="360" spans="5:12" x14ac:dyDescent="0.25">
      <c r="E360" s="22"/>
      <c r="F360" s="16"/>
      <c r="G360" s="43"/>
      <c r="H360" s="22"/>
      <c r="I360" s="22"/>
      <c r="J360" s="22"/>
      <c r="K360" s="22"/>
      <c r="L360" s="22"/>
    </row>
    <row r="361" spans="5:12" x14ac:dyDescent="0.25">
      <c r="E361" s="22"/>
      <c r="F361" s="16"/>
      <c r="G361" s="43"/>
      <c r="H361" s="22"/>
      <c r="I361" s="22"/>
      <c r="J361" s="22"/>
      <c r="K361" s="22"/>
      <c r="L361" s="22"/>
    </row>
    <row r="362" spans="5:12" x14ac:dyDescent="0.25">
      <c r="E362" s="22"/>
      <c r="F362" s="16"/>
      <c r="G362" s="43"/>
      <c r="H362" s="22"/>
      <c r="I362" s="22"/>
      <c r="J362" s="22"/>
      <c r="K362" s="22"/>
      <c r="L362" s="22"/>
    </row>
    <row r="363" spans="5:12" x14ac:dyDescent="0.25">
      <c r="E363" s="22"/>
      <c r="F363" s="16"/>
      <c r="G363" s="43"/>
      <c r="H363" s="22"/>
      <c r="I363" s="22"/>
      <c r="J363" s="22"/>
      <c r="K363" s="22"/>
      <c r="L363" s="22"/>
    </row>
    <row r="364" spans="5:12" x14ac:dyDescent="0.25">
      <c r="E364" s="22"/>
      <c r="F364" s="16"/>
      <c r="G364" s="43"/>
      <c r="H364" s="22"/>
      <c r="I364" s="22"/>
      <c r="J364" s="22"/>
      <c r="K364" s="22"/>
      <c r="L364" s="22"/>
    </row>
    <row r="365" spans="5:12" x14ac:dyDescent="0.25">
      <c r="E365" s="22"/>
      <c r="F365" s="16"/>
      <c r="G365" s="43"/>
      <c r="H365" s="22"/>
      <c r="I365" s="22"/>
      <c r="J365" s="22"/>
      <c r="K365" s="22"/>
      <c r="L365" s="22"/>
    </row>
    <row r="366" spans="5:12" x14ac:dyDescent="0.25">
      <c r="E366" s="22"/>
      <c r="F366" s="16"/>
      <c r="G366" s="43"/>
      <c r="H366" s="22"/>
      <c r="I366" s="22"/>
      <c r="J366" s="22"/>
      <c r="K366" s="22"/>
      <c r="L366" s="22"/>
    </row>
    <row r="367" spans="5:12" x14ac:dyDescent="0.25">
      <c r="E367" s="22"/>
      <c r="F367" s="16"/>
      <c r="G367" s="43"/>
      <c r="H367" s="22"/>
      <c r="I367" s="22"/>
      <c r="J367" s="22"/>
      <c r="K367" s="22"/>
      <c r="L367" s="22"/>
    </row>
    <row r="368" spans="5:12" x14ac:dyDescent="0.25">
      <c r="E368" s="22"/>
      <c r="F368" s="16"/>
      <c r="G368" s="43"/>
      <c r="H368" s="22"/>
      <c r="I368" s="22"/>
      <c r="J368" s="22"/>
      <c r="K368" s="22"/>
      <c r="L368" s="22"/>
    </row>
    <row r="369" spans="5:12" x14ac:dyDescent="0.25">
      <c r="E369" s="22"/>
      <c r="F369" s="16"/>
      <c r="G369" s="43"/>
      <c r="H369" s="22"/>
      <c r="I369" s="22"/>
      <c r="J369" s="22"/>
      <c r="K369" s="22"/>
      <c r="L369" s="22"/>
    </row>
    <row r="370" spans="5:12" x14ac:dyDescent="0.25">
      <c r="E370" s="22"/>
      <c r="F370" s="16"/>
      <c r="G370" s="43"/>
      <c r="H370" s="22"/>
      <c r="I370" s="22"/>
      <c r="J370" s="22"/>
      <c r="K370" s="22"/>
      <c r="L370" s="22"/>
    </row>
    <row r="371" spans="5:12" x14ac:dyDescent="0.25">
      <c r="E371" s="22"/>
      <c r="F371" s="16"/>
      <c r="G371" s="43"/>
      <c r="H371" s="22"/>
      <c r="I371" s="22"/>
      <c r="J371" s="22"/>
      <c r="K371" s="22"/>
      <c r="L371" s="22"/>
    </row>
    <row r="372" spans="5:12" x14ac:dyDescent="0.25">
      <c r="E372" s="22"/>
      <c r="F372" s="16"/>
      <c r="G372" s="43"/>
      <c r="H372" s="22"/>
      <c r="I372" s="22"/>
      <c r="J372" s="22"/>
      <c r="K372" s="22"/>
      <c r="L372" s="22"/>
    </row>
    <row r="373" spans="5:12" x14ac:dyDescent="0.25">
      <c r="E373" s="22"/>
      <c r="F373" s="16"/>
      <c r="G373" s="43"/>
      <c r="H373" s="22"/>
      <c r="I373" s="22"/>
      <c r="J373" s="22"/>
      <c r="K373" s="22"/>
      <c r="L373" s="22"/>
    </row>
    <row r="374" spans="5:12" x14ac:dyDescent="0.25">
      <c r="E374" s="22"/>
      <c r="F374" s="16"/>
      <c r="G374" s="43"/>
      <c r="H374" s="22"/>
      <c r="I374" s="22"/>
      <c r="J374" s="22"/>
      <c r="K374" s="22"/>
      <c r="L374" s="22"/>
    </row>
    <row r="375" spans="5:12" x14ac:dyDescent="0.25">
      <c r="E375" s="22"/>
      <c r="F375" s="16"/>
      <c r="G375" s="43"/>
      <c r="H375" s="22"/>
      <c r="I375" s="22"/>
      <c r="J375" s="22"/>
      <c r="K375" s="22"/>
      <c r="L375" s="22"/>
    </row>
    <row r="376" spans="5:12" x14ac:dyDescent="0.25">
      <c r="E376" s="22"/>
      <c r="F376" s="16"/>
      <c r="G376" s="43"/>
      <c r="H376" s="22"/>
      <c r="I376" s="22"/>
      <c r="J376" s="22"/>
      <c r="K376" s="22"/>
      <c r="L376" s="22"/>
    </row>
    <row r="377" spans="5:12" x14ac:dyDescent="0.25">
      <c r="E377" s="22"/>
      <c r="F377" s="16"/>
      <c r="G377" s="43"/>
      <c r="H377" s="22"/>
      <c r="I377" s="22"/>
      <c r="J377" s="22"/>
      <c r="K377" s="22"/>
      <c r="L377" s="22"/>
    </row>
    <row r="378" spans="5:12" x14ac:dyDescent="0.25">
      <c r="E378" s="22"/>
      <c r="F378" s="16"/>
      <c r="G378" s="43"/>
      <c r="H378" s="22"/>
      <c r="I378" s="22"/>
      <c r="J378" s="22"/>
      <c r="K378" s="22"/>
      <c r="L378" s="22"/>
    </row>
    <row r="379" spans="5:12" x14ac:dyDescent="0.25">
      <c r="E379" s="22"/>
      <c r="F379" s="16"/>
      <c r="G379" s="43"/>
      <c r="H379" s="22"/>
      <c r="I379" s="22"/>
      <c r="J379" s="22"/>
      <c r="K379" s="22"/>
      <c r="L379" s="22"/>
    </row>
    <row r="380" spans="5:12" x14ac:dyDescent="0.25">
      <c r="E380" s="22"/>
      <c r="F380" s="16"/>
      <c r="G380" s="43"/>
      <c r="H380" s="22"/>
      <c r="I380" s="22"/>
      <c r="J380" s="22"/>
      <c r="K380" s="22"/>
      <c r="L380" s="22"/>
    </row>
    <row r="381" spans="5:12" x14ac:dyDescent="0.25">
      <c r="E381" s="22"/>
      <c r="F381" s="16"/>
      <c r="G381" s="43"/>
      <c r="H381" s="22"/>
      <c r="I381" s="22"/>
      <c r="J381" s="22"/>
      <c r="K381" s="22"/>
      <c r="L381" s="22"/>
    </row>
    <row r="382" spans="5:12" x14ac:dyDescent="0.25">
      <c r="E382" s="22"/>
      <c r="F382" s="16"/>
      <c r="G382" s="43"/>
      <c r="H382" s="22"/>
      <c r="I382" s="22"/>
      <c r="J382" s="22"/>
      <c r="K382" s="22"/>
      <c r="L382" s="22"/>
    </row>
    <row r="383" spans="5:12" x14ac:dyDescent="0.25">
      <c r="E383" s="22"/>
      <c r="F383" s="16"/>
      <c r="G383" s="43"/>
      <c r="H383" s="22"/>
      <c r="I383" s="22"/>
      <c r="J383" s="22"/>
      <c r="K383" s="22"/>
      <c r="L383" s="22"/>
    </row>
    <row r="384" spans="5:12" x14ac:dyDescent="0.25">
      <c r="E384" s="22"/>
      <c r="F384" s="16"/>
      <c r="G384" s="43"/>
      <c r="H384" s="22"/>
      <c r="I384" s="22"/>
      <c r="J384" s="22"/>
      <c r="K384" s="22"/>
      <c r="L384" s="22"/>
    </row>
    <row r="385" spans="5:12" x14ac:dyDescent="0.25">
      <c r="E385" s="22"/>
      <c r="F385" s="16"/>
      <c r="G385" s="43"/>
      <c r="H385" s="22"/>
      <c r="I385" s="22"/>
      <c r="J385" s="22"/>
      <c r="K385" s="22"/>
      <c r="L385" s="22"/>
    </row>
    <row r="386" spans="5:12" x14ac:dyDescent="0.25">
      <c r="E386" s="22"/>
      <c r="F386" s="16"/>
      <c r="G386" s="43"/>
      <c r="H386" s="22"/>
      <c r="I386" s="22"/>
      <c r="J386" s="22"/>
      <c r="K386" s="22"/>
      <c r="L386" s="22"/>
    </row>
    <row r="387" spans="5:12" x14ac:dyDescent="0.25">
      <c r="E387" s="22"/>
      <c r="F387" s="16"/>
      <c r="G387" s="43"/>
      <c r="H387" s="22"/>
      <c r="I387" s="22"/>
      <c r="J387" s="22"/>
      <c r="K387" s="22"/>
      <c r="L387" s="22"/>
    </row>
    <row r="388" spans="5:12" x14ac:dyDescent="0.25">
      <c r="E388" s="22"/>
      <c r="F388" s="16"/>
      <c r="G388" s="43"/>
      <c r="H388" s="22"/>
      <c r="I388" s="22"/>
      <c r="J388" s="22"/>
      <c r="K388" s="22"/>
      <c r="L388" s="22"/>
    </row>
    <row r="389" spans="5:12" x14ac:dyDescent="0.25">
      <c r="E389" s="22"/>
      <c r="F389" s="16"/>
      <c r="G389" s="43"/>
      <c r="H389" s="22"/>
      <c r="I389" s="22"/>
      <c r="J389" s="22"/>
      <c r="K389" s="22"/>
      <c r="L389" s="22"/>
    </row>
    <row r="390" spans="5:12" x14ac:dyDescent="0.25">
      <c r="E390" s="22"/>
      <c r="F390" s="16"/>
      <c r="G390" s="43"/>
      <c r="H390" s="22"/>
      <c r="I390" s="22"/>
      <c r="J390" s="22"/>
      <c r="K390" s="22"/>
      <c r="L390" s="22"/>
    </row>
    <row r="391" spans="5:12" x14ac:dyDescent="0.25">
      <c r="E391" s="22"/>
      <c r="F391" s="16"/>
      <c r="G391" s="43"/>
      <c r="H391" s="22"/>
      <c r="I391" s="22"/>
      <c r="J391" s="22"/>
      <c r="K391" s="22"/>
      <c r="L391" s="22"/>
    </row>
    <row r="392" spans="5:12" x14ac:dyDescent="0.25">
      <c r="E392" s="22"/>
      <c r="F392" s="16"/>
      <c r="G392" s="43"/>
      <c r="H392" s="22"/>
      <c r="I392" s="22"/>
      <c r="J392" s="22"/>
      <c r="K392" s="22"/>
      <c r="L392" s="22"/>
    </row>
    <row r="393" spans="5:12" x14ac:dyDescent="0.25">
      <c r="E393" s="22"/>
      <c r="F393" s="16"/>
      <c r="G393" s="43"/>
      <c r="H393" s="22"/>
      <c r="I393" s="22"/>
      <c r="J393" s="22"/>
      <c r="K393" s="22"/>
      <c r="L393" s="22"/>
    </row>
    <row r="394" spans="5:12" x14ac:dyDescent="0.25">
      <c r="E394" s="22"/>
      <c r="F394" s="16"/>
      <c r="G394" s="43"/>
      <c r="H394" s="22"/>
      <c r="I394" s="22"/>
      <c r="J394" s="22"/>
      <c r="K394" s="22"/>
      <c r="L394" s="22"/>
    </row>
    <row r="395" spans="5:12" x14ac:dyDescent="0.25">
      <c r="E395" s="22"/>
      <c r="F395" s="16"/>
      <c r="G395" s="43"/>
      <c r="H395" s="22"/>
      <c r="I395" s="22"/>
      <c r="J395" s="22"/>
      <c r="K395" s="22"/>
      <c r="L395" s="22"/>
    </row>
    <row r="396" spans="5:12" x14ac:dyDescent="0.25">
      <c r="E396" s="22"/>
      <c r="F396" s="16"/>
      <c r="G396" s="43"/>
      <c r="H396" s="22"/>
      <c r="I396" s="22"/>
      <c r="J396" s="22"/>
      <c r="K396" s="22"/>
      <c r="L396" s="22"/>
    </row>
    <row r="397" spans="5:12" x14ac:dyDescent="0.25">
      <c r="E397" s="22"/>
      <c r="F397" s="16"/>
      <c r="G397" s="43"/>
      <c r="H397" s="22"/>
      <c r="I397" s="22"/>
      <c r="J397" s="22"/>
      <c r="K397" s="22"/>
      <c r="L397" s="22"/>
    </row>
    <row r="398" spans="5:12" x14ac:dyDescent="0.25">
      <c r="E398" s="22"/>
      <c r="F398" s="16"/>
      <c r="G398" s="43"/>
      <c r="H398" s="22"/>
      <c r="I398" s="22"/>
      <c r="J398" s="22"/>
      <c r="K398" s="22"/>
      <c r="L398" s="22"/>
    </row>
    <row r="399" spans="5:12" x14ac:dyDescent="0.25">
      <c r="E399" s="22"/>
      <c r="F399" s="16"/>
      <c r="G399" s="43"/>
      <c r="H399" s="22"/>
      <c r="I399" s="22"/>
      <c r="J399" s="22"/>
      <c r="K399" s="22"/>
      <c r="L399" s="22"/>
    </row>
    <row r="400" spans="5:12" x14ac:dyDescent="0.25">
      <c r="E400" s="22"/>
      <c r="F400" s="16"/>
      <c r="G400" s="43"/>
      <c r="H400" s="22"/>
      <c r="I400" s="22"/>
      <c r="J400" s="22"/>
      <c r="K400" s="22"/>
      <c r="L400" s="22"/>
    </row>
    <row r="401" spans="5:12" x14ac:dyDescent="0.25">
      <c r="E401" s="22"/>
      <c r="F401" s="16"/>
      <c r="G401" s="43"/>
      <c r="H401" s="22"/>
      <c r="I401" s="22"/>
      <c r="J401" s="22"/>
      <c r="K401" s="22"/>
      <c r="L401" s="22"/>
    </row>
    <row r="402" spans="5:12" x14ac:dyDescent="0.25">
      <c r="E402" s="22"/>
      <c r="F402" s="16"/>
      <c r="G402" s="43"/>
      <c r="H402" s="22"/>
      <c r="I402" s="22"/>
      <c r="J402" s="22"/>
      <c r="K402" s="22"/>
      <c r="L402" s="22"/>
    </row>
    <row r="403" spans="5:12" x14ac:dyDescent="0.25">
      <c r="E403" s="22"/>
      <c r="F403" s="16"/>
      <c r="G403" s="43"/>
      <c r="H403" s="22"/>
      <c r="I403" s="22"/>
      <c r="J403" s="22"/>
      <c r="K403" s="22"/>
      <c r="L403" s="22"/>
    </row>
    <row r="404" spans="5:12" x14ac:dyDescent="0.25">
      <c r="E404" s="22"/>
      <c r="F404" s="16"/>
      <c r="G404" s="43"/>
      <c r="H404" s="22"/>
      <c r="I404" s="22"/>
      <c r="J404" s="22"/>
      <c r="K404" s="22"/>
      <c r="L404" s="22"/>
    </row>
    <row r="405" spans="5:12" x14ac:dyDescent="0.25">
      <c r="E405" s="22"/>
      <c r="F405" s="16"/>
      <c r="G405" s="43"/>
      <c r="H405" s="22"/>
      <c r="I405" s="22"/>
      <c r="J405" s="22"/>
      <c r="K405" s="22"/>
      <c r="L405" s="22"/>
    </row>
    <row r="406" spans="5:12" x14ac:dyDescent="0.25">
      <c r="E406" s="22"/>
      <c r="F406" s="16"/>
      <c r="G406" s="43"/>
      <c r="H406" s="22"/>
      <c r="I406" s="22"/>
      <c r="J406" s="22"/>
      <c r="K406" s="22"/>
      <c r="L406" s="22"/>
    </row>
    <row r="407" spans="5:12" x14ac:dyDescent="0.25">
      <c r="E407" s="22"/>
      <c r="F407" s="16"/>
      <c r="G407" s="43"/>
      <c r="H407" s="22"/>
      <c r="I407" s="22"/>
      <c r="J407" s="22"/>
      <c r="K407" s="22"/>
      <c r="L407" s="22"/>
    </row>
    <row r="408" spans="5:12" x14ac:dyDescent="0.25">
      <c r="E408" s="22"/>
      <c r="F408" s="16"/>
      <c r="G408" s="43"/>
      <c r="H408" s="22"/>
      <c r="I408" s="22"/>
      <c r="J408" s="22"/>
      <c r="K408" s="22"/>
      <c r="L408" s="22"/>
    </row>
    <row r="409" spans="5:12" x14ac:dyDescent="0.25">
      <c r="E409" s="22"/>
      <c r="F409" s="16"/>
      <c r="G409" s="43"/>
      <c r="H409" s="22"/>
      <c r="I409" s="22"/>
      <c r="J409" s="22"/>
      <c r="K409" s="22"/>
      <c r="L409" s="22"/>
    </row>
    <row r="410" spans="5:12" x14ac:dyDescent="0.25">
      <c r="E410" s="22"/>
      <c r="F410" s="16"/>
      <c r="G410" s="43"/>
      <c r="H410" s="22"/>
      <c r="I410" s="22"/>
      <c r="J410" s="22"/>
      <c r="K410" s="22"/>
      <c r="L410" s="22"/>
    </row>
    <row r="411" spans="5:12" x14ac:dyDescent="0.25">
      <c r="E411" s="22"/>
      <c r="F411" s="16"/>
      <c r="G411" s="43"/>
      <c r="H411" s="22"/>
      <c r="I411" s="22"/>
      <c r="J411" s="22"/>
      <c r="K411" s="22"/>
      <c r="L411" s="22"/>
    </row>
    <row r="412" spans="5:12" x14ac:dyDescent="0.25">
      <c r="E412" s="22"/>
      <c r="F412" s="16"/>
      <c r="G412" s="43"/>
      <c r="H412" s="22"/>
      <c r="I412" s="22"/>
      <c r="J412" s="22"/>
      <c r="K412" s="22"/>
      <c r="L412" s="22"/>
    </row>
    <row r="413" spans="5:12" x14ac:dyDescent="0.25">
      <c r="E413" s="22"/>
      <c r="F413" s="16"/>
      <c r="G413" s="43"/>
      <c r="H413" s="22"/>
      <c r="I413" s="22"/>
      <c r="J413" s="22"/>
      <c r="K413" s="22"/>
      <c r="L413" s="22"/>
    </row>
    <row r="414" spans="5:12" x14ac:dyDescent="0.25">
      <c r="E414" s="22"/>
      <c r="F414" s="16"/>
      <c r="G414" s="43"/>
      <c r="H414" s="22"/>
      <c r="I414" s="22"/>
      <c r="J414" s="22"/>
      <c r="K414" s="22"/>
      <c r="L414" s="22"/>
    </row>
    <row r="415" spans="5:12" x14ac:dyDescent="0.25">
      <c r="E415" s="22"/>
      <c r="F415" s="16"/>
      <c r="G415" s="43"/>
      <c r="H415" s="22"/>
      <c r="I415" s="22"/>
      <c r="J415" s="22"/>
      <c r="K415" s="22"/>
      <c r="L415" s="22"/>
    </row>
    <row r="416" spans="5:12" x14ac:dyDescent="0.25">
      <c r="E416" s="22"/>
      <c r="F416" s="16"/>
      <c r="G416" s="43"/>
      <c r="H416" s="22"/>
      <c r="I416" s="22"/>
      <c r="J416" s="22"/>
      <c r="K416" s="22"/>
      <c r="L416" s="22"/>
    </row>
    <row r="417" spans="5:12" x14ac:dyDescent="0.25">
      <c r="E417" s="22"/>
      <c r="F417" s="16"/>
      <c r="G417" s="43"/>
      <c r="H417" s="22"/>
      <c r="I417" s="22"/>
      <c r="J417" s="22"/>
      <c r="K417" s="22"/>
      <c r="L417" s="22"/>
    </row>
    <row r="418" spans="5:12" x14ac:dyDescent="0.25">
      <c r="E418" s="22"/>
      <c r="F418" s="16"/>
      <c r="G418" s="43"/>
      <c r="H418" s="22"/>
      <c r="I418" s="22"/>
      <c r="J418" s="22"/>
      <c r="K418" s="22"/>
      <c r="L418" s="22"/>
    </row>
    <row r="419" spans="5:12" x14ac:dyDescent="0.25">
      <c r="E419" s="22"/>
      <c r="F419" s="16"/>
      <c r="G419" s="43"/>
      <c r="H419" s="22"/>
      <c r="I419" s="22"/>
      <c r="J419" s="22"/>
      <c r="K419" s="22"/>
      <c r="L419" s="22"/>
    </row>
    <row r="420" spans="5:12" x14ac:dyDescent="0.25">
      <c r="E420" s="22"/>
      <c r="F420" s="16"/>
      <c r="G420" s="43"/>
      <c r="H420" s="22"/>
      <c r="I420" s="22"/>
      <c r="J420" s="22"/>
      <c r="K420" s="22"/>
      <c r="L420" s="22"/>
    </row>
    <row r="421" spans="5:12" x14ac:dyDescent="0.25">
      <c r="E421" s="22"/>
      <c r="F421" s="16"/>
      <c r="G421" s="43"/>
      <c r="H421" s="22"/>
      <c r="I421" s="22"/>
      <c r="J421" s="22"/>
      <c r="K421" s="22"/>
      <c r="L421" s="22"/>
    </row>
    <row r="422" spans="5:12" x14ac:dyDescent="0.25">
      <c r="E422" s="22"/>
      <c r="F422" s="16"/>
      <c r="G422" s="43"/>
      <c r="H422" s="22"/>
      <c r="I422" s="22"/>
      <c r="J422" s="22"/>
      <c r="K422" s="22"/>
      <c r="L422" s="22"/>
    </row>
    <row r="423" spans="5:12" x14ac:dyDescent="0.25">
      <c r="E423" s="22"/>
      <c r="F423" s="16"/>
      <c r="G423" s="43"/>
      <c r="H423" s="22"/>
      <c r="I423" s="22"/>
      <c r="J423" s="22"/>
      <c r="K423" s="22"/>
      <c r="L423" s="22"/>
    </row>
    <row r="424" spans="5:12" x14ac:dyDescent="0.25">
      <c r="E424" s="22"/>
      <c r="F424" s="16"/>
      <c r="G424" s="43"/>
      <c r="H424" s="22"/>
      <c r="I424" s="22"/>
      <c r="J424" s="22"/>
      <c r="K424" s="22"/>
      <c r="L424" s="22"/>
    </row>
    <row r="425" spans="5:12" x14ac:dyDescent="0.25">
      <c r="E425" s="22"/>
      <c r="F425" s="16"/>
      <c r="G425" s="43"/>
      <c r="H425" s="22"/>
      <c r="I425" s="22"/>
      <c r="J425" s="22"/>
      <c r="K425" s="22"/>
      <c r="L425" s="22"/>
    </row>
    <row r="426" spans="5:12" x14ac:dyDescent="0.25">
      <c r="E426" s="22"/>
      <c r="F426" s="16"/>
      <c r="G426" s="43"/>
      <c r="H426" s="22"/>
      <c r="I426" s="22"/>
      <c r="J426" s="22"/>
      <c r="K426" s="22"/>
      <c r="L426" s="22"/>
    </row>
    <row r="427" spans="5:12" x14ac:dyDescent="0.25">
      <c r="E427" s="22"/>
      <c r="F427" s="16"/>
      <c r="G427" s="43"/>
      <c r="H427" s="22"/>
      <c r="I427" s="22"/>
      <c r="J427" s="22"/>
      <c r="K427" s="22"/>
      <c r="L427" s="22"/>
    </row>
    <row r="428" spans="5:12" x14ac:dyDescent="0.25">
      <c r="E428" s="22"/>
      <c r="F428" s="16"/>
      <c r="G428" s="43"/>
      <c r="H428" s="22"/>
      <c r="I428" s="22"/>
      <c r="J428" s="22"/>
      <c r="K428" s="22"/>
      <c r="L428" s="22"/>
    </row>
    <row r="429" spans="5:12" x14ac:dyDescent="0.25">
      <c r="E429" s="22"/>
      <c r="F429" s="16"/>
      <c r="G429" s="43"/>
      <c r="H429" s="22"/>
      <c r="I429" s="22"/>
      <c r="J429" s="22"/>
      <c r="K429" s="22"/>
      <c r="L429" s="22"/>
    </row>
    <row r="430" spans="5:12" x14ac:dyDescent="0.25">
      <c r="E430" s="22"/>
      <c r="F430" s="16"/>
      <c r="G430" s="43"/>
      <c r="H430" s="22"/>
      <c r="I430" s="22"/>
      <c r="J430" s="22"/>
      <c r="K430" s="22"/>
      <c r="L430" s="22"/>
    </row>
    <row r="431" spans="5:12" x14ac:dyDescent="0.25">
      <c r="E431" s="22"/>
      <c r="F431" s="16"/>
      <c r="G431" s="43"/>
      <c r="H431" s="22"/>
      <c r="I431" s="22"/>
      <c r="J431" s="22"/>
      <c r="K431" s="22"/>
      <c r="L431" s="22"/>
    </row>
    <row r="432" spans="5:12" x14ac:dyDescent="0.25">
      <c r="E432" s="22"/>
      <c r="F432" s="16"/>
      <c r="G432" s="43"/>
      <c r="H432" s="22"/>
      <c r="I432" s="22"/>
      <c r="J432" s="22"/>
      <c r="K432" s="22"/>
      <c r="L432" s="22"/>
    </row>
    <row r="433" spans="5:12" x14ac:dyDescent="0.25">
      <c r="E433" s="22"/>
      <c r="F433" s="16"/>
      <c r="G433" s="43"/>
      <c r="H433" s="22"/>
      <c r="I433" s="22"/>
      <c r="J433" s="22"/>
      <c r="K433" s="22"/>
      <c r="L433" s="22"/>
    </row>
    <row r="434" spans="5:12" x14ac:dyDescent="0.25">
      <c r="E434" s="22"/>
      <c r="F434" s="16"/>
      <c r="G434" s="43"/>
      <c r="H434" s="22"/>
      <c r="I434" s="22"/>
      <c r="J434" s="22"/>
      <c r="K434" s="22"/>
      <c r="L434" s="22"/>
    </row>
    <row r="435" spans="5:12" x14ac:dyDescent="0.25">
      <c r="E435" s="22"/>
      <c r="F435" s="16"/>
      <c r="G435" s="43"/>
      <c r="H435" s="22"/>
      <c r="I435" s="22"/>
      <c r="J435" s="22"/>
      <c r="K435" s="22"/>
      <c r="L435" s="22"/>
    </row>
    <row r="436" spans="5:12" x14ac:dyDescent="0.25">
      <c r="E436" s="22"/>
      <c r="F436" s="16"/>
      <c r="G436" s="43"/>
      <c r="H436" s="22"/>
      <c r="I436" s="22"/>
      <c r="J436" s="22"/>
      <c r="K436" s="22"/>
      <c r="L436" s="22"/>
    </row>
    <row r="437" spans="5:12" x14ac:dyDescent="0.25">
      <c r="E437" s="22"/>
      <c r="F437" s="16"/>
      <c r="G437" s="43"/>
      <c r="H437" s="22"/>
      <c r="I437" s="22"/>
      <c r="J437" s="22"/>
      <c r="K437" s="22"/>
      <c r="L437" s="22"/>
    </row>
    <row r="438" spans="5:12" x14ac:dyDescent="0.25">
      <c r="E438" s="22"/>
      <c r="F438" s="16"/>
      <c r="G438" s="43"/>
      <c r="H438" s="22"/>
      <c r="I438" s="22"/>
      <c r="J438" s="22"/>
      <c r="K438" s="22"/>
      <c r="L438" s="22"/>
    </row>
    <row r="439" spans="5:12" x14ac:dyDescent="0.25">
      <c r="E439" s="22"/>
      <c r="F439" s="16"/>
      <c r="G439" s="43"/>
      <c r="H439" s="22"/>
      <c r="I439" s="22"/>
      <c r="J439" s="22"/>
      <c r="K439" s="22"/>
      <c r="L439" s="22"/>
    </row>
    <row r="440" spans="5:12" x14ac:dyDescent="0.25">
      <c r="E440" s="22"/>
      <c r="F440" s="16"/>
      <c r="G440" s="43"/>
      <c r="H440" s="22"/>
      <c r="I440" s="22"/>
      <c r="J440" s="22"/>
      <c r="K440" s="22"/>
      <c r="L440" s="22"/>
    </row>
    <row r="441" spans="5:12" x14ac:dyDescent="0.25">
      <c r="E441" s="22"/>
      <c r="F441" s="16"/>
      <c r="G441" s="43"/>
      <c r="H441" s="22"/>
      <c r="I441" s="22"/>
      <c r="J441" s="22"/>
      <c r="K441" s="22"/>
      <c r="L441" s="22"/>
    </row>
    <row r="442" spans="5:12" x14ac:dyDescent="0.25">
      <c r="E442" s="22"/>
      <c r="F442" s="16"/>
      <c r="G442" s="43"/>
      <c r="H442" s="22"/>
      <c r="I442" s="22"/>
      <c r="J442" s="22"/>
      <c r="K442" s="22"/>
      <c r="L442" s="22"/>
    </row>
    <row r="443" spans="5:12" x14ac:dyDescent="0.25">
      <c r="E443" s="22"/>
      <c r="F443" s="16"/>
      <c r="G443" s="43"/>
      <c r="H443" s="22"/>
      <c r="I443" s="22"/>
      <c r="J443" s="22"/>
      <c r="K443" s="22"/>
      <c r="L443" s="22"/>
    </row>
    <row r="444" spans="5:12" x14ac:dyDescent="0.25">
      <c r="E444" s="22"/>
      <c r="F444" s="16"/>
      <c r="G444" s="43"/>
      <c r="H444" s="22"/>
      <c r="I444" s="22"/>
      <c r="J444" s="22"/>
      <c r="K444" s="22"/>
      <c r="L444" s="22"/>
    </row>
    <row r="445" spans="5:12" x14ac:dyDescent="0.25">
      <c r="E445" s="22"/>
      <c r="F445" s="16"/>
      <c r="G445" s="43"/>
      <c r="H445" s="22"/>
      <c r="I445" s="22"/>
      <c r="J445" s="22"/>
      <c r="K445" s="22"/>
      <c r="L445" s="22"/>
    </row>
    <row r="446" spans="5:12" x14ac:dyDescent="0.25">
      <c r="E446" s="22"/>
      <c r="F446" s="16"/>
      <c r="G446" s="43"/>
      <c r="H446" s="22"/>
      <c r="I446" s="22"/>
      <c r="J446" s="22"/>
      <c r="K446" s="22"/>
      <c r="L446" s="22"/>
    </row>
    <row r="447" spans="5:12" x14ac:dyDescent="0.25">
      <c r="E447" s="22"/>
      <c r="F447" s="16"/>
      <c r="G447" s="43"/>
      <c r="H447" s="22"/>
      <c r="I447" s="22"/>
      <c r="J447" s="22"/>
      <c r="K447" s="22"/>
      <c r="L447" s="22"/>
    </row>
    <row r="448" spans="5:12" x14ac:dyDescent="0.25">
      <c r="E448" s="22"/>
      <c r="F448" s="16"/>
      <c r="G448" s="43"/>
      <c r="H448" s="22"/>
      <c r="I448" s="22"/>
      <c r="J448" s="22"/>
      <c r="K448" s="22"/>
      <c r="L448" s="22"/>
    </row>
    <row r="449" spans="5:12" x14ac:dyDescent="0.25">
      <c r="E449" s="22"/>
      <c r="F449" s="16"/>
      <c r="G449" s="43"/>
      <c r="H449" s="22"/>
      <c r="I449" s="22"/>
      <c r="J449" s="22"/>
      <c r="K449" s="22"/>
      <c r="L449" s="22"/>
    </row>
    <row r="450" spans="5:12" x14ac:dyDescent="0.25">
      <c r="E450" s="22"/>
      <c r="F450" s="16"/>
      <c r="G450" s="43"/>
      <c r="H450" s="22"/>
      <c r="I450" s="22"/>
      <c r="J450" s="22"/>
      <c r="K450" s="22"/>
      <c r="L450" s="22"/>
    </row>
    <row r="451" spans="5:12" x14ac:dyDescent="0.25">
      <c r="E451" s="22"/>
      <c r="F451" s="16"/>
      <c r="G451" s="43"/>
      <c r="H451" s="22"/>
      <c r="I451" s="22"/>
      <c r="J451" s="22"/>
      <c r="K451" s="22"/>
      <c r="L451" s="22"/>
    </row>
    <row r="452" spans="5:12" x14ac:dyDescent="0.25">
      <c r="E452" s="22"/>
      <c r="F452" s="16"/>
      <c r="G452" s="43"/>
      <c r="H452" s="22"/>
      <c r="I452" s="22"/>
      <c r="J452" s="22"/>
      <c r="K452" s="22"/>
      <c r="L452" s="22"/>
    </row>
    <row r="453" spans="5:12" x14ac:dyDescent="0.25">
      <c r="E453" s="22"/>
      <c r="F453" s="16"/>
      <c r="G453" s="43"/>
      <c r="H453" s="22"/>
      <c r="I453" s="22"/>
      <c r="J453" s="22"/>
      <c r="K453" s="22"/>
      <c r="L453" s="22"/>
    </row>
    <row r="454" spans="5:12" x14ac:dyDescent="0.25">
      <c r="E454" s="22"/>
      <c r="F454" s="16"/>
      <c r="G454" s="43"/>
      <c r="H454" s="22"/>
      <c r="I454" s="22"/>
      <c r="J454" s="22"/>
      <c r="K454" s="22"/>
      <c r="L454" s="22"/>
    </row>
    <row r="455" spans="5:12" x14ac:dyDescent="0.25">
      <c r="E455" s="22"/>
      <c r="F455" s="16"/>
      <c r="G455" s="43"/>
      <c r="H455" s="22"/>
      <c r="I455" s="22"/>
      <c r="J455" s="22"/>
      <c r="K455" s="22"/>
      <c r="L455" s="22"/>
    </row>
    <row r="456" spans="5:12" x14ac:dyDescent="0.25">
      <c r="E456" s="22"/>
      <c r="F456" s="16"/>
      <c r="G456" s="43"/>
      <c r="H456" s="22"/>
      <c r="I456" s="22"/>
      <c r="J456" s="22"/>
      <c r="K456" s="22"/>
      <c r="L456" s="22"/>
    </row>
    <row r="457" spans="5:12" x14ac:dyDescent="0.25">
      <c r="E457" s="22"/>
      <c r="F457" s="16"/>
      <c r="G457" s="43"/>
      <c r="H457" s="22"/>
      <c r="I457" s="22"/>
      <c r="J457" s="22"/>
      <c r="K457" s="22"/>
      <c r="L457" s="22"/>
    </row>
    <row r="458" spans="5:12" x14ac:dyDescent="0.25">
      <c r="E458" s="22"/>
      <c r="F458" s="16"/>
      <c r="G458" s="43"/>
      <c r="H458" s="22"/>
      <c r="I458" s="22"/>
      <c r="J458" s="22"/>
      <c r="K458" s="22"/>
      <c r="L458" s="22"/>
    </row>
    <row r="459" spans="5:12" x14ac:dyDescent="0.25">
      <c r="E459" s="22"/>
      <c r="F459" s="16"/>
      <c r="G459" s="43"/>
      <c r="H459" s="22"/>
      <c r="I459" s="22"/>
      <c r="J459" s="22"/>
      <c r="K459" s="22"/>
      <c r="L459" s="22"/>
    </row>
    <row r="460" spans="5:12" x14ac:dyDescent="0.25">
      <c r="E460" s="22"/>
      <c r="F460" s="16"/>
      <c r="G460" s="43"/>
      <c r="H460" s="22"/>
      <c r="I460" s="22"/>
      <c r="J460" s="22"/>
      <c r="K460" s="22"/>
      <c r="L460" s="22"/>
    </row>
    <row r="461" spans="5:12" x14ac:dyDescent="0.25">
      <c r="E461" s="22"/>
      <c r="F461" s="16"/>
      <c r="G461" s="43"/>
      <c r="H461" s="22"/>
      <c r="I461" s="22"/>
      <c r="J461" s="22"/>
      <c r="K461" s="22"/>
      <c r="L461" s="22"/>
    </row>
    <row r="462" spans="5:12" x14ac:dyDescent="0.25">
      <c r="E462" s="22"/>
      <c r="F462" s="16"/>
      <c r="G462" s="43"/>
      <c r="H462" s="22"/>
      <c r="I462" s="22"/>
      <c r="J462" s="22"/>
      <c r="K462" s="22"/>
      <c r="L462" s="22"/>
    </row>
    <row r="463" spans="5:12" x14ac:dyDescent="0.25">
      <c r="E463" s="22"/>
      <c r="F463" s="16"/>
      <c r="G463" s="43"/>
      <c r="H463" s="22"/>
      <c r="I463" s="22"/>
      <c r="J463" s="22"/>
      <c r="K463" s="22"/>
      <c r="L463" s="22"/>
    </row>
    <row r="464" spans="5:12" x14ac:dyDescent="0.25">
      <c r="E464" s="22"/>
      <c r="F464" s="16"/>
      <c r="G464" s="43"/>
      <c r="H464" s="22"/>
      <c r="I464" s="22"/>
      <c r="J464" s="22"/>
      <c r="K464" s="22"/>
      <c r="L464" s="22"/>
    </row>
    <row r="465" spans="5:12" x14ac:dyDescent="0.25">
      <c r="E465" s="22"/>
      <c r="F465" s="16"/>
      <c r="G465" s="43"/>
      <c r="H465" s="22"/>
      <c r="I465" s="22"/>
      <c r="J465" s="22"/>
      <c r="K465" s="22"/>
      <c r="L465" s="22"/>
    </row>
    <row r="466" spans="5:12" x14ac:dyDescent="0.25">
      <c r="E466" s="22"/>
      <c r="F466" s="16"/>
      <c r="G466" s="43"/>
      <c r="H466" s="22"/>
      <c r="I466" s="22"/>
      <c r="J466" s="22"/>
      <c r="K466" s="22"/>
      <c r="L466" s="22"/>
    </row>
    <row r="467" spans="5:12" x14ac:dyDescent="0.25">
      <c r="E467" s="22"/>
      <c r="F467" s="16"/>
      <c r="G467" s="43"/>
      <c r="H467" s="22"/>
      <c r="I467" s="22"/>
      <c r="J467" s="22"/>
      <c r="K467" s="22"/>
      <c r="L467" s="22"/>
    </row>
    <row r="468" spans="5:12" x14ac:dyDescent="0.25">
      <c r="E468" s="22"/>
      <c r="F468" s="16"/>
      <c r="G468" s="43"/>
      <c r="H468" s="22"/>
      <c r="I468" s="22"/>
      <c r="J468" s="22"/>
      <c r="K468" s="22"/>
      <c r="L468" s="22"/>
    </row>
    <row r="469" spans="5:12" x14ac:dyDescent="0.25">
      <c r="E469" s="22"/>
      <c r="F469" s="16"/>
      <c r="G469" s="43"/>
      <c r="H469" s="22"/>
      <c r="I469" s="22"/>
      <c r="J469" s="22"/>
      <c r="K469" s="22"/>
      <c r="L469" s="22"/>
    </row>
    <row r="470" spans="5:12" x14ac:dyDescent="0.25">
      <c r="E470" s="22"/>
      <c r="F470" s="16"/>
      <c r="G470" s="43"/>
      <c r="H470" s="22"/>
      <c r="I470" s="22"/>
      <c r="J470" s="22"/>
      <c r="K470" s="22"/>
      <c r="L470" s="22"/>
    </row>
    <row r="471" spans="5:12" x14ac:dyDescent="0.25">
      <c r="E471" s="22"/>
      <c r="F471" s="16"/>
      <c r="G471" s="43"/>
      <c r="H471" s="22"/>
      <c r="I471" s="22"/>
      <c r="J471" s="22"/>
      <c r="K471" s="22"/>
      <c r="L471" s="22"/>
    </row>
    <row r="472" spans="5:12" x14ac:dyDescent="0.25">
      <c r="E472" s="22"/>
      <c r="F472" s="16"/>
      <c r="G472" s="43"/>
      <c r="H472" s="22"/>
      <c r="I472" s="22"/>
      <c r="J472" s="22"/>
      <c r="K472" s="22"/>
      <c r="L472" s="22"/>
    </row>
    <row r="473" spans="5:12" x14ac:dyDescent="0.25">
      <c r="E473" s="22"/>
      <c r="F473" s="16"/>
      <c r="G473" s="43"/>
      <c r="H473" s="22"/>
      <c r="I473" s="22"/>
      <c r="J473" s="22"/>
      <c r="K473" s="22"/>
      <c r="L473" s="22"/>
    </row>
    <row r="474" spans="5:12" x14ac:dyDescent="0.25">
      <c r="E474" s="22"/>
      <c r="F474" s="16"/>
      <c r="G474" s="43"/>
      <c r="H474" s="22"/>
      <c r="I474" s="22"/>
      <c r="J474" s="22"/>
      <c r="K474" s="22"/>
      <c r="L474" s="22"/>
    </row>
    <row r="475" spans="5:12" x14ac:dyDescent="0.25">
      <c r="E475" s="22"/>
      <c r="F475" s="16"/>
      <c r="G475" s="43"/>
      <c r="H475" s="22"/>
      <c r="I475" s="22"/>
      <c r="J475" s="22"/>
      <c r="K475" s="22"/>
      <c r="L475" s="22"/>
    </row>
    <row r="476" spans="5:12" x14ac:dyDescent="0.25">
      <c r="E476" s="22"/>
      <c r="F476" s="16"/>
      <c r="G476" s="43"/>
      <c r="H476" s="22"/>
      <c r="I476" s="22"/>
      <c r="J476" s="22"/>
      <c r="K476" s="22"/>
      <c r="L476" s="22"/>
    </row>
    <row r="477" spans="5:12" x14ac:dyDescent="0.25">
      <c r="E477" s="22"/>
      <c r="F477" s="16"/>
      <c r="G477" s="43"/>
      <c r="H477" s="22"/>
      <c r="I477" s="22"/>
      <c r="J477" s="22"/>
      <c r="K477" s="22"/>
      <c r="L477" s="22"/>
    </row>
    <row r="478" spans="5:12" x14ac:dyDescent="0.25">
      <c r="E478" s="22"/>
      <c r="F478" s="16"/>
      <c r="G478" s="43"/>
      <c r="H478" s="22"/>
      <c r="I478" s="22"/>
      <c r="J478" s="22"/>
      <c r="K478" s="22"/>
      <c r="L478" s="22"/>
    </row>
    <row r="479" spans="5:12" x14ac:dyDescent="0.25">
      <c r="E479" s="22"/>
      <c r="F479" s="16"/>
      <c r="G479" s="43"/>
      <c r="H479" s="22"/>
      <c r="I479" s="22"/>
      <c r="J479" s="22"/>
      <c r="K479" s="22"/>
      <c r="L479" s="22"/>
    </row>
    <row r="480" spans="5:12" x14ac:dyDescent="0.25">
      <c r="E480" s="22"/>
      <c r="F480" s="16"/>
      <c r="G480" s="43"/>
      <c r="H480" s="22"/>
      <c r="I480" s="22"/>
      <c r="J480" s="22"/>
      <c r="K480" s="22"/>
      <c r="L480" s="22"/>
    </row>
    <row r="481" spans="5:12" x14ac:dyDescent="0.25">
      <c r="E481" s="22"/>
      <c r="F481" s="16"/>
      <c r="G481" s="43"/>
      <c r="H481" s="22"/>
      <c r="I481" s="22"/>
      <c r="J481" s="22"/>
      <c r="K481" s="22"/>
      <c r="L481" s="22"/>
    </row>
    <row r="482" spans="5:12" x14ac:dyDescent="0.25">
      <c r="E482" s="22"/>
      <c r="F482" s="16"/>
      <c r="G482" s="43"/>
      <c r="H482" s="22"/>
      <c r="I482" s="22"/>
      <c r="J482" s="22"/>
      <c r="K482" s="22"/>
      <c r="L482" s="22"/>
    </row>
    <row r="483" spans="5:12" x14ac:dyDescent="0.25">
      <c r="E483" s="22"/>
      <c r="F483" s="16"/>
      <c r="G483" s="43"/>
      <c r="H483" s="22"/>
      <c r="I483" s="22"/>
      <c r="J483" s="22"/>
      <c r="K483" s="22"/>
      <c r="L483" s="22"/>
    </row>
    <row r="484" spans="5:12" x14ac:dyDescent="0.25">
      <c r="E484" s="22"/>
      <c r="F484" s="16"/>
      <c r="G484" s="43"/>
      <c r="H484" s="22"/>
      <c r="I484" s="22"/>
      <c r="J484" s="22"/>
      <c r="K484" s="22"/>
      <c r="L484" s="22"/>
    </row>
    <row r="485" spans="5:12" x14ac:dyDescent="0.25">
      <c r="E485" s="22"/>
      <c r="F485" s="16"/>
      <c r="G485" s="43"/>
      <c r="H485" s="22"/>
      <c r="I485" s="22"/>
      <c r="J485" s="22"/>
      <c r="K485" s="22"/>
      <c r="L485" s="22"/>
    </row>
    <row r="486" spans="5:12" x14ac:dyDescent="0.25">
      <c r="E486" s="22"/>
      <c r="F486" s="16"/>
      <c r="G486" s="43"/>
      <c r="H486" s="22"/>
      <c r="I486" s="22"/>
      <c r="J486" s="22"/>
      <c r="K486" s="22"/>
      <c r="L486" s="22"/>
    </row>
    <row r="487" spans="5:12" x14ac:dyDescent="0.25">
      <c r="E487" s="22"/>
      <c r="F487" s="16"/>
      <c r="G487" s="43"/>
      <c r="H487" s="22"/>
      <c r="I487" s="22"/>
      <c r="J487" s="22"/>
      <c r="K487" s="22"/>
      <c r="L487" s="22"/>
    </row>
    <row r="488" spans="5:12" x14ac:dyDescent="0.25">
      <c r="E488" s="22"/>
      <c r="F488" s="16"/>
      <c r="G488" s="43"/>
      <c r="H488" s="22"/>
      <c r="I488" s="22"/>
      <c r="J488" s="22"/>
      <c r="K488" s="22"/>
      <c r="L488" s="22"/>
    </row>
    <row r="489" spans="5:12" x14ac:dyDescent="0.25">
      <c r="E489" s="22"/>
      <c r="F489" s="16"/>
      <c r="G489" s="43"/>
      <c r="H489" s="22"/>
      <c r="I489" s="22"/>
      <c r="J489" s="22"/>
      <c r="K489" s="22"/>
      <c r="L489" s="22"/>
    </row>
    <row r="490" spans="5:12" x14ac:dyDescent="0.25">
      <c r="E490" s="22"/>
      <c r="F490" s="16"/>
      <c r="G490" s="43"/>
      <c r="H490" s="22"/>
      <c r="I490" s="22"/>
      <c r="J490" s="22"/>
      <c r="K490" s="22"/>
      <c r="L490" s="22"/>
    </row>
    <row r="491" spans="5:12" x14ac:dyDescent="0.25">
      <c r="E491" s="22"/>
      <c r="F491" s="16"/>
      <c r="G491" s="43"/>
      <c r="H491" s="22"/>
      <c r="I491" s="22"/>
      <c r="J491" s="22"/>
      <c r="K491" s="22"/>
      <c r="L491" s="22"/>
    </row>
    <row r="492" spans="5:12" x14ac:dyDescent="0.25">
      <c r="E492" s="22"/>
      <c r="F492" s="16"/>
      <c r="G492" s="43"/>
      <c r="H492" s="22"/>
      <c r="I492" s="22"/>
      <c r="J492" s="22"/>
      <c r="K492" s="22"/>
      <c r="L492" s="22"/>
    </row>
    <row r="493" spans="5:12" x14ac:dyDescent="0.25">
      <c r="E493" s="22"/>
      <c r="F493" s="16"/>
      <c r="G493" s="43"/>
      <c r="H493" s="22"/>
      <c r="I493" s="22"/>
      <c r="J493" s="22"/>
      <c r="K493" s="22"/>
      <c r="L493" s="22"/>
    </row>
    <row r="494" spans="5:12" x14ac:dyDescent="0.25">
      <c r="E494" s="22"/>
      <c r="F494" s="16"/>
      <c r="G494" s="43"/>
      <c r="H494" s="22"/>
      <c r="I494" s="22"/>
      <c r="J494" s="22"/>
      <c r="K494" s="22"/>
      <c r="L494" s="22"/>
    </row>
    <row r="495" spans="5:12" x14ac:dyDescent="0.25">
      <c r="E495" s="22"/>
      <c r="F495" s="16"/>
      <c r="G495" s="43"/>
      <c r="H495" s="22"/>
      <c r="I495" s="22"/>
      <c r="J495" s="22"/>
      <c r="K495" s="22"/>
      <c r="L495" s="22"/>
    </row>
    <row r="496" spans="5:12" x14ac:dyDescent="0.25">
      <c r="E496" s="22"/>
      <c r="F496" s="16"/>
      <c r="G496" s="43"/>
      <c r="H496" s="22"/>
      <c r="I496" s="22"/>
      <c r="J496" s="22"/>
      <c r="K496" s="22"/>
      <c r="L496" s="22"/>
    </row>
    <row r="497" spans="5:12" x14ac:dyDescent="0.25">
      <c r="E497" s="22"/>
      <c r="F497" s="16"/>
      <c r="G497" s="43"/>
      <c r="H497" s="22"/>
      <c r="I497" s="22"/>
      <c r="J497" s="22"/>
      <c r="K497" s="22"/>
      <c r="L497" s="22"/>
    </row>
    <row r="498" spans="5:12" x14ac:dyDescent="0.25">
      <c r="E498" s="22"/>
      <c r="F498" s="16"/>
      <c r="G498" s="43"/>
      <c r="H498" s="22"/>
      <c r="I498" s="22"/>
      <c r="J498" s="22"/>
      <c r="K498" s="22"/>
      <c r="L498" s="22"/>
    </row>
    <row r="499" spans="5:12" x14ac:dyDescent="0.25">
      <c r="E499" s="22"/>
      <c r="F499" s="16"/>
      <c r="G499" s="43"/>
      <c r="H499" s="22"/>
      <c r="I499" s="22"/>
      <c r="J499" s="22"/>
      <c r="K499" s="22"/>
      <c r="L499" s="22"/>
    </row>
    <row r="500" spans="5:12" x14ac:dyDescent="0.25">
      <c r="E500" s="22"/>
      <c r="F500" s="16"/>
      <c r="G500" s="43"/>
      <c r="H500" s="22"/>
      <c r="I500" s="22"/>
      <c r="J500" s="22"/>
      <c r="K500" s="22"/>
      <c r="L500" s="22"/>
    </row>
    <row r="501" spans="5:12" x14ac:dyDescent="0.25">
      <c r="E501" s="22"/>
      <c r="F501" s="16"/>
      <c r="G501" s="43"/>
      <c r="H501" s="22"/>
      <c r="I501" s="22"/>
      <c r="J501" s="22"/>
      <c r="K501" s="22"/>
      <c r="L501" s="22"/>
    </row>
    <row r="502" spans="5:12" x14ac:dyDescent="0.25">
      <c r="E502" s="22"/>
      <c r="F502" s="16"/>
      <c r="G502" s="43"/>
      <c r="H502" s="22"/>
      <c r="I502" s="22"/>
      <c r="J502" s="22"/>
      <c r="K502" s="22"/>
      <c r="L502" s="22"/>
    </row>
    <row r="503" spans="5:12" x14ac:dyDescent="0.25">
      <c r="E503" s="22"/>
      <c r="F503" s="16"/>
      <c r="G503" s="43"/>
      <c r="H503" s="22"/>
      <c r="I503" s="22"/>
      <c r="J503" s="22"/>
      <c r="K503" s="22"/>
      <c r="L503" s="22"/>
    </row>
    <row r="504" spans="5:12" x14ac:dyDescent="0.25">
      <c r="E504" s="22"/>
      <c r="F504" s="16"/>
      <c r="G504" s="43"/>
      <c r="H504" s="22"/>
      <c r="I504" s="22"/>
      <c r="J504" s="22"/>
      <c r="K504" s="22"/>
      <c r="L504" s="22"/>
    </row>
    <row r="505" spans="5:12" x14ac:dyDescent="0.25">
      <c r="E505" s="22"/>
      <c r="F505" s="16"/>
      <c r="G505" s="43"/>
      <c r="H505" s="22"/>
      <c r="I505" s="22"/>
      <c r="J505" s="22"/>
      <c r="K505" s="22"/>
      <c r="L505" s="22"/>
    </row>
    <row r="506" spans="5:12" x14ac:dyDescent="0.25">
      <c r="E506" s="22"/>
      <c r="F506" s="16"/>
      <c r="G506" s="43"/>
      <c r="H506" s="22"/>
      <c r="I506" s="22"/>
      <c r="J506" s="22"/>
      <c r="K506" s="22"/>
      <c r="L506" s="22"/>
    </row>
    <row r="507" spans="5:12" x14ac:dyDescent="0.25">
      <c r="E507" s="22"/>
      <c r="F507" s="16"/>
      <c r="G507" s="43"/>
      <c r="H507" s="22"/>
      <c r="I507" s="22"/>
      <c r="J507" s="22"/>
      <c r="K507" s="22"/>
      <c r="L507" s="22"/>
    </row>
    <row r="508" spans="5:12" x14ac:dyDescent="0.25">
      <c r="E508" s="22"/>
      <c r="F508" s="16"/>
      <c r="G508" s="43"/>
      <c r="H508" s="22"/>
      <c r="I508" s="22"/>
      <c r="J508" s="22"/>
      <c r="K508" s="22"/>
      <c r="L508" s="22"/>
    </row>
    <row r="509" spans="5:12" x14ac:dyDescent="0.25">
      <c r="E509" s="22"/>
      <c r="F509" s="16"/>
      <c r="G509" s="43"/>
      <c r="H509" s="22"/>
      <c r="I509" s="22"/>
      <c r="J509" s="22"/>
      <c r="K509" s="22"/>
      <c r="L509" s="22"/>
    </row>
    <row r="510" spans="5:12" x14ac:dyDescent="0.25">
      <c r="E510" s="22"/>
      <c r="F510" s="16"/>
      <c r="G510" s="43"/>
      <c r="H510" s="22"/>
      <c r="I510" s="22"/>
      <c r="J510" s="22"/>
      <c r="K510" s="22"/>
      <c r="L510" s="22"/>
    </row>
    <row r="511" spans="5:12" x14ac:dyDescent="0.25">
      <c r="E511" s="22"/>
      <c r="F511" s="16"/>
      <c r="G511" s="43"/>
      <c r="H511" s="22"/>
      <c r="I511" s="22"/>
      <c r="J511" s="22"/>
      <c r="K511" s="22"/>
      <c r="L511" s="22"/>
    </row>
    <row r="512" spans="5:12" x14ac:dyDescent="0.25">
      <c r="E512" s="22"/>
      <c r="F512" s="16"/>
      <c r="G512" s="43"/>
      <c r="H512" s="22"/>
      <c r="I512" s="22"/>
      <c r="J512" s="22"/>
      <c r="K512" s="22"/>
      <c r="L512" s="22"/>
    </row>
    <row r="513" spans="5:12" x14ac:dyDescent="0.25">
      <c r="E513" s="22"/>
      <c r="F513" s="16"/>
      <c r="G513" s="43"/>
      <c r="H513" s="22"/>
      <c r="I513" s="22"/>
      <c r="J513" s="22"/>
      <c r="K513" s="22"/>
      <c r="L513" s="22"/>
    </row>
    <row r="514" spans="5:12" x14ac:dyDescent="0.25">
      <c r="E514" s="22"/>
      <c r="F514" s="16"/>
      <c r="G514" s="43"/>
      <c r="H514" s="22"/>
      <c r="I514" s="22"/>
      <c r="J514" s="22"/>
      <c r="K514" s="22"/>
      <c r="L514" s="22"/>
    </row>
    <row r="515" spans="5:12" x14ac:dyDescent="0.25">
      <c r="E515" s="22"/>
      <c r="F515" s="16"/>
      <c r="G515" s="43"/>
      <c r="H515" s="22"/>
      <c r="I515" s="22"/>
      <c r="J515" s="22"/>
      <c r="K515" s="22"/>
      <c r="L515" s="22"/>
    </row>
    <row r="516" spans="5:12" x14ac:dyDescent="0.25">
      <c r="E516" s="22"/>
      <c r="F516" s="16"/>
      <c r="G516" s="43"/>
      <c r="H516" s="22"/>
      <c r="I516" s="22"/>
      <c r="J516" s="22"/>
      <c r="K516" s="22"/>
      <c r="L516" s="22"/>
    </row>
    <row r="517" spans="5:12" x14ac:dyDescent="0.25">
      <c r="E517" s="22"/>
      <c r="F517" s="16"/>
      <c r="G517" s="43"/>
      <c r="H517" s="22"/>
      <c r="I517" s="22"/>
      <c r="J517" s="22"/>
      <c r="K517" s="22"/>
      <c r="L517" s="22"/>
    </row>
    <row r="518" spans="5:12" x14ac:dyDescent="0.25">
      <c r="E518" s="22"/>
      <c r="F518" s="16"/>
      <c r="G518" s="43"/>
      <c r="H518" s="22"/>
      <c r="I518" s="22"/>
      <c r="J518" s="22"/>
      <c r="K518" s="22"/>
      <c r="L518" s="22"/>
    </row>
    <row r="519" spans="5:12" x14ac:dyDescent="0.25">
      <c r="E519" s="22"/>
      <c r="F519" s="16"/>
      <c r="G519" s="43"/>
      <c r="H519" s="22"/>
      <c r="I519" s="22"/>
      <c r="J519" s="22"/>
      <c r="K519" s="22"/>
      <c r="L519" s="22"/>
    </row>
    <row r="520" spans="5:12" x14ac:dyDescent="0.25">
      <c r="E520" s="22"/>
      <c r="F520" s="16"/>
      <c r="G520" s="43"/>
      <c r="H520" s="22"/>
      <c r="I520" s="22"/>
      <c r="J520" s="22"/>
      <c r="K520" s="22"/>
      <c r="L520" s="22"/>
    </row>
    <row r="521" spans="5:12" x14ac:dyDescent="0.25">
      <c r="E521" s="22"/>
      <c r="F521" s="16"/>
      <c r="G521" s="43"/>
      <c r="H521" s="22"/>
      <c r="I521" s="22"/>
      <c r="J521" s="22"/>
      <c r="K521" s="22"/>
      <c r="L521" s="22"/>
    </row>
    <row r="522" spans="5:12" x14ac:dyDescent="0.25">
      <c r="E522" s="22"/>
      <c r="F522" s="16"/>
      <c r="G522" s="43"/>
      <c r="H522" s="22"/>
      <c r="I522" s="22"/>
      <c r="J522" s="22"/>
      <c r="K522" s="22"/>
      <c r="L522" s="22"/>
    </row>
    <row r="523" spans="5:12" x14ac:dyDescent="0.25">
      <c r="E523" s="22"/>
      <c r="F523" s="16"/>
      <c r="G523" s="43"/>
      <c r="H523" s="22"/>
      <c r="I523" s="22"/>
      <c r="J523" s="22"/>
      <c r="K523" s="22"/>
      <c r="L523" s="22"/>
    </row>
    <row r="524" spans="5:12" x14ac:dyDescent="0.25">
      <c r="E524" s="22"/>
      <c r="F524" s="16"/>
      <c r="G524" s="43"/>
      <c r="H524" s="22"/>
      <c r="I524" s="22"/>
      <c r="J524" s="22"/>
      <c r="K524" s="22"/>
      <c r="L524" s="22"/>
    </row>
    <row r="525" spans="5:12" x14ac:dyDescent="0.25">
      <c r="E525" s="22"/>
      <c r="F525" s="16"/>
      <c r="G525" s="43"/>
      <c r="H525" s="22"/>
      <c r="I525" s="22"/>
      <c r="J525" s="22"/>
      <c r="K525" s="22"/>
      <c r="L525" s="22"/>
    </row>
    <row r="526" spans="5:12" x14ac:dyDescent="0.25">
      <c r="E526" s="22"/>
      <c r="F526" s="16"/>
      <c r="G526" s="43"/>
      <c r="H526" s="22"/>
      <c r="I526" s="22"/>
      <c r="J526" s="22"/>
      <c r="K526" s="22"/>
      <c r="L526" s="22"/>
    </row>
    <row r="527" spans="5:12" x14ac:dyDescent="0.25">
      <c r="E527" s="22"/>
      <c r="F527" s="16"/>
      <c r="G527" s="43"/>
      <c r="H527" s="22"/>
      <c r="I527" s="22"/>
      <c r="J527" s="22"/>
      <c r="K527" s="22"/>
      <c r="L527" s="22"/>
    </row>
    <row r="528" spans="5:12" x14ac:dyDescent="0.25">
      <c r="E528" s="22"/>
      <c r="F528" s="16"/>
      <c r="G528" s="43"/>
      <c r="H528" s="22"/>
      <c r="I528" s="22"/>
      <c r="J528" s="22"/>
      <c r="K528" s="22"/>
      <c r="L528" s="22"/>
    </row>
    <row r="529" spans="5:12" x14ac:dyDescent="0.25">
      <c r="E529" s="22"/>
      <c r="F529" s="16"/>
      <c r="G529" s="43"/>
      <c r="H529" s="22"/>
      <c r="I529" s="22"/>
      <c r="J529" s="22"/>
      <c r="K529" s="22"/>
      <c r="L529" s="22"/>
    </row>
    <row r="530" spans="5:12" x14ac:dyDescent="0.25">
      <c r="E530" s="22"/>
      <c r="F530" s="16"/>
      <c r="G530" s="43"/>
      <c r="H530" s="22"/>
      <c r="I530" s="22"/>
      <c r="J530" s="22"/>
      <c r="K530" s="22"/>
      <c r="L530" s="22"/>
    </row>
    <row r="531" spans="5:12" x14ac:dyDescent="0.25">
      <c r="E531" s="22"/>
      <c r="F531" s="16"/>
      <c r="G531" s="43"/>
      <c r="H531" s="22"/>
      <c r="I531" s="22"/>
      <c r="J531" s="22"/>
      <c r="K531" s="22"/>
      <c r="L531" s="22"/>
    </row>
    <row r="532" spans="5:12" x14ac:dyDescent="0.25">
      <c r="E532" s="22"/>
      <c r="F532" s="16"/>
      <c r="G532" s="43"/>
      <c r="H532" s="22"/>
      <c r="I532" s="22"/>
      <c r="J532" s="22"/>
      <c r="K532" s="22"/>
      <c r="L532" s="22"/>
    </row>
    <row r="533" spans="5:12" x14ac:dyDescent="0.25">
      <c r="E533" s="22"/>
      <c r="F533" s="16"/>
      <c r="G533" s="43"/>
      <c r="H533" s="22"/>
      <c r="I533" s="22"/>
      <c r="J533" s="22"/>
      <c r="K533" s="22"/>
      <c r="L533" s="22"/>
    </row>
    <row r="534" spans="5:12" x14ac:dyDescent="0.25">
      <c r="E534" s="22"/>
      <c r="F534" s="16"/>
      <c r="G534" s="43"/>
      <c r="H534" s="22"/>
      <c r="I534" s="22"/>
      <c r="J534" s="22"/>
      <c r="K534" s="22"/>
      <c r="L534" s="22"/>
    </row>
    <row r="535" spans="5:12" x14ac:dyDescent="0.25">
      <c r="E535" s="22"/>
      <c r="F535" s="16"/>
      <c r="G535" s="43"/>
      <c r="H535" s="22"/>
      <c r="I535" s="22"/>
      <c r="J535" s="22"/>
      <c r="K535" s="22"/>
      <c r="L535" s="22"/>
    </row>
    <row r="536" spans="5:12" x14ac:dyDescent="0.25">
      <c r="E536" s="22"/>
      <c r="F536" s="16"/>
      <c r="G536" s="43"/>
      <c r="H536" s="22"/>
      <c r="I536" s="22"/>
      <c r="J536" s="22"/>
      <c r="K536" s="22"/>
      <c r="L536" s="22"/>
    </row>
    <row r="537" spans="5:12" x14ac:dyDescent="0.25">
      <c r="E537" s="22"/>
      <c r="F537" s="16"/>
      <c r="G537" s="43"/>
      <c r="H537" s="22"/>
      <c r="I537" s="22"/>
      <c r="J537" s="22"/>
      <c r="K537" s="22"/>
      <c r="L537" s="22"/>
    </row>
    <row r="538" spans="5:12" x14ac:dyDescent="0.25">
      <c r="E538" s="22"/>
      <c r="F538" s="16"/>
      <c r="G538" s="43"/>
      <c r="H538" s="22"/>
      <c r="I538" s="22"/>
      <c r="J538" s="22"/>
      <c r="K538" s="22"/>
      <c r="L538" s="22"/>
    </row>
    <row r="539" spans="5:12" x14ac:dyDescent="0.25">
      <c r="E539" s="22"/>
      <c r="F539" s="16"/>
      <c r="G539" s="43"/>
      <c r="H539" s="22"/>
      <c r="I539" s="22"/>
      <c r="J539" s="22"/>
      <c r="K539" s="22"/>
      <c r="L539" s="22"/>
    </row>
    <row r="540" spans="5:12" x14ac:dyDescent="0.25">
      <c r="E540" s="22"/>
      <c r="F540" s="16"/>
      <c r="G540" s="43"/>
      <c r="H540" s="22"/>
      <c r="I540" s="22"/>
      <c r="J540" s="22"/>
      <c r="K540" s="22"/>
      <c r="L540" s="22"/>
    </row>
    <row r="541" spans="5:12" x14ac:dyDescent="0.25">
      <c r="E541" s="22"/>
      <c r="F541" s="16"/>
      <c r="G541" s="43"/>
      <c r="H541" s="22"/>
      <c r="I541" s="22"/>
      <c r="J541" s="22"/>
      <c r="K541" s="22"/>
      <c r="L541" s="22"/>
    </row>
    <row r="542" spans="5:12" x14ac:dyDescent="0.25">
      <c r="E542" s="22"/>
      <c r="F542" s="16"/>
      <c r="G542" s="43"/>
      <c r="H542" s="22"/>
      <c r="I542" s="22"/>
      <c r="J542" s="22"/>
      <c r="K542" s="22"/>
      <c r="L542" s="22"/>
    </row>
    <row r="543" spans="5:12" x14ac:dyDescent="0.25">
      <c r="E543" s="22"/>
      <c r="F543" s="16"/>
      <c r="G543" s="43"/>
      <c r="H543" s="22"/>
      <c r="I543" s="22"/>
      <c r="J543" s="22"/>
      <c r="K543" s="22"/>
      <c r="L543" s="22"/>
    </row>
    <row r="544" spans="5:12" x14ac:dyDescent="0.25">
      <c r="E544" s="22"/>
      <c r="F544" s="16"/>
      <c r="G544" s="43"/>
      <c r="H544" s="22"/>
      <c r="I544" s="22"/>
      <c r="J544" s="22"/>
      <c r="K544" s="22"/>
      <c r="L544" s="22"/>
    </row>
    <row r="545" spans="5:12" x14ac:dyDescent="0.25">
      <c r="E545" s="22"/>
      <c r="F545" s="16"/>
      <c r="G545" s="43"/>
      <c r="H545" s="22"/>
      <c r="I545" s="22"/>
      <c r="J545" s="22"/>
      <c r="K545" s="22"/>
      <c r="L545" s="22"/>
    </row>
    <row r="546" spans="5:12" x14ac:dyDescent="0.25">
      <c r="E546" s="22"/>
      <c r="F546" s="16"/>
      <c r="G546" s="43"/>
      <c r="H546" s="22"/>
      <c r="I546" s="22"/>
      <c r="J546" s="22"/>
      <c r="K546" s="22"/>
      <c r="L546" s="22"/>
    </row>
    <row r="547" spans="5:12" x14ac:dyDescent="0.25">
      <c r="E547" s="22"/>
      <c r="F547" s="16"/>
      <c r="G547" s="43"/>
      <c r="H547" s="22"/>
      <c r="I547" s="22"/>
      <c r="J547" s="22"/>
      <c r="K547" s="22"/>
      <c r="L547" s="22"/>
    </row>
    <row r="548" spans="5:12" x14ac:dyDescent="0.25">
      <c r="E548" s="22"/>
      <c r="F548" s="16"/>
      <c r="G548" s="43"/>
      <c r="H548" s="22"/>
      <c r="I548" s="22"/>
      <c r="J548" s="22"/>
      <c r="K548" s="22"/>
      <c r="L548" s="22"/>
    </row>
    <row r="549" spans="5:12" x14ac:dyDescent="0.25">
      <c r="E549" s="22"/>
      <c r="F549" s="16"/>
      <c r="G549" s="43"/>
      <c r="H549" s="22"/>
      <c r="I549" s="22"/>
      <c r="J549" s="22"/>
      <c r="K549" s="22"/>
      <c r="L549" s="22"/>
    </row>
    <row r="550" spans="5:12" x14ac:dyDescent="0.25">
      <c r="E550" s="22"/>
      <c r="F550" s="16"/>
      <c r="G550" s="43"/>
      <c r="H550" s="22"/>
      <c r="I550" s="22"/>
      <c r="J550" s="22"/>
      <c r="K550" s="22"/>
      <c r="L550" s="22"/>
    </row>
    <row r="551" spans="5:12" x14ac:dyDescent="0.25">
      <c r="E551" s="22"/>
      <c r="F551" s="16"/>
      <c r="G551" s="43"/>
      <c r="H551" s="22"/>
      <c r="I551" s="22"/>
      <c r="J551" s="22"/>
      <c r="K551" s="22"/>
      <c r="L551" s="22"/>
    </row>
    <row r="552" spans="5:12" x14ac:dyDescent="0.25">
      <c r="E552" s="22"/>
      <c r="F552" s="16"/>
      <c r="G552" s="43"/>
      <c r="H552" s="22"/>
      <c r="I552" s="22"/>
      <c r="J552" s="22"/>
      <c r="K552" s="22"/>
      <c r="L552" s="22"/>
    </row>
    <row r="553" spans="5:12" x14ac:dyDescent="0.25">
      <c r="E553" s="22"/>
      <c r="F553" s="16"/>
      <c r="G553" s="43"/>
      <c r="H553" s="22"/>
      <c r="I553" s="22"/>
      <c r="J553" s="22"/>
      <c r="K553" s="22"/>
      <c r="L553" s="22"/>
    </row>
    <row r="554" spans="5:12" x14ac:dyDescent="0.25">
      <c r="E554" s="22"/>
      <c r="F554" s="16"/>
      <c r="G554" s="43"/>
      <c r="H554" s="22"/>
      <c r="I554" s="22"/>
      <c r="J554" s="22"/>
      <c r="K554" s="22"/>
      <c r="L554" s="22"/>
    </row>
    <row r="555" spans="5:12" x14ac:dyDescent="0.25">
      <c r="E555" s="22"/>
      <c r="F555" s="16"/>
      <c r="G555" s="43"/>
      <c r="H555" s="22"/>
      <c r="I555" s="22"/>
      <c r="J555" s="22"/>
      <c r="K555" s="22"/>
      <c r="L555" s="22"/>
    </row>
    <row r="556" spans="5:12" x14ac:dyDescent="0.25">
      <c r="E556" s="22"/>
      <c r="F556" s="16"/>
      <c r="G556" s="43"/>
      <c r="H556" s="22"/>
      <c r="I556" s="22"/>
      <c r="J556" s="22"/>
      <c r="K556" s="22"/>
      <c r="L556" s="22"/>
    </row>
    <row r="557" spans="5:12" x14ac:dyDescent="0.25">
      <c r="E557" s="22"/>
      <c r="F557" s="16"/>
      <c r="G557" s="43"/>
      <c r="H557" s="22"/>
      <c r="I557" s="22"/>
      <c r="J557" s="22"/>
      <c r="K557" s="22"/>
      <c r="L557" s="22"/>
    </row>
    <row r="558" spans="5:12" x14ac:dyDescent="0.25">
      <c r="E558" s="22"/>
      <c r="F558" s="16"/>
      <c r="G558" s="43"/>
      <c r="H558" s="22"/>
      <c r="I558" s="22"/>
      <c r="J558" s="22"/>
      <c r="K558" s="22"/>
      <c r="L558" s="22"/>
    </row>
    <row r="559" spans="5:12" x14ac:dyDescent="0.25">
      <c r="E559" s="22"/>
      <c r="F559" s="16"/>
      <c r="G559" s="43"/>
      <c r="H559" s="22"/>
      <c r="I559" s="22"/>
      <c r="J559" s="22"/>
      <c r="K559" s="22"/>
      <c r="L559" s="22"/>
    </row>
    <row r="560" spans="5:12" x14ac:dyDescent="0.25">
      <c r="E560" s="22"/>
      <c r="F560" s="16"/>
      <c r="G560" s="43"/>
      <c r="H560" s="22"/>
      <c r="I560" s="22"/>
      <c r="J560" s="22"/>
      <c r="K560" s="22"/>
      <c r="L560" s="22"/>
    </row>
    <row r="561" spans="5:12" x14ac:dyDescent="0.25">
      <c r="E561" s="22"/>
      <c r="F561" s="16"/>
      <c r="G561" s="43"/>
      <c r="H561" s="22"/>
      <c r="I561" s="22"/>
      <c r="J561" s="22"/>
      <c r="K561" s="22"/>
      <c r="L561" s="22"/>
    </row>
    <row r="562" spans="5:12" x14ac:dyDescent="0.25">
      <c r="E562" s="22"/>
      <c r="F562" s="16"/>
      <c r="G562" s="43"/>
      <c r="H562" s="22"/>
      <c r="I562" s="22"/>
      <c r="J562" s="22"/>
      <c r="K562" s="22"/>
      <c r="L562" s="22"/>
    </row>
    <row r="563" spans="5:12" x14ac:dyDescent="0.25">
      <c r="E563" s="22"/>
      <c r="F563" s="16"/>
      <c r="G563" s="43"/>
      <c r="H563" s="22"/>
      <c r="I563" s="22"/>
      <c r="J563" s="22"/>
      <c r="K563" s="22"/>
      <c r="L563" s="22"/>
    </row>
    <row r="564" spans="5:12" x14ac:dyDescent="0.25">
      <c r="E564" s="22"/>
      <c r="F564" s="16"/>
      <c r="G564" s="43"/>
      <c r="H564" s="22"/>
      <c r="I564" s="22"/>
      <c r="J564" s="22"/>
      <c r="K564" s="22"/>
      <c r="L564" s="22"/>
    </row>
    <row r="565" spans="5:12" x14ac:dyDescent="0.25">
      <c r="E565" s="22"/>
      <c r="F565" s="16"/>
      <c r="G565" s="43"/>
      <c r="H565" s="22"/>
      <c r="I565" s="22"/>
      <c r="J565" s="22"/>
      <c r="K565" s="22"/>
      <c r="L565" s="22"/>
    </row>
    <row r="566" spans="5:12" x14ac:dyDescent="0.25">
      <c r="E566" s="22"/>
      <c r="F566" s="16"/>
      <c r="G566" s="43"/>
      <c r="H566" s="22"/>
      <c r="I566" s="22"/>
      <c r="J566" s="22"/>
      <c r="K566" s="22"/>
      <c r="L566" s="22"/>
    </row>
    <row r="567" spans="5:12" x14ac:dyDescent="0.25">
      <c r="E567" s="22"/>
      <c r="F567" s="16"/>
      <c r="G567" s="43"/>
      <c r="H567" s="22"/>
      <c r="I567" s="22"/>
      <c r="J567" s="22"/>
      <c r="K567" s="22"/>
      <c r="L567" s="22"/>
    </row>
    <row r="568" spans="5:12" x14ac:dyDescent="0.25">
      <c r="E568" s="22"/>
      <c r="F568" s="16"/>
      <c r="G568" s="43"/>
      <c r="H568" s="22"/>
      <c r="I568" s="22"/>
      <c r="J568" s="22"/>
      <c r="K568" s="22"/>
      <c r="L568" s="22"/>
    </row>
    <row r="569" spans="5:12" x14ac:dyDescent="0.25">
      <c r="E569" s="22"/>
      <c r="F569" s="16"/>
      <c r="G569" s="43"/>
      <c r="H569" s="22"/>
      <c r="I569" s="22"/>
      <c r="J569" s="22"/>
      <c r="K569" s="22"/>
      <c r="L569" s="22"/>
    </row>
    <row r="570" spans="5:12" x14ac:dyDescent="0.25">
      <c r="E570" s="22"/>
      <c r="F570" s="16"/>
      <c r="G570" s="43"/>
      <c r="H570" s="22"/>
      <c r="I570" s="22"/>
      <c r="J570" s="22"/>
      <c r="K570" s="22"/>
      <c r="L570" s="22"/>
    </row>
    <row r="571" spans="5:12" x14ac:dyDescent="0.25">
      <c r="E571" s="22"/>
      <c r="F571" s="16"/>
      <c r="G571" s="43"/>
      <c r="H571" s="22"/>
      <c r="I571" s="22"/>
      <c r="J571" s="22"/>
      <c r="K571" s="22"/>
      <c r="L571" s="22"/>
    </row>
    <row r="572" spans="5:12" x14ac:dyDescent="0.25">
      <c r="E572" s="22"/>
      <c r="F572" s="16"/>
      <c r="G572" s="43"/>
      <c r="H572" s="22"/>
      <c r="I572" s="22"/>
      <c r="J572" s="22"/>
      <c r="K572" s="22"/>
      <c r="L572" s="22"/>
    </row>
    <row r="573" spans="5:12" x14ac:dyDescent="0.25">
      <c r="E573" s="22"/>
      <c r="F573" s="16"/>
      <c r="G573" s="43"/>
      <c r="H573" s="22"/>
      <c r="I573" s="22"/>
      <c r="J573" s="22"/>
      <c r="K573" s="22"/>
      <c r="L573" s="22"/>
    </row>
    <row r="574" spans="5:12" x14ac:dyDescent="0.25">
      <c r="E574" s="22"/>
      <c r="F574" s="16"/>
      <c r="G574" s="43"/>
      <c r="H574" s="22"/>
      <c r="I574" s="22"/>
      <c r="J574" s="22"/>
      <c r="K574" s="22"/>
      <c r="L574" s="22"/>
    </row>
    <row r="575" spans="5:12" x14ac:dyDescent="0.25">
      <c r="E575" s="22"/>
      <c r="F575" s="16"/>
      <c r="G575" s="43"/>
      <c r="H575" s="22"/>
      <c r="I575" s="22"/>
      <c r="J575" s="22"/>
      <c r="K575" s="22"/>
      <c r="L575" s="22"/>
    </row>
    <row r="576" spans="5:12" x14ac:dyDescent="0.25">
      <c r="E576" s="22"/>
      <c r="F576" s="16"/>
      <c r="G576" s="43"/>
      <c r="H576" s="22"/>
      <c r="I576" s="22"/>
      <c r="J576" s="22"/>
      <c r="K576" s="22"/>
      <c r="L576" s="22"/>
    </row>
    <row r="577" spans="5:12" x14ac:dyDescent="0.25">
      <c r="E577" s="22"/>
      <c r="F577" s="16"/>
      <c r="G577" s="43"/>
      <c r="H577" s="22"/>
      <c r="I577" s="22"/>
      <c r="J577" s="22"/>
      <c r="K577" s="22"/>
      <c r="L577" s="22"/>
    </row>
    <row r="578" spans="5:12" x14ac:dyDescent="0.25">
      <c r="E578" s="22"/>
      <c r="F578" s="16"/>
      <c r="G578" s="43"/>
      <c r="H578" s="22"/>
      <c r="I578" s="22"/>
      <c r="J578" s="22"/>
      <c r="K578" s="22"/>
      <c r="L578" s="22"/>
    </row>
    <row r="579" spans="5:12" x14ac:dyDescent="0.25">
      <c r="E579" s="22"/>
      <c r="F579" s="16"/>
      <c r="G579" s="43"/>
      <c r="H579" s="22"/>
      <c r="I579" s="22"/>
      <c r="J579" s="22"/>
      <c r="K579" s="22"/>
      <c r="L579" s="22"/>
    </row>
    <row r="580" spans="5:12" x14ac:dyDescent="0.25">
      <c r="E580" s="22"/>
      <c r="F580" s="16"/>
      <c r="G580" s="43"/>
      <c r="H580" s="22"/>
      <c r="I580" s="22"/>
      <c r="J580" s="22"/>
      <c r="K580" s="22"/>
      <c r="L580" s="22"/>
    </row>
    <row r="581" spans="5:12" x14ac:dyDescent="0.25">
      <c r="E581" s="22"/>
      <c r="F581" s="16"/>
      <c r="G581" s="43"/>
      <c r="H581" s="22"/>
      <c r="I581" s="22"/>
      <c r="J581" s="22"/>
      <c r="K581" s="22"/>
      <c r="L581" s="22"/>
    </row>
    <row r="582" spans="5:12" x14ac:dyDescent="0.25">
      <c r="E582" s="22"/>
      <c r="F582" s="16"/>
      <c r="G582" s="43"/>
      <c r="H582" s="22"/>
      <c r="I582" s="22"/>
      <c r="J582" s="22"/>
      <c r="K582" s="22"/>
      <c r="L582" s="22"/>
    </row>
    <row r="583" spans="5:12" x14ac:dyDescent="0.25">
      <c r="E583" s="22"/>
      <c r="F583" s="16"/>
      <c r="G583" s="43"/>
      <c r="H583" s="22"/>
      <c r="I583" s="22"/>
      <c r="J583" s="22"/>
      <c r="K583" s="22"/>
      <c r="L583" s="22"/>
    </row>
    <row r="584" spans="5:12" x14ac:dyDescent="0.25">
      <c r="E584" s="22"/>
      <c r="F584" s="16"/>
      <c r="G584" s="43"/>
      <c r="H584" s="22"/>
      <c r="I584" s="22"/>
      <c r="J584" s="22"/>
      <c r="K584" s="22"/>
      <c r="L584" s="22"/>
    </row>
    <row r="585" spans="5:12" x14ac:dyDescent="0.25">
      <c r="E585" s="22"/>
      <c r="F585" s="16"/>
      <c r="G585" s="43"/>
      <c r="H585" s="22"/>
      <c r="I585" s="22"/>
      <c r="J585" s="22"/>
      <c r="K585" s="22"/>
      <c r="L585" s="22"/>
    </row>
    <row r="586" spans="5:12" x14ac:dyDescent="0.25">
      <c r="E586" s="22"/>
      <c r="F586" s="16"/>
      <c r="G586" s="43"/>
      <c r="H586" s="22"/>
      <c r="I586" s="22"/>
      <c r="J586" s="22"/>
      <c r="K586" s="22"/>
      <c r="L586" s="22"/>
    </row>
    <row r="587" spans="5:12" x14ac:dyDescent="0.25">
      <c r="E587" s="22"/>
      <c r="F587" s="16"/>
      <c r="G587" s="43"/>
      <c r="H587" s="22"/>
      <c r="I587" s="22"/>
      <c r="J587" s="22"/>
      <c r="K587" s="22"/>
      <c r="L587" s="22"/>
    </row>
    <row r="588" spans="5:12" x14ac:dyDescent="0.25">
      <c r="E588" s="22"/>
      <c r="F588" s="16"/>
      <c r="G588" s="43"/>
      <c r="H588" s="22"/>
      <c r="I588" s="22"/>
      <c r="J588" s="22"/>
      <c r="K588" s="22"/>
      <c r="L588" s="22"/>
    </row>
    <row r="589" spans="5:12" x14ac:dyDescent="0.25">
      <c r="E589" s="22"/>
      <c r="F589" s="16"/>
      <c r="G589" s="43"/>
      <c r="H589" s="22"/>
      <c r="I589" s="22"/>
      <c r="J589" s="22"/>
      <c r="K589" s="22"/>
      <c r="L589" s="22"/>
    </row>
    <row r="590" spans="5:12" x14ac:dyDescent="0.25">
      <c r="E590" s="22"/>
      <c r="F590" s="16"/>
      <c r="G590" s="43"/>
      <c r="H590" s="22"/>
      <c r="I590" s="22"/>
      <c r="J590" s="22"/>
      <c r="K590" s="22"/>
      <c r="L590" s="22"/>
    </row>
    <row r="591" spans="5:12" x14ac:dyDescent="0.25">
      <c r="E591" s="22"/>
      <c r="F591" s="16"/>
      <c r="G591" s="43"/>
      <c r="H591" s="22"/>
      <c r="I591" s="22"/>
      <c r="J591" s="22"/>
      <c r="K591" s="22"/>
      <c r="L591" s="22"/>
    </row>
    <row r="592" spans="5:12" x14ac:dyDescent="0.25">
      <c r="E592" s="22"/>
      <c r="F592" s="16"/>
      <c r="G592" s="43"/>
      <c r="H592" s="22"/>
      <c r="I592" s="22"/>
      <c r="J592" s="22"/>
      <c r="K592" s="22"/>
      <c r="L592" s="22"/>
    </row>
    <row r="593" spans="5:12" x14ac:dyDescent="0.25">
      <c r="E593" s="22"/>
      <c r="F593" s="16"/>
      <c r="G593" s="43"/>
      <c r="H593" s="22"/>
      <c r="I593" s="22"/>
      <c r="J593" s="22"/>
      <c r="K593" s="22"/>
      <c r="L593" s="22"/>
    </row>
    <row r="594" spans="5:12" x14ac:dyDescent="0.25">
      <c r="E594" s="22"/>
      <c r="F594" s="16"/>
      <c r="G594" s="43"/>
      <c r="H594" s="22"/>
      <c r="I594" s="22"/>
      <c r="J594" s="22"/>
      <c r="K594" s="22"/>
      <c r="L594" s="22"/>
    </row>
    <row r="595" spans="5:12" x14ac:dyDescent="0.25">
      <c r="E595" s="22"/>
      <c r="F595" s="16"/>
      <c r="G595" s="43"/>
      <c r="H595" s="22"/>
      <c r="I595" s="22"/>
      <c r="J595" s="22"/>
      <c r="K595" s="22"/>
      <c r="L595" s="22"/>
    </row>
    <row r="596" spans="5:12" x14ac:dyDescent="0.25">
      <c r="E596" s="22"/>
      <c r="F596" s="16"/>
      <c r="G596" s="43"/>
      <c r="H596" s="22"/>
      <c r="I596" s="22"/>
      <c r="J596" s="22"/>
      <c r="K596" s="22"/>
      <c r="L596" s="22"/>
    </row>
    <row r="597" spans="5:12" x14ac:dyDescent="0.25">
      <c r="E597" s="22"/>
      <c r="F597" s="16"/>
      <c r="G597" s="43"/>
      <c r="H597" s="22"/>
      <c r="I597" s="22"/>
      <c r="J597" s="22"/>
      <c r="K597" s="22"/>
      <c r="L597" s="22"/>
    </row>
    <row r="598" spans="5:12" x14ac:dyDescent="0.25">
      <c r="E598" s="22"/>
      <c r="F598" s="16"/>
      <c r="G598" s="43"/>
      <c r="H598" s="22"/>
      <c r="I598" s="22"/>
      <c r="J598" s="22"/>
      <c r="K598" s="22"/>
      <c r="L598" s="22"/>
    </row>
    <row r="599" spans="5:12" x14ac:dyDescent="0.25">
      <c r="E599" s="22"/>
      <c r="F599" s="16"/>
      <c r="G599" s="43"/>
      <c r="H599" s="22"/>
      <c r="I599" s="22"/>
      <c r="J599" s="22"/>
      <c r="K599" s="22"/>
      <c r="L599" s="22"/>
    </row>
    <row r="600" spans="5:12" x14ac:dyDescent="0.25">
      <c r="E600" s="22"/>
      <c r="F600" s="16"/>
      <c r="G600" s="43"/>
      <c r="H600" s="22"/>
      <c r="I600" s="22"/>
      <c r="J600" s="22"/>
      <c r="K600" s="22"/>
      <c r="L600" s="22"/>
    </row>
    <row r="601" spans="5:12" x14ac:dyDescent="0.25">
      <c r="E601" s="22"/>
      <c r="F601" s="16"/>
      <c r="G601" s="43"/>
      <c r="H601" s="22"/>
      <c r="I601" s="22"/>
      <c r="J601" s="22"/>
      <c r="K601" s="22"/>
      <c r="L601" s="22"/>
    </row>
    <row r="602" spans="5:12" x14ac:dyDescent="0.25">
      <c r="E602" s="22"/>
      <c r="F602" s="16"/>
      <c r="G602" s="43"/>
      <c r="H602" s="22"/>
      <c r="I602" s="22"/>
      <c r="J602" s="22"/>
      <c r="K602" s="22"/>
      <c r="L602" s="22"/>
    </row>
    <row r="603" spans="5:12" x14ac:dyDescent="0.25">
      <c r="E603" s="22"/>
      <c r="F603" s="16"/>
      <c r="G603" s="43"/>
      <c r="H603" s="22"/>
      <c r="I603" s="22"/>
      <c r="J603" s="22"/>
      <c r="K603" s="22"/>
      <c r="L603" s="22"/>
    </row>
    <row r="604" spans="5:12" x14ac:dyDescent="0.25">
      <c r="E604" s="22"/>
      <c r="F604" s="16"/>
      <c r="G604" s="43"/>
      <c r="H604" s="22"/>
      <c r="I604" s="22"/>
      <c r="J604" s="22"/>
      <c r="K604" s="22"/>
      <c r="L604" s="22"/>
    </row>
    <row r="605" spans="5:12" x14ac:dyDescent="0.25">
      <c r="E605" s="22"/>
      <c r="F605" s="16"/>
      <c r="G605" s="43"/>
      <c r="H605" s="22"/>
      <c r="I605" s="22"/>
      <c r="J605" s="22"/>
      <c r="K605" s="22"/>
      <c r="L605" s="22"/>
    </row>
    <row r="606" spans="5:12" x14ac:dyDescent="0.25">
      <c r="E606" s="22"/>
      <c r="F606" s="16"/>
      <c r="G606" s="43"/>
      <c r="H606" s="22"/>
      <c r="I606" s="22"/>
      <c r="J606" s="22"/>
      <c r="K606" s="22"/>
      <c r="L606" s="22"/>
    </row>
    <row r="607" spans="5:12" x14ac:dyDescent="0.25">
      <c r="E607" s="22"/>
      <c r="F607" s="16"/>
      <c r="G607" s="43"/>
      <c r="H607" s="22"/>
      <c r="I607" s="22"/>
      <c r="J607" s="22"/>
      <c r="K607" s="22"/>
      <c r="L607" s="22"/>
    </row>
    <row r="608" spans="5:12" x14ac:dyDescent="0.25">
      <c r="E608" s="22"/>
      <c r="F608" s="16"/>
      <c r="G608" s="43"/>
      <c r="H608" s="22"/>
      <c r="I608" s="22"/>
      <c r="J608" s="22"/>
      <c r="K608" s="22"/>
      <c r="L608" s="22"/>
    </row>
    <row r="609" spans="5:12" x14ac:dyDescent="0.25">
      <c r="E609" s="22"/>
      <c r="F609" s="16"/>
      <c r="G609" s="43"/>
      <c r="H609" s="22"/>
      <c r="I609" s="22"/>
      <c r="J609" s="22"/>
      <c r="K609" s="22"/>
      <c r="L609" s="22"/>
    </row>
    <row r="610" spans="5:12" x14ac:dyDescent="0.25">
      <c r="E610" s="22"/>
      <c r="F610" s="16"/>
      <c r="G610" s="43"/>
      <c r="H610" s="22"/>
      <c r="I610" s="22"/>
      <c r="J610" s="22"/>
      <c r="K610" s="22"/>
      <c r="L610" s="22"/>
    </row>
    <row r="611" spans="5:12" x14ac:dyDescent="0.25">
      <c r="E611" s="22"/>
      <c r="F611" s="16"/>
      <c r="G611" s="43"/>
      <c r="H611" s="22"/>
      <c r="I611" s="22"/>
      <c r="J611" s="22"/>
      <c r="K611" s="22"/>
      <c r="L611" s="22"/>
    </row>
    <row r="612" spans="5:12" x14ac:dyDescent="0.25">
      <c r="E612" s="22"/>
      <c r="F612" s="16"/>
      <c r="G612" s="43"/>
      <c r="H612" s="22"/>
      <c r="I612" s="22"/>
      <c r="J612" s="22"/>
      <c r="K612" s="22"/>
      <c r="L612" s="22"/>
    </row>
    <row r="613" spans="5:12" x14ac:dyDescent="0.25">
      <c r="E613" s="22"/>
      <c r="F613" s="16"/>
      <c r="G613" s="43"/>
      <c r="H613" s="22"/>
      <c r="I613" s="22"/>
      <c r="J613" s="22"/>
      <c r="K613" s="22"/>
      <c r="L613" s="22"/>
    </row>
    <row r="614" spans="5:12" x14ac:dyDescent="0.25">
      <c r="E614" s="22"/>
      <c r="F614" s="16"/>
      <c r="G614" s="43"/>
      <c r="H614" s="22"/>
      <c r="I614" s="22"/>
      <c r="J614" s="22"/>
      <c r="K614" s="22"/>
      <c r="L614" s="22"/>
    </row>
    <row r="615" spans="5:12" x14ac:dyDescent="0.25">
      <c r="E615" s="22"/>
      <c r="F615" s="16"/>
      <c r="G615" s="43"/>
      <c r="H615" s="22"/>
      <c r="I615" s="22"/>
      <c r="J615" s="22"/>
      <c r="K615" s="22"/>
      <c r="L615" s="22"/>
    </row>
    <row r="616" spans="5:12" x14ac:dyDescent="0.25">
      <c r="E616" s="22"/>
      <c r="F616" s="16"/>
      <c r="G616" s="43"/>
      <c r="H616" s="22"/>
      <c r="I616" s="22"/>
      <c r="J616" s="22"/>
      <c r="K616" s="22"/>
      <c r="L616" s="22"/>
    </row>
    <row r="617" spans="5:12" x14ac:dyDescent="0.25">
      <c r="E617" s="22"/>
      <c r="F617" s="16"/>
      <c r="G617" s="43"/>
      <c r="H617" s="22"/>
      <c r="I617" s="22"/>
      <c r="J617" s="22"/>
      <c r="K617" s="22"/>
      <c r="L617" s="22"/>
    </row>
    <row r="618" spans="5:12" x14ac:dyDescent="0.25">
      <c r="E618" s="22"/>
      <c r="F618" s="16"/>
      <c r="G618" s="43"/>
      <c r="H618" s="22"/>
      <c r="I618" s="22"/>
      <c r="J618" s="22"/>
      <c r="K618" s="22"/>
      <c r="L618" s="22"/>
    </row>
    <row r="619" spans="5:12" x14ac:dyDescent="0.25">
      <c r="E619" s="22"/>
      <c r="F619" s="16"/>
      <c r="G619" s="43"/>
      <c r="H619" s="22"/>
      <c r="I619" s="22"/>
      <c r="J619" s="22"/>
      <c r="K619" s="22"/>
      <c r="L619" s="22"/>
    </row>
    <row r="620" spans="5:12" x14ac:dyDescent="0.25">
      <c r="E620" s="22"/>
      <c r="F620" s="16"/>
      <c r="G620" s="43"/>
      <c r="H620" s="22"/>
      <c r="I620" s="22"/>
      <c r="J620" s="22"/>
      <c r="K620" s="22"/>
      <c r="L620" s="22"/>
    </row>
    <row r="621" spans="5:12" x14ac:dyDescent="0.25">
      <c r="E621" s="22"/>
      <c r="F621" s="16"/>
      <c r="G621" s="43"/>
      <c r="H621" s="22"/>
      <c r="I621" s="22"/>
      <c r="J621" s="22"/>
      <c r="K621" s="22"/>
      <c r="L621" s="22"/>
    </row>
    <row r="622" spans="5:12" x14ac:dyDescent="0.25">
      <c r="E622" s="22"/>
      <c r="F622" s="16"/>
      <c r="G622" s="43"/>
      <c r="H622" s="22"/>
      <c r="I622" s="22"/>
      <c r="J622" s="22"/>
      <c r="K622" s="22"/>
      <c r="L622" s="22"/>
    </row>
    <row r="623" spans="5:12" x14ac:dyDescent="0.25">
      <c r="E623" s="22"/>
      <c r="F623" s="16"/>
      <c r="G623" s="43"/>
      <c r="H623" s="22"/>
      <c r="I623" s="22"/>
      <c r="J623" s="22"/>
      <c r="K623" s="22"/>
      <c r="L623" s="22"/>
    </row>
    <row r="624" spans="5:12" x14ac:dyDescent="0.25">
      <c r="E624" s="22"/>
      <c r="F624" s="16"/>
      <c r="G624" s="43"/>
      <c r="H624" s="22"/>
      <c r="I624" s="22"/>
      <c r="J624" s="22"/>
      <c r="K624" s="22"/>
      <c r="L624" s="22"/>
    </row>
    <row r="625" spans="5:12" x14ac:dyDescent="0.25">
      <c r="E625" s="22"/>
      <c r="F625" s="16"/>
      <c r="G625" s="43"/>
      <c r="H625" s="22"/>
      <c r="I625" s="22"/>
      <c r="J625" s="22"/>
      <c r="K625" s="22"/>
      <c r="L625" s="22"/>
    </row>
    <row r="626" spans="5:12" x14ac:dyDescent="0.25">
      <c r="E626" s="22"/>
      <c r="F626" s="16"/>
      <c r="G626" s="43"/>
      <c r="H626" s="22"/>
      <c r="I626" s="22"/>
      <c r="J626" s="22"/>
      <c r="K626" s="22"/>
      <c r="L626" s="22"/>
    </row>
    <row r="627" spans="5:12" x14ac:dyDescent="0.25">
      <c r="E627" s="22"/>
      <c r="F627" s="16"/>
      <c r="G627" s="43"/>
      <c r="H627" s="22"/>
      <c r="I627" s="22"/>
      <c r="J627" s="22"/>
      <c r="K627" s="22"/>
      <c r="L627" s="22"/>
    </row>
    <row r="628" spans="5:12" x14ac:dyDescent="0.25">
      <c r="E628" s="22"/>
      <c r="F628" s="16"/>
      <c r="G628" s="43"/>
      <c r="H628" s="22"/>
      <c r="I628" s="22"/>
      <c r="J628" s="22"/>
      <c r="K628" s="22"/>
      <c r="L628" s="22"/>
    </row>
    <row r="629" spans="5:12" x14ac:dyDescent="0.25">
      <c r="E629" s="22"/>
      <c r="F629" s="16"/>
      <c r="G629" s="43"/>
      <c r="H629" s="22"/>
      <c r="I629" s="22"/>
      <c r="J629" s="22"/>
      <c r="K629" s="22"/>
      <c r="L629" s="22"/>
    </row>
    <row r="630" spans="5:12" x14ac:dyDescent="0.25">
      <c r="E630" s="22"/>
      <c r="F630" s="16"/>
      <c r="G630" s="43"/>
      <c r="H630" s="22"/>
      <c r="I630" s="22"/>
      <c r="J630" s="22"/>
      <c r="K630" s="22"/>
      <c r="L630" s="22"/>
    </row>
    <row r="631" spans="5:12" x14ac:dyDescent="0.25">
      <c r="E631" s="22"/>
      <c r="F631" s="16"/>
      <c r="G631" s="43"/>
      <c r="H631" s="22"/>
      <c r="I631" s="22"/>
      <c r="J631" s="22"/>
      <c r="K631" s="22"/>
      <c r="L631" s="22"/>
    </row>
    <row r="632" spans="5:12" x14ac:dyDescent="0.25">
      <c r="E632" s="22"/>
      <c r="F632" s="16"/>
      <c r="G632" s="43"/>
      <c r="H632" s="22"/>
      <c r="I632" s="22"/>
      <c r="J632" s="22"/>
      <c r="K632" s="22"/>
      <c r="L632" s="22"/>
    </row>
    <row r="633" spans="5:12" x14ac:dyDescent="0.25">
      <c r="E633" s="22"/>
      <c r="F633" s="16"/>
      <c r="G633" s="43"/>
      <c r="H633" s="22"/>
      <c r="I633" s="22"/>
      <c r="J633" s="22"/>
      <c r="K633" s="22"/>
      <c r="L633" s="22"/>
    </row>
    <row r="634" spans="5:12" x14ac:dyDescent="0.25">
      <c r="E634" s="22"/>
      <c r="F634" s="16"/>
      <c r="G634" s="43"/>
      <c r="H634" s="22"/>
      <c r="I634" s="22"/>
      <c r="J634" s="22"/>
      <c r="K634" s="22"/>
      <c r="L634" s="22"/>
    </row>
    <row r="635" spans="5:12" x14ac:dyDescent="0.25">
      <c r="E635" s="22"/>
      <c r="F635" s="16"/>
      <c r="G635" s="43"/>
      <c r="H635" s="22"/>
      <c r="I635" s="22"/>
      <c r="J635" s="22"/>
      <c r="K635" s="22"/>
      <c r="L635" s="22"/>
    </row>
    <row r="636" spans="5:12" x14ac:dyDescent="0.25">
      <c r="E636" s="22"/>
      <c r="F636" s="16"/>
      <c r="G636" s="43"/>
      <c r="H636" s="22"/>
      <c r="I636" s="22"/>
      <c r="J636" s="22"/>
      <c r="K636" s="22"/>
      <c r="L636" s="22"/>
    </row>
    <row r="637" spans="5:12" x14ac:dyDescent="0.25">
      <c r="E637" s="22"/>
      <c r="F637" s="16"/>
      <c r="G637" s="43"/>
      <c r="H637" s="22"/>
      <c r="I637" s="22"/>
      <c r="J637" s="22"/>
      <c r="K637" s="22"/>
      <c r="L637" s="22"/>
    </row>
    <row r="638" spans="5:12" x14ac:dyDescent="0.25">
      <c r="E638" s="22"/>
      <c r="F638" s="16"/>
      <c r="G638" s="43"/>
      <c r="H638" s="22"/>
      <c r="I638" s="22"/>
      <c r="J638" s="22"/>
      <c r="K638" s="22"/>
      <c r="L638" s="22"/>
    </row>
    <row r="639" spans="5:12" x14ac:dyDescent="0.25">
      <c r="E639" s="22"/>
      <c r="F639" s="16"/>
      <c r="G639" s="43"/>
      <c r="H639" s="22"/>
      <c r="I639" s="22"/>
      <c r="J639" s="22"/>
      <c r="K639" s="22"/>
      <c r="L639" s="22"/>
    </row>
    <row r="640" spans="5:12" x14ac:dyDescent="0.25">
      <c r="E640" s="22"/>
      <c r="F640" s="16"/>
      <c r="G640" s="43"/>
      <c r="H640" s="22"/>
      <c r="I640" s="22"/>
      <c r="J640" s="22"/>
      <c r="K640" s="22"/>
      <c r="L640" s="22"/>
    </row>
    <row r="641" spans="5:12" x14ac:dyDescent="0.25">
      <c r="E641" s="22"/>
      <c r="F641" s="16"/>
      <c r="G641" s="43"/>
      <c r="H641" s="22"/>
      <c r="I641" s="22"/>
      <c r="J641" s="22"/>
      <c r="K641" s="22"/>
      <c r="L641" s="22"/>
    </row>
    <row r="642" spans="5:12" x14ac:dyDescent="0.25">
      <c r="E642" s="22"/>
      <c r="F642" s="16"/>
      <c r="G642" s="43"/>
      <c r="H642" s="22"/>
      <c r="I642" s="22"/>
      <c r="J642" s="22"/>
      <c r="K642" s="22"/>
      <c r="L642" s="22"/>
    </row>
    <row r="643" spans="5:12" x14ac:dyDescent="0.25">
      <c r="E643" s="22"/>
      <c r="F643" s="16"/>
      <c r="G643" s="43"/>
      <c r="H643" s="22"/>
      <c r="I643" s="22"/>
      <c r="J643" s="22"/>
      <c r="K643" s="22"/>
      <c r="L643" s="22"/>
    </row>
    <row r="644" spans="5:12" x14ac:dyDescent="0.25">
      <c r="E644" s="22"/>
      <c r="F644" s="16"/>
      <c r="G644" s="43"/>
      <c r="H644" s="22"/>
      <c r="I644" s="22"/>
      <c r="J644" s="22"/>
      <c r="K644" s="22"/>
      <c r="L644" s="22"/>
    </row>
    <row r="645" spans="5:12" x14ac:dyDescent="0.25">
      <c r="E645" s="22"/>
      <c r="F645" s="16"/>
      <c r="G645" s="43"/>
      <c r="H645" s="22"/>
      <c r="I645" s="22"/>
      <c r="J645" s="22"/>
      <c r="K645" s="22"/>
      <c r="L645" s="22"/>
    </row>
    <row r="646" spans="5:12" x14ac:dyDescent="0.25">
      <c r="E646" s="22"/>
      <c r="F646" s="16"/>
      <c r="G646" s="43"/>
      <c r="H646" s="22"/>
      <c r="I646" s="22"/>
      <c r="J646" s="22"/>
      <c r="K646" s="22"/>
      <c r="L646" s="22"/>
    </row>
    <row r="647" spans="5:12" x14ac:dyDescent="0.25">
      <c r="E647" s="22"/>
      <c r="F647" s="16"/>
      <c r="G647" s="43"/>
      <c r="H647" s="22"/>
      <c r="I647" s="22"/>
      <c r="J647" s="22"/>
      <c r="K647" s="22"/>
      <c r="L647" s="22"/>
    </row>
    <row r="648" spans="5:12" x14ac:dyDescent="0.25">
      <c r="E648" s="22"/>
      <c r="F648" s="16"/>
      <c r="G648" s="43"/>
      <c r="H648" s="22"/>
      <c r="I648" s="22"/>
      <c r="J648" s="22"/>
      <c r="K648" s="22"/>
      <c r="L648" s="22"/>
    </row>
    <row r="649" spans="5:12" x14ac:dyDescent="0.25">
      <c r="E649" s="22"/>
      <c r="F649" s="16"/>
      <c r="G649" s="43"/>
      <c r="H649" s="22"/>
      <c r="I649" s="22"/>
      <c r="J649" s="22"/>
      <c r="K649" s="22"/>
      <c r="L649" s="22"/>
    </row>
    <row r="650" spans="5:12" x14ac:dyDescent="0.25">
      <c r="E650" s="22"/>
      <c r="F650" s="16"/>
      <c r="G650" s="43"/>
      <c r="H650" s="22"/>
      <c r="I650" s="22"/>
      <c r="J650" s="22"/>
      <c r="K650" s="22"/>
      <c r="L650" s="22"/>
    </row>
    <row r="651" spans="5:12" x14ac:dyDescent="0.25">
      <c r="E651" s="22"/>
      <c r="F651" s="16"/>
      <c r="G651" s="43"/>
      <c r="H651" s="22"/>
      <c r="I651" s="22"/>
      <c r="J651" s="22"/>
      <c r="K651" s="22"/>
      <c r="L651" s="22"/>
    </row>
    <row r="652" spans="5:12" x14ac:dyDescent="0.25">
      <c r="E652" s="22"/>
      <c r="F652" s="16"/>
      <c r="G652" s="43"/>
      <c r="H652" s="22"/>
      <c r="I652" s="22"/>
      <c r="J652" s="22"/>
      <c r="K652" s="22"/>
      <c r="L652" s="22"/>
    </row>
    <row r="653" spans="5:12" x14ac:dyDescent="0.25">
      <c r="E653" s="22"/>
      <c r="F653" s="16"/>
      <c r="G653" s="43"/>
      <c r="H653" s="22"/>
      <c r="I653" s="22"/>
      <c r="J653" s="22"/>
      <c r="K653" s="22"/>
      <c r="L653" s="22"/>
    </row>
    <row r="654" spans="5:12" x14ac:dyDescent="0.25">
      <c r="E654" s="22"/>
      <c r="F654" s="16"/>
      <c r="G654" s="43"/>
      <c r="H654" s="22"/>
      <c r="I654" s="22"/>
      <c r="J654" s="22"/>
      <c r="K654" s="22"/>
      <c r="L654" s="22"/>
    </row>
    <row r="655" spans="5:12" x14ac:dyDescent="0.25">
      <c r="E655" s="22"/>
      <c r="F655" s="16"/>
      <c r="G655" s="43"/>
      <c r="H655" s="22"/>
      <c r="I655" s="22"/>
      <c r="J655" s="22"/>
      <c r="K655" s="22"/>
      <c r="L655" s="22"/>
    </row>
    <row r="656" spans="5:12" x14ac:dyDescent="0.25">
      <c r="E656" s="22"/>
      <c r="F656" s="16"/>
      <c r="G656" s="43"/>
      <c r="H656" s="22"/>
      <c r="I656" s="22"/>
      <c r="J656" s="22"/>
      <c r="K656" s="22"/>
      <c r="L656" s="22"/>
    </row>
    <row r="657" spans="5:12" x14ac:dyDescent="0.25">
      <c r="E657" s="22"/>
      <c r="F657" s="16"/>
      <c r="G657" s="43"/>
      <c r="H657" s="22"/>
      <c r="I657" s="22"/>
      <c r="J657" s="22"/>
      <c r="K657" s="22"/>
      <c r="L657" s="22"/>
    </row>
    <row r="658" spans="5:12" x14ac:dyDescent="0.25">
      <c r="E658" s="22"/>
      <c r="F658" s="16"/>
      <c r="G658" s="43"/>
      <c r="H658" s="22"/>
      <c r="I658" s="22"/>
      <c r="J658" s="22"/>
      <c r="K658" s="22"/>
      <c r="L658" s="22"/>
    </row>
    <row r="659" spans="5:12" x14ac:dyDescent="0.25">
      <c r="E659" s="22"/>
      <c r="F659" s="16"/>
      <c r="G659" s="43"/>
      <c r="H659" s="22"/>
      <c r="I659" s="22"/>
      <c r="J659" s="22"/>
      <c r="K659" s="22"/>
      <c r="L659" s="22"/>
    </row>
    <row r="660" spans="5:12" x14ac:dyDescent="0.25">
      <c r="E660" s="22"/>
      <c r="F660" s="16"/>
      <c r="G660" s="43"/>
      <c r="H660" s="22"/>
      <c r="I660" s="22"/>
      <c r="J660" s="22"/>
      <c r="K660" s="22"/>
      <c r="L660" s="22"/>
    </row>
    <row r="661" spans="5:12" x14ac:dyDescent="0.25">
      <c r="E661" s="22"/>
      <c r="F661" s="16"/>
      <c r="G661" s="43"/>
      <c r="H661" s="22"/>
      <c r="I661" s="22"/>
      <c r="J661" s="22"/>
      <c r="K661" s="22"/>
      <c r="L661" s="22"/>
    </row>
    <row r="662" spans="5:12" x14ac:dyDescent="0.25">
      <c r="E662" s="22"/>
      <c r="F662" s="16"/>
      <c r="G662" s="43"/>
      <c r="H662" s="22"/>
      <c r="I662" s="22"/>
      <c r="J662" s="22"/>
      <c r="K662" s="22"/>
      <c r="L662" s="22"/>
    </row>
    <row r="663" spans="5:12" x14ac:dyDescent="0.25">
      <c r="E663" s="22"/>
      <c r="F663" s="16"/>
      <c r="G663" s="43"/>
      <c r="H663" s="22"/>
      <c r="I663" s="22"/>
      <c r="J663" s="22"/>
      <c r="K663" s="22"/>
      <c r="L663" s="22"/>
    </row>
    <row r="664" spans="5:12" x14ac:dyDescent="0.25">
      <c r="E664" s="22"/>
      <c r="F664" s="16"/>
      <c r="G664" s="43"/>
      <c r="H664" s="22"/>
      <c r="I664" s="22"/>
      <c r="J664" s="22"/>
      <c r="K664" s="22"/>
      <c r="L664" s="22"/>
    </row>
    <row r="665" spans="5:12" x14ac:dyDescent="0.25">
      <c r="E665" s="22"/>
      <c r="F665" s="16"/>
      <c r="G665" s="43"/>
      <c r="H665" s="22"/>
      <c r="I665" s="22"/>
      <c r="J665" s="22"/>
      <c r="K665" s="22"/>
      <c r="L665" s="22"/>
    </row>
    <row r="666" spans="5:12" x14ac:dyDescent="0.25">
      <c r="E666" s="22"/>
      <c r="F666" s="16"/>
      <c r="G666" s="43"/>
      <c r="H666" s="22"/>
      <c r="I666" s="22"/>
      <c r="J666" s="22"/>
      <c r="K666" s="22"/>
      <c r="L666" s="22"/>
    </row>
    <row r="667" spans="5:12" x14ac:dyDescent="0.25">
      <c r="E667" s="22"/>
      <c r="F667" s="16"/>
      <c r="G667" s="43"/>
      <c r="H667" s="22"/>
      <c r="I667" s="22"/>
      <c r="J667" s="22"/>
      <c r="K667" s="22"/>
      <c r="L667" s="22"/>
    </row>
    <row r="668" spans="5:12" x14ac:dyDescent="0.25">
      <c r="E668" s="22"/>
      <c r="F668" s="16"/>
      <c r="G668" s="43"/>
      <c r="H668" s="22"/>
      <c r="I668" s="22"/>
      <c r="J668" s="22"/>
      <c r="K668" s="22"/>
      <c r="L668" s="22"/>
    </row>
    <row r="669" spans="5:12" x14ac:dyDescent="0.25">
      <c r="E669" s="22"/>
      <c r="F669" s="16"/>
      <c r="G669" s="43"/>
      <c r="H669" s="22"/>
      <c r="I669" s="22"/>
      <c r="J669" s="22"/>
      <c r="K669" s="22"/>
      <c r="L669" s="22"/>
    </row>
    <row r="670" spans="5:12" x14ac:dyDescent="0.25">
      <c r="E670" s="22"/>
      <c r="F670" s="16"/>
      <c r="G670" s="43"/>
      <c r="H670" s="22"/>
      <c r="I670" s="22"/>
      <c r="J670" s="22"/>
      <c r="K670" s="22"/>
      <c r="L670" s="22"/>
    </row>
    <row r="671" spans="5:12" x14ac:dyDescent="0.25">
      <c r="E671" s="22"/>
      <c r="F671" s="16"/>
      <c r="G671" s="43"/>
      <c r="H671" s="22"/>
      <c r="I671" s="22"/>
      <c r="J671" s="22"/>
      <c r="K671" s="22"/>
      <c r="L671" s="22"/>
    </row>
    <row r="672" spans="5:12" x14ac:dyDescent="0.25">
      <c r="E672" s="22"/>
      <c r="F672" s="16"/>
      <c r="G672" s="43"/>
      <c r="H672" s="22"/>
      <c r="I672" s="22"/>
      <c r="J672" s="22"/>
      <c r="K672" s="22"/>
      <c r="L672" s="22"/>
    </row>
    <row r="673" spans="5:12" x14ac:dyDescent="0.25">
      <c r="E673" s="22"/>
      <c r="F673" s="16"/>
      <c r="G673" s="43"/>
      <c r="H673" s="22"/>
      <c r="I673" s="22"/>
      <c r="J673" s="22"/>
      <c r="K673" s="22"/>
      <c r="L673" s="22"/>
    </row>
    <row r="674" spans="5:12" x14ac:dyDescent="0.25">
      <c r="E674" s="22"/>
      <c r="F674" s="16"/>
      <c r="G674" s="43"/>
      <c r="H674" s="22"/>
      <c r="I674" s="22"/>
      <c r="J674" s="22"/>
      <c r="K674" s="22"/>
      <c r="L674" s="22"/>
    </row>
    <row r="675" spans="5:12" x14ac:dyDescent="0.25">
      <c r="E675" s="22"/>
      <c r="F675" s="16"/>
      <c r="G675" s="43"/>
      <c r="H675" s="22"/>
      <c r="I675" s="22"/>
      <c r="J675" s="22"/>
      <c r="K675" s="22"/>
      <c r="L675" s="22"/>
    </row>
    <row r="676" spans="5:12" x14ac:dyDescent="0.25">
      <c r="E676" s="22"/>
      <c r="F676" s="16"/>
      <c r="G676" s="43"/>
      <c r="H676" s="22"/>
      <c r="I676" s="22"/>
      <c r="J676" s="22"/>
      <c r="K676" s="22"/>
      <c r="L676" s="22"/>
    </row>
    <row r="677" spans="5:12" x14ac:dyDescent="0.25">
      <c r="E677" s="22"/>
      <c r="F677" s="16"/>
      <c r="G677" s="43"/>
      <c r="H677" s="22"/>
      <c r="I677" s="22"/>
      <c r="J677" s="22"/>
      <c r="K677" s="22"/>
      <c r="L677" s="22"/>
    </row>
    <row r="678" spans="5:12" x14ac:dyDescent="0.25">
      <c r="E678" s="22"/>
      <c r="F678" s="16"/>
      <c r="G678" s="43"/>
      <c r="H678" s="22"/>
      <c r="I678" s="22"/>
      <c r="J678" s="22"/>
      <c r="K678" s="22"/>
      <c r="L678" s="22"/>
    </row>
    <row r="679" spans="5:12" x14ac:dyDescent="0.25">
      <c r="E679" s="22"/>
      <c r="F679" s="16"/>
      <c r="G679" s="43"/>
      <c r="H679" s="22"/>
      <c r="I679" s="22"/>
      <c r="J679" s="22"/>
      <c r="K679" s="22"/>
      <c r="L679" s="22"/>
    </row>
    <row r="680" spans="5:12" x14ac:dyDescent="0.25">
      <c r="E680" s="22"/>
      <c r="F680" s="16"/>
      <c r="G680" s="43"/>
      <c r="H680" s="22"/>
      <c r="I680" s="22"/>
      <c r="J680" s="22"/>
      <c r="K680" s="22"/>
      <c r="L680" s="22"/>
    </row>
    <row r="681" spans="5:12" x14ac:dyDescent="0.25">
      <c r="E681" s="22"/>
      <c r="F681" s="16"/>
      <c r="G681" s="43"/>
      <c r="H681" s="22"/>
      <c r="I681" s="22"/>
      <c r="J681" s="22"/>
      <c r="K681" s="22"/>
      <c r="L681" s="22"/>
    </row>
    <row r="682" spans="5:12" x14ac:dyDescent="0.25">
      <c r="E682" s="22"/>
      <c r="F682" s="16"/>
      <c r="G682" s="43"/>
      <c r="H682" s="22"/>
      <c r="I682" s="22"/>
      <c r="J682" s="22"/>
      <c r="K682" s="22"/>
      <c r="L682" s="22"/>
    </row>
    <row r="683" spans="5:12" x14ac:dyDescent="0.25">
      <c r="E683" s="22"/>
      <c r="F683" s="16"/>
      <c r="G683" s="43"/>
      <c r="H683" s="22"/>
      <c r="I683" s="22"/>
      <c r="J683" s="22"/>
      <c r="K683" s="22"/>
      <c r="L683" s="22"/>
    </row>
    <row r="684" spans="5:12" x14ac:dyDescent="0.25">
      <c r="E684" s="22"/>
      <c r="F684" s="16"/>
      <c r="G684" s="43"/>
      <c r="H684" s="22"/>
      <c r="I684" s="22"/>
      <c r="J684" s="22"/>
      <c r="K684" s="22"/>
      <c r="L684" s="22"/>
    </row>
    <row r="685" spans="5:12" x14ac:dyDescent="0.25">
      <c r="E685" s="22"/>
      <c r="F685" s="16"/>
      <c r="G685" s="43"/>
      <c r="H685" s="22"/>
      <c r="I685" s="22"/>
      <c r="J685" s="22"/>
      <c r="K685" s="22"/>
      <c r="L685" s="22"/>
    </row>
    <row r="686" spans="5:12" x14ac:dyDescent="0.25">
      <c r="E686" s="22"/>
      <c r="F686" s="16"/>
      <c r="G686" s="43"/>
      <c r="H686" s="22"/>
      <c r="I686" s="22"/>
      <c r="J686" s="22"/>
      <c r="K686" s="22"/>
      <c r="L686" s="22"/>
    </row>
    <row r="687" spans="5:12" x14ac:dyDescent="0.25">
      <c r="E687" s="22"/>
      <c r="F687" s="16"/>
      <c r="G687" s="43"/>
      <c r="H687" s="22"/>
      <c r="I687" s="22"/>
      <c r="J687" s="22"/>
      <c r="K687" s="22"/>
      <c r="L687" s="22"/>
    </row>
    <row r="688" spans="5:12" x14ac:dyDescent="0.25">
      <c r="E688" s="22"/>
      <c r="F688" s="16"/>
      <c r="G688" s="43"/>
      <c r="H688" s="22"/>
      <c r="I688" s="22"/>
      <c r="J688" s="22"/>
      <c r="K688" s="22"/>
      <c r="L688" s="22"/>
    </row>
    <row r="689" spans="5:12" x14ac:dyDescent="0.25">
      <c r="E689" s="22"/>
      <c r="F689" s="16"/>
      <c r="G689" s="43"/>
      <c r="H689" s="22"/>
      <c r="I689" s="22"/>
      <c r="J689" s="22"/>
      <c r="K689" s="22"/>
      <c r="L689" s="22"/>
    </row>
    <row r="690" spans="5:12" x14ac:dyDescent="0.25">
      <c r="E690" s="22"/>
      <c r="F690" s="16"/>
      <c r="G690" s="43"/>
      <c r="H690" s="22"/>
      <c r="I690" s="22"/>
      <c r="J690" s="22"/>
      <c r="K690" s="22"/>
      <c r="L690" s="22"/>
    </row>
    <row r="691" spans="5:12" x14ac:dyDescent="0.25">
      <c r="E691" s="22"/>
      <c r="F691" s="16"/>
      <c r="G691" s="43"/>
      <c r="H691" s="22"/>
      <c r="I691" s="22"/>
      <c r="J691" s="22"/>
      <c r="K691" s="22"/>
      <c r="L691" s="22"/>
    </row>
    <row r="692" spans="5:12" x14ac:dyDescent="0.25">
      <c r="E692" s="22"/>
      <c r="F692" s="16"/>
      <c r="G692" s="43"/>
      <c r="H692" s="22"/>
      <c r="I692" s="22"/>
      <c r="J692" s="22"/>
      <c r="K692" s="22"/>
      <c r="L692" s="22"/>
    </row>
    <row r="693" spans="5:12" x14ac:dyDescent="0.25">
      <c r="E693" s="22"/>
      <c r="F693" s="16"/>
      <c r="G693" s="43"/>
      <c r="H693" s="22"/>
      <c r="I693" s="22"/>
      <c r="J693" s="22"/>
      <c r="K693" s="22"/>
      <c r="L693" s="22"/>
    </row>
    <row r="694" spans="5:12" x14ac:dyDescent="0.25">
      <c r="E694" s="22"/>
      <c r="F694" s="16"/>
      <c r="G694" s="43"/>
      <c r="H694" s="22"/>
      <c r="I694" s="22"/>
      <c r="J694" s="22"/>
      <c r="K694" s="22"/>
      <c r="L694" s="22"/>
    </row>
    <row r="695" spans="5:12" x14ac:dyDescent="0.25">
      <c r="E695" s="22"/>
      <c r="F695" s="16"/>
      <c r="G695" s="43"/>
      <c r="H695" s="22"/>
      <c r="I695" s="22"/>
      <c r="J695" s="22"/>
      <c r="K695" s="22"/>
      <c r="L695" s="22"/>
    </row>
    <row r="696" spans="5:12" x14ac:dyDescent="0.25">
      <c r="E696" s="22"/>
      <c r="F696" s="16"/>
      <c r="G696" s="43"/>
      <c r="H696" s="22"/>
      <c r="I696" s="22"/>
      <c r="J696" s="22"/>
      <c r="K696" s="22"/>
      <c r="L696" s="22"/>
    </row>
    <row r="697" spans="5:12" x14ac:dyDescent="0.25">
      <c r="E697" s="22"/>
      <c r="F697" s="16"/>
      <c r="G697" s="43"/>
      <c r="H697" s="22"/>
      <c r="I697" s="22"/>
      <c r="J697" s="22"/>
      <c r="K697" s="22"/>
      <c r="L697" s="22"/>
    </row>
    <row r="698" spans="5:12" x14ac:dyDescent="0.25">
      <c r="E698" s="22"/>
      <c r="F698" s="16"/>
      <c r="G698" s="43"/>
      <c r="H698" s="22"/>
      <c r="I698" s="22"/>
      <c r="J698" s="22"/>
      <c r="K698" s="22"/>
      <c r="L698" s="22"/>
    </row>
    <row r="699" spans="5:12" x14ac:dyDescent="0.25">
      <c r="E699" s="22"/>
      <c r="F699" s="16"/>
      <c r="G699" s="43"/>
      <c r="H699" s="22"/>
      <c r="I699" s="22"/>
      <c r="J699" s="22"/>
      <c r="K699" s="22"/>
      <c r="L699" s="22"/>
    </row>
    <row r="700" spans="5:12" x14ac:dyDescent="0.25">
      <c r="E700" s="22"/>
      <c r="F700" s="16"/>
      <c r="G700" s="43"/>
      <c r="H700" s="22"/>
      <c r="I700" s="22"/>
      <c r="J700" s="22"/>
      <c r="K700" s="22"/>
      <c r="L700" s="22"/>
    </row>
    <row r="701" spans="5:12" x14ac:dyDescent="0.25">
      <c r="E701" s="22"/>
      <c r="F701" s="16"/>
      <c r="G701" s="43"/>
      <c r="H701" s="22"/>
      <c r="I701" s="22"/>
      <c r="J701" s="22"/>
      <c r="K701" s="22"/>
      <c r="L701" s="22"/>
    </row>
    <row r="702" spans="5:12" x14ac:dyDescent="0.25">
      <c r="E702" s="22"/>
      <c r="F702" s="16"/>
      <c r="G702" s="43"/>
      <c r="H702" s="22"/>
      <c r="I702" s="22"/>
      <c r="J702" s="22"/>
      <c r="K702" s="22"/>
      <c r="L702" s="22"/>
    </row>
    <row r="703" spans="5:12" x14ac:dyDescent="0.25">
      <c r="E703" s="22"/>
      <c r="F703" s="16"/>
      <c r="G703" s="43"/>
      <c r="H703" s="22"/>
      <c r="I703" s="22"/>
      <c r="J703" s="22"/>
      <c r="K703" s="22"/>
      <c r="L703" s="22"/>
    </row>
    <row r="704" spans="5:12" x14ac:dyDescent="0.25">
      <c r="E704" s="22"/>
      <c r="F704" s="16"/>
      <c r="G704" s="43"/>
      <c r="H704" s="22"/>
      <c r="I704" s="22"/>
      <c r="J704" s="22"/>
      <c r="K704" s="22"/>
      <c r="L704" s="22"/>
    </row>
    <row r="705" spans="5:12" x14ac:dyDescent="0.25">
      <c r="E705" s="22"/>
      <c r="F705" s="16"/>
      <c r="G705" s="43"/>
      <c r="H705" s="22"/>
      <c r="I705" s="22"/>
      <c r="J705" s="22"/>
      <c r="K705" s="22"/>
      <c r="L705" s="22"/>
    </row>
    <row r="706" spans="5:12" x14ac:dyDescent="0.25">
      <c r="E706" s="22"/>
      <c r="F706" s="16"/>
      <c r="G706" s="43"/>
      <c r="H706" s="22"/>
      <c r="I706" s="22"/>
      <c r="J706" s="22"/>
      <c r="K706" s="22"/>
      <c r="L706" s="22"/>
    </row>
    <row r="707" spans="5:12" x14ac:dyDescent="0.25">
      <c r="E707" s="22"/>
      <c r="F707" s="16"/>
      <c r="G707" s="43"/>
      <c r="H707" s="22"/>
      <c r="I707" s="22"/>
      <c r="J707" s="22"/>
      <c r="K707" s="22"/>
      <c r="L707" s="22"/>
    </row>
    <row r="708" spans="5:12" x14ac:dyDescent="0.25">
      <c r="E708" s="22"/>
      <c r="F708" s="16"/>
      <c r="G708" s="43"/>
      <c r="H708" s="22"/>
      <c r="I708" s="22"/>
      <c r="J708" s="22"/>
      <c r="K708" s="22"/>
      <c r="L708" s="22"/>
    </row>
    <row r="709" spans="5:12" x14ac:dyDescent="0.25">
      <c r="E709" s="22"/>
      <c r="F709" s="16"/>
      <c r="G709" s="43"/>
      <c r="H709" s="22"/>
      <c r="I709" s="22"/>
      <c r="J709" s="22"/>
      <c r="K709" s="22"/>
      <c r="L709" s="22"/>
    </row>
    <row r="710" spans="5:12" x14ac:dyDescent="0.25">
      <c r="E710" s="22"/>
      <c r="F710" s="16"/>
      <c r="G710" s="43"/>
      <c r="H710" s="22"/>
      <c r="I710" s="22"/>
      <c r="J710" s="22"/>
      <c r="K710" s="22"/>
      <c r="L710" s="22"/>
    </row>
    <row r="711" spans="5:12" x14ac:dyDescent="0.25">
      <c r="E711" s="22"/>
      <c r="F711" s="16"/>
      <c r="G711" s="43"/>
      <c r="H711" s="22"/>
      <c r="I711" s="22"/>
      <c r="J711" s="22"/>
      <c r="K711" s="22"/>
      <c r="L711" s="22"/>
    </row>
    <row r="712" spans="5:12" x14ac:dyDescent="0.25">
      <c r="E712" s="22"/>
      <c r="F712" s="16"/>
      <c r="G712" s="43"/>
      <c r="H712" s="22"/>
      <c r="I712" s="22"/>
      <c r="J712" s="22"/>
      <c r="K712" s="22"/>
      <c r="L712" s="22"/>
    </row>
    <row r="713" spans="5:12" x14ac:dyDescent="0.25">
      <c r="E713" s="22"/>
      <c r="F713" s="16"/>
      <c r="G713" s="43"/>
      <c r="H713" s="22"/>
      <c r="I713" s="22"/>
      <c r="J713" s="22"/>
      <c r="K713" s="22"/>
      <c r="L713" s="22"/>
    </row>
    <row r="714" spans="5:12" x14ac:dyDescent="0.25">
      <c r="E714" s="22"/>
      <c r="F714" s="16"/>
      <c r="G714" s="43"/>
      <c r="H714" s="22"/>
      <c r="I714" s="22"/>
      <c r="J714" s="22"/>
      <c r="K714" s="22"/>
      <c r="L714" s="22"/>
    </row>
    <row r="715" spans="5:12" x14ac:dyDescent="0.25">
      <c r="E715" s="22"/>
      <c r="F715" s="16"/>
      <c r="G715" s="43"/>
      <c r="H715" s="22"/>
      <c r="I715" s="22"/>
      <c r="J715" s="22"/>
      <c r="K715" s="22"/>
      <c r="L715" s="22"/>
    </row>
    <row r="716" spans="5:12" x14ac:dyDescent="0.25">
      <c r="E716" s="22"/>
      <c r="F716" s="16"/>
      <c r="G716" s="43"/>
      <c r="H716" s="22"/>
      <c r="I716" s="22"/>
      <c r="J716" s="22"/>
      <c r="K716" s="22"/>
      <c r="L716" s="22"/>
    </row>
    <row r="717" spans="5:12" x14ac:dyDescent="0.25">
      <c r="E717" s="22"/>
      <c r="F717" s="16"/>
      <c r="G717" s="43"/>
      <c r="H717" s="22"/>
      <c r="I717" s="22"/>
      <c r="J717" s="22"/>
      <c r="K717" s="22"/>
      <c r="L717" s="22"/>
    </row>
    <row r="718" spans="5:12" x14ac:dyDescent="0.25">
      <c r="E718" s="22"/>
      <c r="F718" s="16"/>
      <c r="G718" s="43"/>
      <c r="H718" s="22"/>
      <c r="I718" s="22"/>
      <c r="J718" s="22"/>
      <c r="K718" s="22"/>
      <c r="L718" s="22"/>
    </row>
    <row r="719" spans="5:12" x14ac:dyDescent="0.25">
      <c r="E719" s="22"/>
      <c r="F719" s="16"/>
      <c r="G719" s="43"/>
      <c r="H719" s="22"/>
      <c r="I719" s="22"/>
      <c r="J719" s="22"/>
      <c r="K719" s="22"/>
      <c r="L719" s="22"/>
    </row>
    <row r="720" spans="5:12" x14ac:dyDescent="0.25">
      <c r="E720" s="22"/>
      <c r="F720" s="16"/>
      <c r="G720" s="43"/>
      <c r="H720" s="22"/>
      <c r="I720" s="22"/>
      <c r="J720" s="22"/>
      <c r="K720" s="22"/>
      <c r="L720" s="22"/>
    </row>
    <row r="721" spans="5:12" x14ac:dyDescent="0.25">
      <c r="E721" s="22"/>
      <c r="F721" s="16"/>
      <c r="G721" s="43"/>
      <c r="H721" s="22"/>
      <c r="I721" s="22"/>
      <c r="J721" s="22"/>
      <c r="K721" s="22"/>
      <c r="L721" s="22"/>
    </row>
    <row r="722" spans="5:12" x14ac:dyDescent="0.25">
      <c r="E722" s="22"/>
      <c r="F722" s="16"/>
      <c r="G722" s="43"/>
      <c r="H722" s="22"/>
      <c r="I722" s="22"/>
      <c r="J722" s="22"/>
      <c r="K722" s="22"/>
      <c r="L722" s="22"/>
    </row>
    <row r="723" spans="5:12" x14ac:dyDescent="0.25">
      <c r="E723" s="22"/>
      <c r="F723" s="16"/>
      <c r="G723" s="43"/>
      <c r="H723" s="22"/>
      <c r="I723" s="22"/>
      <c r="J723" s="22"/>
      <c r="K723" s="22"/>
      <c r="L723" s="22"/>
    </row>
    <row r="724" spans="5:12" x14ac:dyDescent="0.25">
      <c r="E724" s="22"/>
      <c r="F724" s="16"/>
      <c r="G724" s="43"/>
      <c r="H724" s="22"/>
      <c r="I724" s="22"/>
      <c r="J724" s="22"/>
      <c r="K724" s="22"/>
      <c r="L724" s="22"/>
    </row>
    <row r="725" spans="5:12" x14ac:dyDescent="0.25">
      <c r="E725" s="22"/>
      <c r="F725" s="16"/>
      <c r="G725" s="43"/>
      <c r="H725" s="22"/>
      <c r="I725" s="22"/>
      <c r="J725" s="22"/>
      <c r="K725" s="22"/>
      <c r="L725" s="22"/>
    </row>
    <row r="726" spans="5:12" x14ac:dyDescent="0.25">
      <c r="E726" s="22"/>
      <c r="F726" s="16"/>
      <c r="G726" s="43"/>
      <c r="H726" s="22"/>
      <c r="I726" s="22"/>
      <c r="J726" s="22"/>
      <c r="K726" s="22"/>
      <c r="L726" s="22"/>
    </row>
    <row r="727" spans="5:12" x14ac:dyDescent="0.25">
      <c r="E727" s="22"/>
      <c r="F727" s="16"/>
      <c r="G727" s="43"/>
      <c r="H727" s="22"/>
      <c r="I727" s="22"/>
      <c r="J727" s="22"/>
      <c r="K727" s="22"/>
      <c r="L727" s="22"/>
    </row>
    <row r="728" spans="5:12" x14ac:dyDescent="0.25">
      <c r="E728" s="22"/>
      <c r="F728" s="16"/>
      <c r="G728" s="43"/>
      <c r="H728" s="22"/>
      <c r="I728" s="22"/>
      <c r="J728" s="22"/>
      <c r="K728" s="22"/>
      <c r="L728" s="22"/>
    </row>
    <row r="729" spans="5:12" x14ac:dyDescent="0.25">
      <c r="E729" s="22"/>
      <c r="F729" s="16"/>
      <c r="G729" s="43"/>
      <c r="H729" s="22"/>
      <c r="I729" s="22"/>
      <c r="J729" s="22"/>
      <c r="K729" s="22"/>
      <c r="L729" s="22"/>
    </row>
    <row r="730" spans="5:12" x14ac:dyDescent="0.25">
      <c r="E730" s="22"/>
      <c r="F730" s="16"/>
      <c r="G730" s="43"/>
      <c r="H730" s="22"/>
      <c r="I730" s="22"/>
      <c r="J730" s="22"/>
      <c r="K730" s="22"/>
      <c r="L730" s="22"/>
    </row>
    <row r="731" spans="5:12" x14ac:dyDescent="0.25">
      <c r="E731" s="22"/>
      <c r="F731" s="16"/>
      <c r="G731" s="43"/>
      <c r="H731" s="22"/>
      <c r="I731" s="22"/>
      <c r="J731" s="22"/>
      <c r="K731" s="22"/>
      <c r="L731" s="22"/>
    </row>
    <row r="732" spans="5:12" x14ac:dyDescent="0.25">
      <c r="E732" s="22"/>
      <c r="F732" s="16"/>
      <c r="G732" s="43"/>
      <c r="H732" s="22"/>
      <c r="I732" s="22"/>
      <c r="J732" s="22"/>
      <c r="K732" s="22"/>
      <c r="L732" s="22"/>
    </row>
    <row r="733" spans="5:12" x14ac:dyDescent="0.25">
      <c r="E733" s="22"/>
      <c r="F733" s="16"/>
      <c r="G733" s="43"/>
      <c r="H733" s="22"/>
      <c r="I733" s="22"/>
      <c r="J733" s="22"/>
      <c r="K733" s="22"/>
      <c r="L733" s="22"/>
    </row>
    <row r="734" spans="5:12" x14ac:dyDescent="0.25">
      <c r="E734" s="22"/>
      <c r="F734" s="16"/>
      <c r="G734" s="43"/>
      <c r="H734" s="22"/>
      <c r="I734" s="22"/>
      <c r="J734" s="22"/>
      <c r="K734" s="22"/>
      <c r="L734" s="22"/>
    </row>
    <row r="735" spans="5:12" x14ac:dyDescent="0.25">
      <c r="E735" s="22"/>
      <c r="F735" s="16"/>
      <c r="G735" s="43"/>
      <c r="H735" s="22"/>
      <c r="I735" s="22"/>
      <c r="J735" s="22"/>
      <c r="K735" s="22"/>
      <c r="L735" s="22"/>
    </row>
    <row r="736" spans="5:12" x14ac:dyDescent="0.25">
      <c r="E736" s="22"/>
      <c r="F736" s="16"/>
      <c r="G736" s="43"/>
      <c r="H736" s="22"/>
      <c r="I736" s="22"/>
      <c r="J736" s="22"/>
      <c r="K736" s="22"/>
      <c r="L736" s="22"/>
    </row>
    <row r="737" spans="5:12" x14ac:dyDescent="0.25">
      <c r="E737" s="22"/>
      <c r="F737" s="16"/>
      <c r="G737" s="43"/>
      <c r="H737" s="22"/>
      <c r="I737" s="22"/>
      <c r="J737" s="22"/>
      <c r="K737" s="22"/>
      <c r="L737" s="22"/>
    </row>
    <row r="738" spans="5:12" x14ac:dyDescent="0.25">
      <c r="E738" s="22"/>
      <c r="F738" s="16"/>
      <c r="G738" s="43"/>
      <c r="H738" s="22"/>
      <c r="I738" s="22"/>
      <c r="J738" s="22"/>
      <c r="K738" s="22"/>
      <c r="L738" s="22"/>
    </row>
    <row r="739" spans="5:12" x14ac:dyDescent="0.25">
      <c r="E739" s="22"/>
      <c r="F739" s="16"/>
      <c r="G739" s="43"/>
      <c r="H739" s="22"/>
      <c r="I739" s="22"/>
      <c r="J739" s="22"/>
      <c r="K739" s="22"/>
      <c r="L739" s="22"/>
    </row>
    <row r="740" spans="5:12" x14ac:dyDescent="0.25">
      <c r="E740" s="22"/>
      <c r="F740" s="16"/>
      <c r="G740" s="43"/>
      <c r="H740" s="22"/>
      <c r="I740" s="22"/>
      <c r="J740" s="22"/>
      <c r="K740" s="22"/>
      <c r="L740" s="22"/>
    </row>
    <row r="741" spans="5:12" x14ac:dyDescent="0.25">
      <c r="E741" s="22"/>
      <c r="F741" s="16"/>
      <c r="G741" s="43"/>
      <c r="H741" s="22"/>
      <c r="I741" s="22"/>
      <c r="J741" s="22"/>
      <c r="K741" s="22"/>
      <c r="L741" s="22"/>
    </row>
    <row r="742" spans="5:12" x14ac:dyDescent="0.25">
      <c r="E742" s="22"/>
      <c r="F742" s="16"/>
      <c r="G742" s="43"/>
      <c r="H742" s="22"/>
      <c r="I742" s="22"/>
      <c r="J742" s="22"/>
      <c r="K742" s="22"/>
      <c r="L742" s="22"/>
    </row>
    <row r="743" spans="5:12" x14ac:dyDescent="0.25">
      <c r="E743" s="22"/>
      <c r="F743" s="16"/>
      <c r="G743" s="43"/>
      <c r="H743" s="22"/>
      <c r="I743" s="22"/>
      <c r="J743" s="22"/>
      <c r="K743" s="22"/>
      <c r="L743" s="22"/>
    </row>
    <row r="744" spans="5:12" x14ac:dyDescent="0.25">
      <c r="E744" s="22"/>
      <c r="F744" s="16"/>
      <c r="G744" s="43"/>
      <c r="H744" s="22"/>
      <c r="I744" s="22"/>
      <c r="J744" s="22"/>
      <c r="K744" s="22"/>
      <c r="L744" s="22"/>
    </row>
    <row r="745" spans="5:12" x14ac:dyDescent="0.25">
      <c r="E745" s="22"/>
      <c r="F745" s="16"/>
      <c r="G745" s="43"/>
      <c r="H745" s="22"/>
      <c r="I745" s="22"/>
      <c r="J745" s="22"/>
      <c r="K745" s="22"/>
      <c r="L745" s="22"/>
    </row>
    <row r="746" spans="5:12" x14ac:dyDescent="0.25">
      <c r="E746" s="22"/>
      <c r="F746" s="16"/>
      <c r="G746" s="43"/>
      <c r="H746" s="22"/>
      <c r="I746" s="22"/>
      <c r="J746" s="22"/>
      <c r="K746" s="22"/>
      <c r="L746" s="22"/>
    </row>
    <row r="747" spans="5:12" x14ac:dyDescent="0.25">
      <c r="E747" s="22"/>
      <c r="F747" s="16"/>
      <c r="G747" s="43"/>
      <c r="H747" s="22"/>
      <c r="I747" s="22"/>
      <c r="J747" s="22"/>
      <c r="K747" s="22"/>
      <c r="L747" s="22"/>
    </row>
    <row r="748" spans="5:12" x14ac:dyDescent="0.25">
      <c r="E748" s="22"/>
      <c r="F748" s="16"/>
      <c r="G748" s="43"/>
      <c r="H748" s="22"/>
      <c r="I748" s="22"/>
      <c r="J748" s="22"/>
      <c r="K748" s="22"/>
      <c r="L748" s="22"/>
    </row>
    <row r="749" spans="5:12" x14ac:dyDescent="0.25">
      <c r="E749" s="22"/>
      <c r="F749" s="16"/>
      <c r="G749" s="43"/>
      <c r="H749" s="22"/>
      <c r="I749" s="22"/>
      <c r="J749" s="22"/>
      <c r="K749" s="22"/>
      <c r="L749" s="22"/>
    </row>
    <row r="750" spans="5:12" x14ac:dyDescent="0.25">
      <c r="E750" s="22"/>
      <c r="F750" s="16"/>
      <c r="G750" s="43"/>
      <c r="H750" s="22"/>
      <c r="I750" s="22"/>
      <c r="J750" s="22"/>
      <c r="K750" s="22"/>
      <c r="L750" s="22"/>
    </row>
    <row r="751" spans="5:12" x14ac:dyDescent="0.25">
      <c r="E751" s="22"/>
      <c r="F751" s="16"/>
      <c r="G751" s="43"/>
      <c r="H751" s="22"/>
      <c r="I751" s="22"/>
      <c r="J751" s="22"/>
      <c r="K751" s="22"/>
      <c r="L751" s="22"/>
    </row>
    <row r="752" spans="5:12" x14ac:dyDescent="0.25">
      <c r="E752" s="22"/>
      <c r="F752" s="16"/>
      <c r="G752" s="43"/>
      <c r="H752" s="22"/>
      <c r="I752" s="22"/>
      <c r="J752" s="22"/>
      <c r="K752" s="22"/>
      <c r="L752" s="22"/>
    </row>
    <row r="753" spans="5:12" x14ac:dyDescent="0.25">
      <c r="E753" s="22"/>
      <c r="F753" s="16"/>
      <c r="G753" s="43"/>
      <c r="H753" s="22"/>
      <c r="I753" s="22"/>
      <c r="J753" s="22"/>
      <c r="K753" s="22"/>
      <c r="L753" s="22"/>
    </row>
    <row r="754" spans="5:12" x14ac:dyDescent="0.25">
      <c r="E754" s="22"/>
      <c r="F754" s="16"/>
      <c r="G754" s="43"/>
      <c r="H754" s="22"/>
      <c r="I754" s="22"/>
      <c r="J754" s="22"/>
      <c r="K754" s="22"/>
      <c r="L754" s="22"/>
    </row>
    <row r="755" spans="5:12" x14ac:dyDescent="0.25">
      <c r="E755" s="22"/>
      <c r="F755" s="16"/>
      <c r="G755" s="43"/>
      <c r="H755" s="22"/>
      <c r="I755" s="22"/>
      <c r="J755" s="22"/>
      <c r="K755" s="22"/>
      <c r="L755" s="22"/>
    </row>
    <row r="756" spans="5:12" x14ac:dyDescent="0.25">
      <c r="E756" s="22"/>
      <c r="F756" s="16"/>
      <c r="G756" s="43"/>
      <c r="H756" s="22"/>
      <c r="I756" s="22"/>
      <c r="J756" s="22"/>
      <c r="K756" s="22"/>
      <c r="L756" s="22"/>
    </row>
    <row r="757" spans="5:12" x14ac:dyDescent="0.25">
      <c r="E757" s="22"/>
      <c r="F757" s="16"/>
      <c r="G757" s="43"/>
      <c r="H757" s="22"/>
      <c r="I757" s="22"/>
      <c r="J757" s="22"/>
      <c r="K757" s="22"/>
      <c r="L757" s="22"/>
    </row>
    <row r="758" spans="5:12" x14ac:dyDescent="0.25">
      <c r="E758" s="22"/>
      <c r="F758" s="16"/>
      <c r="G758" s="43"/>
      <c r="H758" s="22"/>
      <c r="I758" s="22"/>
      <c r="J758" s="22"/>
      <c r="K758" s="22"/>
      <c r="L758" s="22"/>
    </row>
    <row r="759" spans="5:12" x14ac:dyDescent="0.25">
      <c r="E759" s="22"/>
      <c r="F759" s="16"/>
      <c r="G759" s="43"/>
      <c r="H759" s="22"/>
      <c r="I759" s="22"/>
      <c r="J759" s="22"/>
      <c r="K759" s="22"/>
      <c r="L759" s="22"/>
    </row>
    <row r="760" spans="5:12" x14ac:dyDescent="0.25">
      <c r="E760" s="22"/>
      <c r="F760" s="16"/>
      <c r="G760" s="43"/>
      <c r="H760" s="22"/>
      <c r="I760" s="22"/>
      <c r="J760" s="22"/>
      <c r="K760" s="22"/>
      <c r="L760" s="22"/>
    </row>
    <row r="761" spans="5:12" x14ac:dyDescent="0.25">
      <c r="E761" s="22"/>
      <c r="F761" s="16"/>
      <c r="G761" s="43"/>
      <c r="H761" s="22"/>
      <c r="I761" s="22"/>
      <c r="J761" s="22"/>
      <c r="K761" s="22"/>
      <c r="L761" s="22"/>
    </row>
    <row r="762" spans="5:12" x14ac:dyDescent="0.25">
      <c r="E762" s="22"/>
      <c r="F762" s="16"/>
      <c r="G762" s="43"/>
      <c r="H762" s="22"/>
      <c r="I762" s="22"/>
      <c r="J762" s="22"/>
      <c r="K762" s="22"/>
      <c r="L762" s="22"/>
    </row>
    <row r="763" spans="5:12" x14ac:dyDescent="0.25">
      <c r="E763" s="22"/>
      <c r="F763" s="16"/>
      <c r="G763" s="43"/>
      <c r="H763" s="22"/>
      <c r="I763" s="22"/>
      <c r="J763" s="22"/>
      <c r="K763" s="22"/>
      <c r="L763" s="22"/>
    </row>
    <row r="764" spans="5:12" x14ac:dyDescent="0.25">
      <c r="E764" s="22"/>
      <c r="F764" s="16"/>
      <c r="G764" s="43"/>
      <c r="H764" s="22"/>
      <c r="I764" s="22"/>
      <c r="J764" s="22"/>
      <c r="K764" s="22"/>
      <c r="L764" s="22"/>
    </row>
    <row r="765" spans="5:12" x14ac:dyDescent="0.25">
      <c r="E765" s="22"/>
      <c r="F765" s="16"/>
      <c r="G765" s="43"/>
      <c r="H765" s="22"/>
      <c r="I765" s="22"/>
      <c r="J765" s="22"/>
      <c r="K765" s="22"/>
      <c r="L765" s="22"/>
    </row>
    <row r="766" spans="5:12" x14ac:dyDescent="0.25">
      <c r="E766" s="22"/>
      <c r="F766" s="16"/>
      <c r="G766" s="43"/>
      <c r="H766" s="22"/>
      <c r="I766" s="22"/>
      <c r="J766" s="22"/>
      <c r="K766" s="22"/>
      <c r="L766" s="22"/>
    </row>
    <row r="767" spans="5:12" x14ac:dyDescent="0.25">
      <c r="E767" s="22"/>
      <c r="F767" s="16"/>
      <c r="G767" s="43"/>
      <c r="H767" s="22"/>
      <c r="I767" s="22"/>
      <c r="J767" s="22"/>
      <c r="K767" s="22"/>
      <c r="L767" s="22"/>
    </row>
    <row r="768" spans="5:12" x14ac:dyDescent="0.25">
      <c r="E768" s="22"/>
      <c r="F768" s="16"/>
      <c r="G768" s="43"/>
      <c r="H768" s="22"/>
      <c r="I768" s="22"/>
      <c r="J768" s="22"/>
      <c r="K768" s="22"/>
      <c r="L768" s="22"/>
    </row>
    <row r="769" spans="5:12" x14ac:dyDescent="0.25">
      <c r="E769" s="22"/>
      <c r="F769" s="16"/>
      <c r="G769" s="43"/>
      <c r="H769" s="22"/>
      <c r="I769" s="22"/>
      <c r="J769" s="22"/>
      <c r="K769" s="22"/>
      <c r="L769" s="22"/>
    </row>
    <row r="770" spans="5:12" x14ac:dyDescent="0.25">
      <c r="E770" s="22"/>
      <c r="F770" s="16"/>
      <c r="G770" s="43"/>
      <c r="H770" s="22"/>
      <c r="I770" s="22"/>
      <c r="J770" s="22"/>
      <c r="K770" s="22"/>
      <c r="L770" s="22"/>
    </row>
    <row r="771" spans="5:12" x14ac:dyDescent="0.25">
      <c r="E771" s="22"/>
      <c r="F771" s="16"/>
      <c r="G771" s="43"/>
      <c r="H771" s="22"/>
      <c r="I771" s="22"/>
      <c r="J771" s="22"/>
      <c r="K771" s="22"/>
      <c r="L771" s="22"/>
    </row>
    <row r="772" spans="5:12" x14ac:dyDescent="0.25">
      <c r="E772" s="22"/>
      <c r="F772" s="16"/>
      <c r="G772" s="43"/>
      <c r="H772" s="22"/>
      <c r="I772" s="22"/>
      <c r="J772" s="22"/>
      <c r="K772" s="22"/>
      <c r="L772" s="22"/>
    </row>
    <row r="773" spans="5:12" x14ac:dyDescent="0.25">
      <c r="E773" s="22"/>
      <c r="F773" s="16"/>
      <c r="G773" s="43"/>
      <c r="H773" s="22"/>
      <c r="I773" s="22"/>
      <c r="J773" s="22"/>
      <c r="K773" s="22"/>
      <c r="L773" s="22"/>
    </row>
    <row r="774" spans="5:12" x14ac:dyDescent="0.25">
      <c r="E774" s="22"/>
      <c r="F774" s="16"/>
      <c r="G774" s="43"/>
      <c r="H774" s="22"/>
      <c r="I774" s="22"/>
      <c r="J774" s="22"/>
      <c r="K774" s="22"/>
      <c r="L774" s="22"/>
    </row>
    <row r="775" spans="5:12" x14ac:dyDescent="0.25">
      <c r="E775" s="22"/>
      <c r="F775" s="16"/>
      <c r="G775" s="43"/>
      <c r="H775" s="22"/>
      <c r="I775" s="22"/>
      <c r="J775" s="22"/>
      <c r="K775" s="22"/>
      <c r="L775" s="22"/>
    </row>
    <row r="776" spans="5:12" x14ac:dyDescent="0.25">
      <c r="E776" s="22"/>
      <c r="F776" s="16"/>
      <c r="G776" s="43"/>
      <c r="H776" s="22"/>
      <c r="I776" s="22"/>
      <c r="J776" s="22"/>
      <c r="K776" s="22"/>
      <c r="L776" s="22"/>
    </row>
    <row r="777" spans="5:12" x14ac:dyDescent="0.25">
      <c r="E777" s="22"/>
      <c r="F777" s="16"/>
      <c r="G777" s="43"/>
      <c r="H777" s="22"/>
      <c r="I777" s="22"/>
      <c r="J777" s="22"/>
      <c r="K777" s="22"/>
      <c r="L777" s="22"/>
    </row>
    <row r="778" spans="5:12" x14ac:dyDescent="0.25">
      <c r="E778" s="22"/>
      <c r="F778" s="16"/>
      <c r="G778" s="43"/>
      <c r="H778" s="22"/>
      <c r="I778" s="22"/>
      <c r="J778" s="22"/>
      <c r="K778" s="22"/>
      <c r="L778" s="22"/>
    </row>
    <row r="779" spans="5:12" x14ac:dyDescent="0.25">
      <c r="E779" s="22"/>
      <c r="F779" s="16"/>
      <c r="G779" s="43"/>
      <c r="H779" s="22"/>
      <c r="I779" s="22"/>
      <c r="J779" s="22"/>
      <c r="K779" s="22"/>
      <c r="L779" s="22"/>
    </row>
    <row r="780" spans="5:12" x14ac:dyDescent="0.25">
      <c r="E780" s="22"/>
      <c r="F780" s="16"/>
      <c r="G780" s="43"/>
      <c r="H780" s="22"/>
      <c r="I780" s="22"/>
      <c r="J780" s="22"/>
      <c r="K780" s="22"/>
      <c r="L780" s="22"/>
    </row>
    <row r="781" spans="5:12" x14ac:dyDescent="0.25">
      <c r="E781" s="22"/>
      <c r="F781" s="16"/>
      <c r="G781" s="43"/>
      <c r="H781" s="22"/>
      <c r="I781" s="22"/>
      <c r="J781" s="22"/>
      <c r="K781" s="22"/>
      <c r="L781" s="22"/>
    </row>
    <row r="782" spans="5:12" x14ac:dyDescent="0.25">
      <c r="E782" s="22"/>
      <c r="F782" s="16"/>
      <c r="G782" s="43"/>
      <c r="H782" s="22"/>
      <c r="I782" s="22"/>
      <c r="J782" s="22"/>
      <c r="K782" s="22"/>
      <c r="L782" s="22"/>
    </row>
    <row r="783" spans="5:12" x14ac:dyDescent="0.25">
      <c r="E783" s="22"/>
      <c r="F783" s="16"/>
      <c r="G783" s="43"/>
      <c r="H783" s="22"/>
      <c r="I783" s="22"/>
      <c r="J783" s="22"/>
      <c r="K783" s="22"/>
      <c r="L783" s="22"/>
    </row>
    <row r="784" spans="5:12" x14ac:dyDescent="0.25">
      <c r="E784" s="22"/>
      <c r="F784" s="16"/>
      <c r="G784" s="43"/>
      <c r="H784" s="22"/>
      <c r="I784" s="22"/>
      <c r="J784" s="22"/>
      <c r="K784" s="22"/>
      <c r="L784" s="22"/>
    </row>
    <row r="785" spans="5:12" x14ac:dyDescent="0.25">
      <c r="E785" s="22"/>
      <c r="F785" s="16"/>
      <c r="G785" s="43"/>
      <c r="H785" s="22"/>
      <c r="I785" s="22"/>
      <c r="J785" s="22"/>
      <c r="K785" s="22"/>
      <c r="L785" s="22"/>
    </row>
    <row r="786" spans="5:12" x14ac:dyDescent="0.25">
      <c r="E786" s="22"/>
      <c r="F786" s="16"/>
      <c r="G786" s="43"/>
      <c r="H786" s="22"/>
      <c r="I786" s="22"/>
      <c r="J786" s="22"/>
      <c r="K786" s="22"/>
      <c r="L786" s="22"/>
    </row>
    <row r="787" spans="5:12" x14ac:dyDescent="0.25">
      <c r="E787" s="22"/>
      <c r="F787" s="16"/>
      <c r="G787" s="43"/>
      <c r="H787" s="22"/>
      <c r="I787" s="22"/>
      <c r="J787" s="22"/>
      <c r="K787" s="22"/>
      <c r="L787" s="22"/>
    </row>
    <row r="788" spans="5:12" x14ac:dyDescent="0.25">
      <c r="E788" s="22"/>
      <c r="F788" s="16"/>
      <c r="G788" s="43"/>
      <c r="H788" s="22"/>
      <c r="I788" s="22"/>
      <c r="J788" s="22"/>
      <c r="K788" s="22"/>
      <c r="L788" s="22"/>
    </row>
    <row r="789" spans="5:12" x14ac:dyDescent="0.25">
      <c r="E789" s="22"/>
      <c r="F789" s="16"/>
      <c r="G789" s="43"/>
      <c r="H789" s="22"/>
      <c r="I789" s="22"/>
      <c r="J789" s="22"/>
      <c r="K789" s="22"/>
      <c r="L789" s="22"/>
    </row>
    <row r="790" spans="5:12" x14ac:dyDescent="0.25">
      <c r="E790" s="22"/>
      <c r="F790" s="16"/>
      <c r="G790" s="43"/>
      <c r="H790" s="22"/>
      <c r="I790" s="22"/>
      <c r="J790" s="22"/>
      <c r="K790" s="22"/>
      <c r="L790" s="22"/>
    </row>
    <row r="791" spans="5:12" x14ac:dyDescent="0.25">
      <c r="E791" s="22"/>
      <c r="F791" s="16"/>
      <c r="G791" s="43"/>
      <c r="H791" s="22"/>
      <c r="I791" s="22"/>
      <c r="J791" s="22"/>
      <c r="K791" s="22"/>
      <c r="L791" s="22"/>
    </row>
    <row r="792" spans="5:12" x14ac:dyDescent="0.25">
      <c r="E792" s="22"/>
      <c r="F792" s="16"/>
      <c r="G792" s="43"/>
      <c r="H792" s="22"/>
      <c r="I792" s="22"/>
      <c r="J792" s="22"/>
      <c r="K792" s="22"/>
      <c r="L792" s="22"/>
    </row>
    <row r="793" spans="5:12" x14ac:dyDescent="0.25">
      <c r="E793" s="22"/>
      <c r="F793" s="16"/>
      <c r="G793" s="43"/>
      <c r="H793" s="22"/>
      <c r="I793" s="22"/>
      <c r="J793" s="22"/>
      <c r="K793" s="22"/>
      <c r="L793" s="22"/>
    </row>
    <row r="794" spans="5:12" x14ac:dyDescent="0.25">
      <c r="E794" s="22"/>
      <c r="F794" s="16"/>
      <c r="G794" s="43"/>
      <c r="H794" s="22"/>
      <c r="I794" s="22"/>
      <c r="J794" s="22"/>
      <c r="K794" s="22"/>
      <c r="L794" s="22"/>
    </row>
    <row r="795" spans="5:12" x14ac:dyDescent="0.25">
      <c r="E795" s="22"/>
      <c r="F795" s="16"/>
      <c r="G795" s="43"/>
      <c r="H795" s="22"/>
      <c r="I795" s="22"/>
      <c r="J795" s="22"/>
      <c r="K795" s="22"/>
      <c r="L795" s="22"/>
    </row>
    <row r="796" spans="5:12" x14ac:dyDescent="0.25">
      <c r="E796" s="22"/>
      <c r="F796" s="16"/>
      <c r="G796" s="43"/>
      <c r="H796" s="22"/>
      <c r="I796" s="22"/>
      <c r="J796" s="22"/>
      <c r="K796" s="22"/>
      <c r="L796" s="22"/>
    </row>
    <row r="797" spans="5:12" x14ac:dyDescent="0.25">
      <c r="E797" s="22"/>
      <c r="F797" s="16"/>
      <c r="G797" s="43"/>
      <c r="H797" s="22"/>
      <c r="I797" s="22"/>
      <c r="J797" s="22"/>
      <c r="K797" s="22"/>
      <c r="L797" s="22"/>
    </row>
    <row r="798" spans="5:12" x14ac:dyDescent="0.25">
      <c r="E798" s="22"/>
      <c r="F798" s="16"/>
      <c r="G798" s="43"/>
      <c r="H798" s="22"/>
      <c r="I798" s="22"/>
      <c r="J798" s="22"/>
      <c r="K798" s="22"/>
      <c r="L798" s="22"/>
    </row>
    <row r="799" spans="5:12" x14ac:dyDescent="0.25">
      <c r="E799" s="22"/>
      <c r="F799" s="16"/>
      <c r="G799" s="43"/>
      <c r="H799" s="22"/>
      <c r="I799" s="22"/>
      <c r="J799" s="22"/>
      <c r="K799" s="22"/>
      <c r="L799" s="22"/>
    </row>
    <row r="800" spans="5:12" x14ac:dyDescent="0.25">
      <c r="E800" s="22"/>
      <c r="F800" s="16"/>
      <c r="G800" s="43"/>
      <c r="H800" s="22"/>
      <c r="I800" s="22"/>
      <c r="J800" s="22"/>
      <c r="K800" s="22"/>
      <c r="L800" s="22"/>
    </row>
    <row r="801" spans="5:12" x14ac:dyDescent="0.25">
      <c r="E801" s="22"/>
      <c r="F801" s="16"/>
      <c r="G801" s="43"/>
      <c r="H801" s="22"/>
      <c r="I801" s="22"/>
      <c r="J801" s="22"/>
      <c r="K801" s="22"/>
      <c r="L801" s="22"/>
    </row>
    <row r="802" spans="5:12" x14ac:dyDescent="0.25">
      <c r="E802" s="22"/>
      <c r="F802" s="16"/>
      <c r="G802" s="43"/>
      <c r="H802" s="22"/>
      <c r="I802" s="22"/>
      <c r="J802" s="22"/>
      <c r="K802" s="22"/>
      <c r="L802" s="22"/>
    </row>
    <row r="803" spans="5:12" x14ac:dyDescent="0.25">
      <c r="E803" s="22"/>
      <c r="F803" s="16"/>
      <c r="G803" s="43"/>
      <c r="H803" s="22"/>
      <c r="I803" s="22"/>
      <c r="J803" s="22"/>
      <c r="K803" s="22"/>
      <c r="L803" s="22"/>
    </row>
    <row r="804" spans="5:12" x14ac:dyDescent="0.25">
      <c r="E804" s="22"/>
      <c r="F804" s="16"/>
      <c r="G804" s="43"/>
      <c r="H804" s="22"/>
      <c r="I804" s="22"/>
      <c r="J804" s="22"/>
      <c r="K804" s="22"/>
      <c r="L804" s="22"/>
    </row>
    <row r="805" spans="5:12" x14ac:dyDescent="0.25">
      <c r="E805" s="22"/>
      <c r="F805" s="16"/>
      <c r="G805" s="43"/>
      <c r="H805" s="22"/>
      <c r="I805" s="22"/>
      <c r="J805" s="22"/>
      <c r="K805" s="22"/>
      <c r="L805" s="22"/>
    </row>
    <row r="806" spans="5:12" x14ac:dyDescent="0.25">
      <c r="E806" s="22"/>
      <c r="F806" s="16"/>
      <c r="G806" s="43"/>
      <c r="H806" s="22"/>
      <c r="I806" s="22"/>
      <c r="J806" s="22"/>
      <c r="K806" s="22"/>
      <c r="L806" s="22"/>
    </row>
    <row r="807" spans="5:12" x14ac:dyDescent="0.25">
      <c r="E807" s="22"/>
      <c r="F807" s="16"/>
      <c r="G807" s="43"/>
      <c r="H807" s="22"/>
      <c r="I807" s="22"/>
      <c r="J807" s="22"/>
      <c r="K807" s="22"/>
      <c r="L807" s="22"/>
    </row>
    <row r="808" spans="5:12" x14ac:dyDescent="0.25">
      <c r="E808" s="22"/>
      <c r="F808" s="16"/>
      <c r="G808" s="43"/>
      <c r="H808" s="22"/>
      <c r="I808" s="22"/>
      <c r="J808" s="22"/>
      <c r="K808" s="22"/>
      <c r="L808" s="22"/>
    </row>
    <row r="809" spans="5:12" x14ac:dyDescent="0.25">
      <c r="E809" s="22"/>
      <c r="F809" s="16"/>
      <c r="G809" s="43"/>
      <c r="H809" s="22"/>
      <c r="I809" s="22"/>
      <c r="J809" s="22"/>
      <c r="K809" s="22"/>
      <c r="L809" s="22"/>
    </row>
    <row r="810" spans="5:12" x14ac:dyDescent="0.25">
      <c r="E810" s="22"/>
      <c r="F810" s="16"/>
      <c r="G810" s="43"/>
      <c r="H810" s="22"/>
      <c r="I810" s="22"/>
      <c r="J810" s="22"/>
      <c r="K810" s="22"/>
      <c r="L810" s="22"/>
    </row>
    <row r="811" spans="5:12" x14ac:dyDescent="0.25">
      <c r="E811" s="22"/>
      <c r="F811" s="16"/>
      <c r="G811" s="43"/>
      <c r="H811" s="22"/>
      <c r="I811" s="22"/>
      <c r="J811" s="22"/>
      <c r="K811" s="22"/>
      <c r="L811" s="22"/>
    </row>
    <row r="812" spans="5:12" x14ac:dyDescent="0.25">
      <c r="E812" s="22"/>
      <c r="F812" s="16"/>
      <c r="G812" s="43"/>
      <c r="H812" s="22"/>
      <c r="I812" s="22"/>
      <c r="J812" s="22"/>
      <c r="K812" s="22"/>
      <c r="L812" s="22"/>
    </row>
    <row r="813" spans="5:12" x14ac:dyDescent="0.25">
      <c r="E813" s="22"/>
      <c r="F813" s="16"/>
      <c r="G813" s="43"/>
      <c r="H813" s="22"/>
      <c r="I813" s="22"/>
      <c r="J813" s="22"/>
      <c r="K813" s="22"/>
      <c r="L813" s="22"/>
    </row>
    <row r="814" spans="5:12" x14ac:dyDescent="0.25">
      <c r="E814" s="22"/>
      <c r="F814" s="16"/>
      <c r="G814" s="43"/>
      <c r="H814" s="22"/>
      <c r="I814" s="22"/>
      <c r="J814" s="22"/>
      <c r="K814" s="22"/>
      <c r="L814" s="22"/>
    </row>
    <row r="815" spans="5:12" x14ac:dyDescent="0.25">
      <c r="E815" s="22"/>
      <c r="F815" s="16"/>
      <c r="G815" s="43"/>
      <c r="H815" s="22"/>
      <c r="I815" s="22"/>
      <c r="J815" s="22"/>
      <c r="K815" s="22"/>
      <c r="L815" s="22"/>
    </row>
    <row r="816" spans="5:12" x14ac:dyDescent="0.25">
      <c r="E816" s="22"/>
      <c r="F816" s="16"/>
      <c r="G816" s="43"/>
      <c r="H816" s="22"/>
      <c r="I816" s="22"/>
      <c r="J816" s="22"/>
      <c r="K816" s="22"/>
      <c r="L816" s="22"/>
    </row>
    <row r="817" spans="5:12" x14ac:dyDescent="0.25">
      <c r="E817" s="22"/>
      <c r="F817" s="16"/>
      <c r="G817" s="43"/>
      <c r="H817" s="22"/>
      <c r="I817" s="22"/>
      <c r="J817" s="22"/>
      <c r="K817" s="22"/>
      <c r="L817" s="22"/>
    </row>
    <row r="818" spans="5:12" x14ac:dyDescent="0.25">
      <c r="E818" s="22"/>
      <c r="F818" s="16"/>
      <c r="G818" s="43"/>
      <c r="H818" s="22"/>
      <c r="I818" s="22"/>
      <c r="J818" s="22"/>
      <c r="K818" s="22"/>
      <c r="L818" s="22"/>
    </row>
    <row r="819" spans="5:12" x14ac:dyDescent="0.25">
      <c r="E819" s="22"/>
      <c r="F819" s="16"/>
      <c r="G819" s="43"/>
      <c r="H819" s="22"/>
      <c r="I819" s="22"/>
      <c r="J819" s="22"/>
      <c r="K819" s="22"/>
      <c r="L819" s="22"/>
    </row>
    <row r="820" spans="5:12" x14ac:dyDescent="0.25">
      <c r="E820" s="22"/>
      <c r="F820" s="16"/>
      <c r="G820" s="43"/>
      <c r="H820" s="22"/>
      <c r="I820" s="22"/>
      <c r="J820" s="22"/>
      <c r="K820" s="22"/>
      <c r="L820" s="22"/>
    </row>
    <row r="821" spans="5:12" x14ac:dyDescent="0.25">
      <c r="E821" s="22"/>
      <c r="F821" s="16"/>
      <c r="G821" s="43"/>
      <c r="H821" s="22"/>
      <c r="I821" s="22"/>
      <c r="J821" s="22"/>
      <c r="K821" s="22"/>
      <c r="L821" s="22"/>
    </row>
    <row r="822" spans="5:12" x14ac:dyDescent="0.25">
      <c r="E822" s="22"/>
      <c r="F822" s="16"/>
      <c r="G822" s="43"/>
      <c r="H822" s="22"/>
      <c r="I822" s="22"/>
      <c r="J822" s="22"/>
      <c r="K822" s="22"/>
      <c r="L822" s="22"/>
    </row>
    <row r="823" spans="5:12" x14ac:dyDescent="0.25">
      <c r="E823" s="22"/>
      <c r="F823" s="16"/>
      <c r="G823" s="43"/>
      <c r="H823" s="22"/>
      <c r="I823" s="22"/>
      <c r="J823" s="22"/>
      <c r="K823" s="22"/>
      <c r="L823" s="22"/>
    </row>
    <row r="824" spans="5:12" x14ac:dyDescent="0.25">
      <c r="E824" s="22"/>
      <c r="F824" s="16"/>
      <c r="G824" s="43"/>
      <c r="H824" s="22"/>
      <c r="I824" s="22"/>
      <c r="J824" s="22"/>
      <c r="K824" s="22"/>
      <c r="L824" s="22"/>
    </row>
    <row r="825" spans="5:12" x14ac:dyDescent="0.25">
      <c r="E825" s="22"/>
      <c r="F825" s="16"/>
      <c r="G825" s="43"/>
      <c r="H825" s="22"/>
      <c r="I825" s="22"/>
      <c r="J825" s="22"/>
      <c r="K825" s="22"/>
      <c r="L825" s="22"/>
    </row>
    <row r="826" spans="5:12" x14ac:dyDescent="0.25">
      <c r="E826" s="22"/>
      <c r="F826" s="16"/>
      <c r="G826" s="43"/>
      <c r="H826" s="22"/>
      <c r="I826" s="22"/>
      <c r="J826" s="22"/>
      <c r="K826" s="22"/>
      <c r="L826" s="22"/>
    </row>
    <row r="827" spans="5:12" x14ac:dyDescent="0.25">
      <c r="E827" s="22"/>
      <c r="F827" s="16"/>
      <c r="G827" s="43"/>
      <c r="H827" s="22"/>
      <c r="I827" s="22"/>
      <c r="J827" s="22"/>
      <c r="K827" s="22"/>
      <c r="L827" s="22"/>
    </row>
    <row r="828" spans="5:12" x14ac:dyDescent="0.25">
      <c r="E828" s="22"/>
      <c r="F828" s="16"/>
      <c r="G828" s="43"/>
      <c r="H828" s="22"/>
      <c r="I828" s="22"/>
      <c r="J828" s="22"/>
      <c r="K828" s="22"/>
      <c r="L828" s="22"/>
    </row>
    <row r="829" spans="5:12" x14ac:dyDescent="0.25">
      <c r="E829" s="22"/>
      <c r="F829" s="16"/>
      <c r="G829" s="43"/>
      <c r="H829" s="22"/>
      <c r="I829" s="22"/>
      <c r="J829" s="22"/>
      <c r="K829" s="22"/>
      <c r="L829" s="22"/>
    </row>
    <row r="830" spans="5:12" x14ac:dyDescent="0.25">
      <c r="E830" s="22"/>
      <c r="F830" s="16"/>
      <c r="G830" s="43"/>
      <c r="H830" s="22"/>
      <c r="I830" s="22"/>
      <c r="J830" s="22"/>
      <c r="K830" s="22"/>
      <c r="L830" s="22"/>
    </row>
    <row r="831" spans="5:12" x14ac:dyDescent="0.25">
      <c r="E831" s="22"/>
      <c r="F831" s="16"/>
      <c r="G831" s="43"/>
      <c r="H831" s="22"/>
      <c r="I831" s="22"/>
      <c r="J831" s="22"/>
      <c r="K831" s="22"/>
      <c r="L831" s="22"/>
    </row>
    <row r="832" spans="5:12" x14ac:dyDescent="0.25">
      <c r="E832" s="22"/>
      <c r="F832" s="16"/>
      <c r="G832" s="43"/>
      <c r="H832" s="22"/>
      <c r="I832" s="22"/>
      <c r="J832" s="22"/>
      <c r="K832" s="22"/>
      <c r="L832" s="22"/>
    </row>
    <row r="833" spans="5:12" x14ac:dyDescent="0.25">
      <c r="E833" s="22"/>
      <c r="F833" s="16"/>
      <c r="G833" s="43"/>
      <c r="H833" s="22"/>
      <c r="I833" s="22"/>
      <c r="J833" s="22"/>
      <c r="K833" s="22"/>
      <c r="L833" s="22"/>
    </row>
    <row r="834" spans="5:12" x14ac:dyDescent="0.25">
      <c r="E834" s="22"/>
      <c r="F834" s="16"/>
      <c r="G834" s="43"/>
      <c r="H834" s="22"/>
      <c r="I834" s="22"/>
      <c r="J834" s="22"/>
      <c r="K834" s="22"/>
      <c r="L834" s="22"/>
    </row>
    <row r="835" spans="5:12" x14ac:dyDescent="0.25">
      <c r="E835" s="22"/>
      <c r="F835" s="16"/>
      <c r="G835" s="43"/>
      <c r="H835" s="22"/>
      <c r="I835" s="22"/>
      <c r="J835" s="22"/>
      <c r="K835" s="22"/>
      <c r="L835" s="22"/>
    </row>
    <row r="836" spans="5:12" x14ac:dyDescent="0.25">
      <c r="E836" s="22"/>
      <c r="F836" s="16"/>
      <c r="G836" s="43"/>
      <c r="H836" s="22"/>
      <c r="I836" s="22"/>
      <c r="J836" s="22"/>
      <c r="K836" s="22"/>
      <c r="L836" s="22"/>
    </row>
    <row r="837" spans="5:12" x14ac:dyDescent="0.25">
      <c r="E837" s="22"/>
      <c r="F837" s="16"/>
      <c r="G837" s="43"/>
      <c r="H837" s="22"/>
      <c r="I837" s="22"/>
      <c r="J837" s="22"/>
      <c r="K837" s="22"/>
      <c r="L837" s="22"/>
    </row>
    <row r="838" spans="5:12" x14ac:dyDescent="0.25">
      <c r="E838" s="22"/>
      <c r="F838" s="16"/>
      <c r="G838" s="43"/>
      <c r="H838" s="22"/>
      <c r="I838" s="22"/>
      <c r="J838" s="22"/>
      <c r="K838" s="22"/>
      <c r="L838" s="22"/>
    </row>
    <row r="839" spans="5:12" x14ac:dyDescent="0.25">
      <c r="E839" s="22"/>
      <c r="F839" s="16"/>
      <c r="G839" s="43"/>
      <c r="H839" s="22"/>
      <c r="I839" s="22"/>
      <c r="J839" s="22"/>
      <c r="K839" s="22"/>
      <c r="L839" s="22"/>
    </row>
    <row r="840" spans="5:12" x14ac:dyDescent="0.25">
      <c r="E840" s="22"/>
      <c r="F840" s="16"/>
      <c r="G840" s="43"/>
      <c r="H840" s="22"/>
      <c r="I840" s="22"/>
      <c r="J840" s="22"/>
      <c r="K840" s="22"/>
      <c r="L840" s="22"/>
    </row>
    <row r="841" spans="5:12" x14ac:dyDescent="0.25">
      <c r="E841" s="22"/>
      <c r="F841" s="16"/>
      <c r="G841" s="43"/>
      <c r="H841" s="22"/>
      <c r="I841" s="22"/>
      <c r="J841" s="22"/>
      <c r="K841" s="22"/>
      <c r="L841" s="22"/>
    </row>
    <row r="842" spans="5:12" x14ac:dyDescent="0.25">
      <c r="E842" s="22"/>
      <c r="F842" s="16"/>
      <c r="G842" s="43"/>
      <c r="H842" s="22"/>
      <c r="I842" s="22"/>
      <c r="J842" s="22"/>
      <c r="K842" s="22"/>
      <c r="L842" s="22"/>
    </row>
    <row r="843" spans="5:12" x14ac:dyDescent="0.25">
      <c r="E843" s="22"/>
      <c r="F843" s="16"/>
      <c r="G843" s="43"/>
      <c r="H843" s="22"/>
      <c r="I843" s="22"/>
      <c r="J843" s="22"/>
      <c r="K843" s="22"/>
      <c r="L843" s="22"/>
    </row>
    <row r="844" spans="5:12" x14ac:dyDescent="0.25">
      <c r="E844" s="22"/>
      <c r="F844" s="16"/>
      <c r="G844" s="43"/>
      <c r="H844" s="22"/>
      <c r="I844" s="22"/>
      <c r="J844" s="22"/>
      <c r="K844" s="22"/>
      <c r="L844" s="22"/>
    </row>
    <row r="845" spans="5:12" x14ac:dyDescent="0.25">
      <c r="E845" s="22"/>
      <c r="F845" s="16"/>
      <c r="G845" s="43"/>
      <c r="H845" s="22"/>
      <c r="I845" s="22"/>
      <c r="J845" s="22"/>
      <c r="K845" s="22"/>
      <c r="L845" s="22"/>
    </row>
    <row r="846" spans="5:12" x14ac:dyDescent="0.25">
      <c r="E846" s="22"/>
      <c r="F846" s="16"/>
      <c r="G846" s="43"/>
      <c r="H846" s="22"/>
      <c r="I846" s="22"/>
      <c r="J846" s="22"/>
      <c r="K846" s="22"/>
      <c r="L846" s="22"/>
    </row>
    <row r="847" spans="5:12" x14ac:dyDescent="0.25">
      <c r="E847" s="22"/>
      <c r="F847" s="16"/>
      <c r="G847" s="43"/>
      <c r="H847" s="22"/>
      <c r="I847" s="22"/>
      <c r="J847" s="22"/>
      <c r="K847" s="22"/>
      <c r="L847" s="22"/>
    </row>
    <row r="848" spans="5:12" x14ac:dyDescent="0.25">
      <c r="E848" s="22"/>
      <c r="F848" s="16"/>
      <c r="G848" s="43"/>
      <c r="H848" s="22"/>
      <c r="I848" s="22"/>
      <c r="J848" s="22"/>
      <c r="K848" s="22"/>
      <c r="L848" s="22"/>
    </row>
    <row r="849" spans="5:12" x14ac:dyDescent="0.25">
      <c r="E849" s="22"/>
      <c r="F849" s="16"/>
      <c r="G849" s="43"/>
      <c r="H849" s="22"/>
      <c r="I849" s="22"/>
      <c r="J849" s="22"/>
      <c r="K849" s="22"/>
      <c r="L849" s="22"/>
    </row>
    <row r="850" spans="5:12" x14ac:dyDescent="0.25">
      <c r="E850" s="22"/>
      <c r="F850" s="16"/>
      <c r="G850" s="43"/>
      <c r="H850" s="22"/>
      <c r="I850" s="22"/>
      <c r="J850" s="22"/>
      <c r="K850" s="22"/>
      <c r="L850" s="22"/>
    </row>
    <row r="851" spans="5:12" x14ac:dyDescent="0.25">
      <c r="E851" s="22"/>
      <c r="F851" s="16"/>
      <c r="G851" s="43"/>
      <c r="H851" s="22"/>
      <c r="I851" s="22"/>
      <c r="J851" s="22"/>
      <c r="K851" s="22"/>
      <c r="L851" s="22"/>
    </row>
    <row r="852" spans="5:12" x14ac:dyDescent="0.25">
      <c r="E852" s="22"/>
      <c r="F852" s="16"/>
      <c r="G852" s="43"/>
      <c r="H852" s="22"/>
      <c r="I852" s="22"/>
      <c r="J852" s="22"/>
      <c r="K852" s="22"/>
      <c r="L852" s="22"/>
    </row>
    <row r="853" spans="5:12" x14ac:dyDescent="0.25">
      <c r="E853" s="22"/>
      <c r="F853" s="16"/>
      <c r="G853" s="43"/>
      <c r="H853" s="22"/>
      <c r="I853" s="22"/>
      <c r="J853" s="22"/>
      <c r="K853" s="22"/>
      <c r="L853" s="22"/>
    </row>
    <row r="854" spans="5:12" x14ac:dyDescent="0.25">
      <c r="E854" s="22"/>
      <c r="F854" s="16"/>
      <c r="G854" s="43"/>
      <c r="H854" s="22"/>
      <c r="I854" s="22"/>
      <c r="J854" s="22"/>
      <c r="K854" s="22"/>
      <c r="L854" s="22"/>
    </row>
    <row r="855" spans="5:12" x14ac:dyDescent="0.25">
      <c r="E855" s="22"/>
      <c r="F855" s="16"/>
      <c r="G855" s="43"/>
      <c r="H855" s="22"/>
      <c r="I855" s="22"/>
      <c r="J855" s="22"/>
      <c r="K855" s="22"/>
      <c r="L855" s="22"/>
    </row>
    <row r="856" spans="5:12" x14ac:dyDescent="0.25">
      <c r="E856" s="22"/>
      <c r="F856" s="16"/>
      <c r="G856" s="43"/>
      <c r="H856" s="22"/>
      <c r="I856" s="22"/>
      <c r="J856" s="22"/>
      <c r="K856" s="22"/>
      <c r="L856" s="22"/>
    </row>
    <row r="857" spans="5:12" x14ac:dyDescent="0.25">
      <c r="E857" s="22"/>
      <c r="F857" s="16"/>
      <c r="G857" s="43"/>
      <c r="H857" s="22"/>
      <c r="I857" s="22"/>
      <c r="J857" s="22"/>
      <c r="K857" s="22"/>
      <c r="L857" s="22"/>
    </row>
    <row r="858" spans="5:12" x14ac:dyDescent="0.25">
      <c r="E858" s="22"/>
      <c r="F858" s="16"/>
      <c r="G858" s="43"/>
      <c r="H858" s="22"/>
      <c r="I858" s="22"/>
      <c r="J858" s="22"/>
      <c r="K858" s="22"/>
      <c r="L858" s="22"/>
    </row>
    <row r="859" spans="5:12" x14ac:dyDescent="0.25">
      <c r="E859" s="22"/>
      <c r="F859" s="16"/>
      <c r="G859" s="43"/>
      <c r="H859" s="22"/>
      <c r="I859" s="22"/>
      <c r="J859" s="22"/>
      <c r="K859" s="22"/>
      <c r="L859" s="22"/>
    </row>
    <row r="860" spans="5:12" x14ac:dyDescent="0.25">
      <c r="E860" s="22"/>
      <c r="F860" s="16"/>
      <c r="G860" s="43"/>
      <c r="H860" s="22"/>
      <c r="I860" s="22"/>
      <c r="J860" s="22"/>
      <c r="K860" s="22"/>
      <c r="L860" s="22"/>
    </row>
    <row r="861" spans="5:12" x14ac:dyDescent="0.25">
      <c r="E861" s="22"/>
      <c r="F861" s="16"/>
      <c r="G861" s="43"/>
      <c r="H861" s="22"/>
      <c r="I861" s="22"/>
      <c r="J861" s="22"/>
      <c r="K861" s="22"/>
      <c r="L861" s="22"/>
    </row>
    <row r="862" spans="5:12" x14ac:dyDescent="0.25">
      <c r="E862" s="22"/>
      <c r="F862" s="16"/>
      <c r="G862" s="43"/>
      <c r="H862" s="22"/>
      <c r="I862" s="22"/>
      <c r="J862" s="22"/>
      <c r="K862" s="22"/>
      <c r="L862" s="22"/>
    </row>
    <row r="863" spans="5:12" x14ac:dyDescent="0.25">
      <c r="E863" s="22"/>
      <c r="F863" s="16"/>
      <c r="G863" s="43"/>
      <c r="H863" s="22"/>
      <c r="I863" s="22"/>
      <c r="J863" s="22"/>
      <c r="K863" s="22"/>
      <c r="L863" s="22"/>
    </row>
    <row r="864" spans="5:12" x14ac:dyDescent="0.25">
      <c r="E864" s="22"/>
      <c r="F864" s="16"/>
      <c r="G864" s="43"/>
      <c r="H864" s="22"/>
      <c r="I864" s="22"/>
      <c r="J864" s="22"/>
      <c r="K864" s="22"/>
      <c r="L864" s="22"/>
    </row>
    <row r="865" spans="5:12" x14ac:dyDescent="0.25">
      <c r="E865" s="22"/>
      <c r="F865" s="16"/>
      <c r="G865" s="43"/>
      <c r="H865" s="22"/>
      <c r="I865" s="22"/>
      <c r="J865" s="22"/>
      <c r="K865" s="22"/>
      <c r="L865" s="22"/>
    </row>
    <row r="866" spans="5:12" x14ac:dyDescent="0.25">
      <c r="E866" s="22"/>
      <c r="F866" s="16"/>
      <c r="G866" s="43"/>
      <c r="H866" s="22"/>
      <c r="I866" s="22"/>
      <c r="J866" s="22"/>
      <c r="K866" s="22"/>
      <c r="L866" s="22"/>
    </row>
    <row r="867" spans="5:12" x14ac:dyDescent="0.25">
      <c r="E867" s="22"/>
      <c r="F867" s="16"/>
      <c r="G867" s="43"/>
      <c r="H867" s="22"/>
      <c r="I867" s="22"/>
      <c r="J867" s="22"/>
      <c r="K867" s="22"/>
      <c r="L867" s="22"/>
    </row>
    <row r="868" spans="5:12" x14ac:dyDescent="0.25">
      <c r="E868" s="22"/>
      <c r="F868" s="16"/>
      <c r="G868" s="43"/>
      <c r="H868" s="22"/>
      <c r="I868" s="22"/>
      <c r="J868" s="22"/>
      <c r="K868" s="22"/>
      <c r="L868" s="22"/>
    </row>
    <row r="869" spans="5:12" x14ac:dyDescent="0.25">
      <c r="E869" s="22"/>
      <c r="F869" s="16"/>
      <c r="G869" s="43"/>
      <c r="H869" s="22"/>
      <c r="I869" s="22"/>
      <c r="J869" s="22"/>
      <c r="K869" s="22"/>
      <c r="L869" s="22"/>
    </row>
    <row r="870" spans="5:12" x14ac:dyDescent="0.25">
      <c r="E870" s="22"/>
      <c r="F870" s="16"/>
      <c r="G870" s="43"/>
      <c r="H870" s="22"/>
      <c r="I870" s="22"/>
      <c r="J870" s="22"/>
      <c r="K870" s="22"/>
      <c r="L870" s="22"/>
    </row>
    <row r="871" spans="5:12" x14ac:dyDescent="0.25">
      <c r="E871" s="22"/>
      <c r="F871" s="16"/>
      <c r="G871" s="43"/>
      <c r="H871" s="22"/>
      <c r="I871" s="22"/>
      <c r="J871" s="22"/>
      <c r="K871" s="22"/>
      <c r="L871" s="22"/>
    </row>
    <row r="872" spans="5:12" x14ac:dyDescent="0.25">
      <c r="E872" s="22"/>
      <c r="F872" s="16"/>
      <c r="G872" s="43"/>
      <c r="H872" s="22"/>
      <c r="I872" s="22"/>
      <c r="J872" s="22"/>
      <c r="K872" s="22"/>
      <c r="L872" s="22"/>
    </row>
    <row r="873" spans="5:12" x14ac:dyDescent="0.25">
      <c r="E873" s="22"/>
      <c r="F873" s="16"/>
      <c r="G873" s="43"/>
      <c r="H873" s="22"/>
      <c r="I873" s="22"/>
      <c r="J873" s="22"/>
      <c r="K873" s="22"/>
      <c r="L873" s="22"/>
    </row>
    <row r="874" spans="5:12" x14ac:dyDescent="0.25">
      <c r="E874" s="22"/>
      <c r="F874" s="16"/>
      <c r="G874" s="43"/>
      <c r="H874" s="22"/>
      <c r="I874" s="22"/>
      <c r="J874" s="22"/>
      <c r="K874" s="22"/>
      <c r="L874" s="22"/>
    </row>
    <row r="875" spans="5:12" x14ac:dyDescent="0.25">
      <c r="E875" s="22"/>
      <c r="F875" s="16"/>
      <c r="G875" s="43"/>
      <c r="H875" s="22"/>
      <c r="I875" s="22"/>
      <c r="J875" s="22"/>
      <c r="K875" s="22"/>
      <c r="L875" s="22"/>
    </row>
    <row r="876" spans="5:12" x14ac:dyDescent="0.25">
      <c r="E876" s="22"/>
      <c r="F876" s="16"/>
      <c r="G876" s="43"/>
      <c r="H876" s="22"/>
      <c r="I876" s="22"/>
      <c r="J876" s="22"/>
      <c r="K876" s="22"/>
      <c r="L876" s="22"/>
    </row>
    <row r="877" spans="5:12" x14ac:dyDescent="0.25">
      <c r="E877" s="22"/>
      <c r="F877" s="16"/>
      <c r="G877" s="43"/>
      <c r="H877" s="22"/>
      <c r="I877" s="22"/>
      <c r="J877" s="22"/>
      <c r="K877" s="22"/>
      <c r="L877" s="22"/>
    </row>
    <row r="878" spans="5:12" x14ac:dyDescent="0.25">
      <c r="E878" s="22"/>
      <c r="F878" s="16"/>
      <c r="G878" s="43"/>
      <c r="H878" s="22"/>
      <c r="I878" s="22"/>
      <c r="J878" s="22"/>
      <c r="K878" s="22"/>
      <c r="L878" s="22"/>
    </row>
    <row r="879" spans="5:12" x14ac:dyDescent="0.25">
      <c r="E879" s="22"/>
      <c r="F879" s="16"/>
      <c r="G879" s="43"/>
      <c r="H879" s="22"/>
      <c r="I879" s="22"/>
      <c r="J879" s="22"/>
      <c r="K879" s="22"/>
      <c r="L879" s="22"/>
    </row>
    <row r="880" spans="5:12" x14ac:dyDescent="0.25">
      <c r="E880" s="22"/>
      <c r="F880" s="16"/>
      <c r="G880" s="43"/>
      <c r="H880" s="22"/>
      <c r="I880" s="22"/>
      <c r="J880" s="22"/>
      <c r="K880" s="22"/>
      <c r="L880" s="22"/>
    </row>
    <row r="881" spans="5:12" x14ac:dyDescent="0.25">
      <c r="E881" s="22"/>
      <c r="F881" s="16"/>
      <c r="G881" s="43"/>
      <c r="H881" s="22"/>
      <c r="I881" s="22"/>
      <c r="J881" s="22"/>
      <c r="K881" s="22"/>
      <c r="L881" s="22"/>
    </row>
    <row r="882" spans="5:12" x14ac:dyDescent="0.25">
      <c r="E882" s="22"/>
      <c r="F882" s="16"/>
      <c r="G882" s="43"/>
      <c r="H882" s="22"/>
      <c r="I882" s="22"/>
      <c r="J882" s="22"/>
      <c r="K882" s="22"/>
      <c r="L882" s="22"/>
    </row>
    <row r="883" spans="5:12" x14ac:dyDescent="0.25">
      <c r="E883" s="22"/>
      <c r="F883" s="16"/>
      <c r="G883" s="43"/>
      <c r="H883" s="22"/>
      <c r="I883" s="22"/>
      <c r="J883" s="22"/>
      <c r="K883" s="22"/>
      <c r="L883" s="22"/>
    </row>
    <row r="884" spans="5:12" x14ac:dyDescent="0.25">
      <c r="E884" s="22"/>
      <c r="F884" s="16"/>
      <c r="G884" s="43"/>
      <c r="H884" s="22"/>
      <c r="I884" s="22"/>
      <c r="J884" s="22"/>
      <c r="K884" s="22"/>
      <c r="L884" s="22"/>
    </row>
    <row r="885" spans="5:12" x14ac:dyDescent="0.25">
      <c r="E885" s="22"/>
      <c r="F885" s="16"/>
      <c r="G885" s="43"/>
      <c r="H885" s="22"/>
      <c r="I885" s="22"/>
      <c r="J885" s="22"/>
      <c r="K885" s="22"/>
      <c r="L885" s="22"/>
    </row>
    <row r="886" spans="5:12" x14ac:dyDescent="0.25">
      <c r="E886" s="22"/>
      <c r="F886" s="16"/>
      <c r="G886" s="43"/>
      <c r="H886" s="22"/>
      <c r="I886" s="22"/>
      <c r="J886" s="22"/>
      <c r="K886" s="22"/>
      <c r="L886" s="22"/>
    </row>
    <row r="887" spans="5:12" x14ac:dyDescent="0.25">
      <c r="E887" s="22"/>
      <c r="F887" s="16"/>
      <c r="G887" s="43"/>
      <c r="H887" s="22"/>
      <c r="I887" s="22"/>
      <c r="J887" s="22"/>
      <c r="K887" s="22"/>
      <c r="L887" s="22"/>
    </row>
    <row r="888" spans="5:12" x14ac:dyDescent="0.25">
      <c r="E888" s="22"/>
      <c r="F888" s="16"/>
      <c r="G888" s="43"/>
      <c r="H888" s="22"/>
      <c r="I888" s="22"/>
      <c r="J888" s="22"/>
      <c r="K888" s="22"/>
      <c r="L888" s="22"/>
    </row>
    <row r="889" spans="5:12" x14ac:dyDescent="0.25">
      <c r="E889" s="22"/>
      <c r="F889" s="16"/>
      <c r="G889" s="43"/>
      <c r="H889" s="22"/>
      <c r="I889" s="22"/>
      <c r="J889" s="22"/>
      <c r="K889" s="22"/>
      <c r="L889" s="22"/>
    </row>
    <row r="890" spans="5:12" x14ac:dyDescent="0.25">
      <c r="E890" s="22"/>
      <c r="F890" s="16"/>
      <c r="G890" s="43"/>
      <c r="H890" s="22"/>
      <c r="I890" s="22"/>
      <c r="J890" s="22"/>
      <c r="K890" s="22"/>
      <c r="L890" s="22"/>
    </row>
    <row r="891" spans="5:12" x14ac:dyDescent="0.25">
      <c r="E891" s="22"/>
      <c r="F891" s="16"/>
      <c r="G891" s="43"/>
      <c r="H891" s="22"/>
      <c r="I891" s="22"/>
      <c r="J891" s="22"/>
      <c r="K891" s="22"/>
      <c r="L891" s="22"/>
    </row>
    <row r="892" spans="5:12" x14ac:dyDescent="0.25">
      <c r="E892" s="22"/>
      <c r="F892" s="16"/>
      <c r="G892" s="43"/>
      <c r="H892" s="22"/>
      <c r="I892" s="22"/>
      <c r="J892" s="22"/>
      <c r="K892" s="22"/>
      <c r="L892" s="22"/>
    </row>
    <row r="893" spans="5:12" x14ac:dyDescent="0.25">
      <c r="E893" s="22"/>
      <c r="F893" s="16"/>
      <c r="G893" s="43"/>
      <c r="H893" s="22"/>
      <c r="I893" s="22"/>
      <c r="J893" s="22"/>
      <c r="K893" s="22"/>
      <c r="L893" s="22"/>
    </row>
    <row r="894" spans="5:12" x14ac:dyDescent="0.25">
      <c r="E894" s="22"/>
      <c r="F894" s="16"/>
      <c r="G894" s="43"/>
      <c r="H894" s="22"/>
      <c r="I894" s="22"/>
      <c r="J894" s="22"/>
      <c r="K894" s="22"/>
      <c r="L894" s="22"/>
    </row>
    <row r="895" spans="5:12" x14ac:dyDescent="0.25">
      <c r="E895" s="22"/>
      <c r="F895" s="16"/>
      <c r="G895" s="43"/>
      <c r="H895" s="22"/>
      <c r="I895" s="22"/>
      <c r="J895" s="22"/>
      <c r="K895" s="22"/>
      <c r="L895" s="22"/>
    </row>
    <row r="896" spans="5:12" x14ac:dyDescent="0.25">
      <c r="E896" s="22"/>
      <c r="F896" s="16"/>
      <c r="G896" s="43"/>
      <c r="H896" s="22"/>
      <c r="I896" s="22"/>
      <c r="J896" s="22"/>
      <c r="K896" s="22"/>
      <c r="L896" s="22"/>
    </row>
    <row r="897" spans="5:12" x14ac:dyDescent="0.25">
      <c r="E897" s="22"/>
      <c r="F897" s="16"/>
      <c r="G897" s="43"/>
      <c r="H897" s="22"/>
      <c r="I897" s="22"/>
      <c r="J897" s="22"/>
      <c r="K897" s="22"/>
      <c r="L897" s="22"/>
    </row>
    <row r="898" spans="5:12" x14ac:dyDescent="0.25">
      <c r="E898" s="22"/>
      <c r="F898" s="16"/>
      <c r="G898" s="43"/>
      <c r="H898" s="22"/>
      <c r="I898" s="22"/>
      <c r="J898" s="22"/>
      <c r="K898" s="22"/>
      <c r="L898" s="22"/>
    </row>
    <row r="899" spans="5:12" x14ac:dyDescent="0.25">
      <c r="E899" s="22"/>
      <c r="F899" s="16"/>
      <c r="G899" s="43"/>
      <c r="H899" s="22"/>
      <c r="I899" s="22"/>
      <c r="J899" s="22"/>
      <c r="K899" s="22"/>
      <c r="L899" s="22"/>
    </row>
    <row r="900" spans="5:12" x14ac:dyDescent="0.25">
      <c r="E900" s="22"/>
      <c r="F900" s="16"/>
      <c r="G900" s="43"/>
      <c r="H900" s="22"/>
      <c r="I900" s="22"/>
      <c r="J900" s="22"/>
      <c r="K900" s="22"/>
      <c r="L900" s="22"/>
    </row>
    <row r="901" spans="5:12" x14ac:dyDescent="0.25">
      <c r="E901" s="22"/>
      <c r="F901" s="16"/>
      <c r="G901" s="43"/>
      <c r="H901" s="22"/>
      <c r="I901" s="22"/>
      <c r="J901" s="22"/>
      <c r="K901" s="22"/>
      <c r="L901" s="22"/>
    </row>
    <row r="902" spans="5:12" x14ac:dyDescent="0.25">
      <c r="E902" s="22"/>
      <c r="F902" s="16"/>
      <c r="G902" s="43"/>
      <c r="H902" s="22"/>
      <c r="I902" s="22"/>
      <c r="J902" s="22"/>
      <c r="K902" s="22"/>
      <c r="L902" s="22"/>
    </row>
    <row r="903" spans="5:12" x14ac:dyDescent="0.25">
      <c r="E903" s="22"/>
      <c r="F903" s="16"/>
      <c r="G903" s="43"/>
      <c r="H903" s="22"/>
      <c r="I903" s="22"/>
      <c r="J903" s="22"/>
      <c r="K903" s="22"/>
      <c r="L903" s="22"/>
    </row>
    <row r="904" spans="5:12" x14ac:dyDescent="0.25">
      <c r="E904" s="22"/>
      <c r="F904" s="16"/>
      <c r="G904" s="43"/>
      <c r="H904" s="22"/>
      <c r="I904" s="22"/>
      <c r="J904" s="22"/>
      <c r="K904" s="22"/>
      <c r="L904" s="22"/>
    </row>
    <row r="905" spans="5:12" x14ac:dyDescent="0.25">
      <c r="E905" s="22"/>
      <c r="F905" s="16"/>
      <c r="G905" s="43"/>
      <c r="H905" s="22"/>
      <c r="I905" s="22"/>
      <c r="J905" s="22"/>
      <c r="K905" s="22"/>
      <c r="L905" s="22"/>
    </row>
    <row r="906" spans="5:12" x14ac:dyDescent="0.25">
      <c r="E906" s="22"/>
      <c r="F906" s="16"/>
      <c r="G906" s="43"/>
      <c r="H906" s="22"/>
      <c r="I906" s="22"/>
      <c r="J906" s="22"/>
      <c r="K906" s="22"/>
      <c r="L906" s="22"/>
    </row>
    <row r="907" spans="5:12" x14ac:dyDescent="0.25">
      <c r="E907" s="22"/>
      <c r="F907" s="16"/>
      <c r="G907" s="43"/>
      <c r="H907" s="22"/>
      <c r="I907" s="22"/>
      <c r="J907" s="22"/>
      <c r="K907" s="22"/>
      <c r="L907" s="22"/>
    </row>
    <row r="908" spans="5:12" x14ac:dyDescent="0.25">
      <c r="E908" s="22"/>
      <c r="F908" s="16"/>
      <c r="G908" s="43"/>
      <c r="H908" s="22"/>
      <c r="I908" s="22"/>
      <c r="J908" s="22"/>
      <c r="K908" s="22"/>
      <c r="L908" s="22"/>
    </row>
    <row r="909" spans="5:12" x14ac:dyDescent="0.25">
      <c r="E909" s="22"/>
      <c r="F909" s="16"/>
      <c r="G909" s="43"/>
      <c r="H909" s="22"/>
      <c r="I909" s="22"/>
      <c r="J909" s="22"/>
      <c r="K909" s="22"/>
      <c r="L909" s="22"/>
    </row>
    <row r="910" spans="5:12" x14ac:dyDescent="0.25">
      <c r="E910" s="22"/>
      <c r="F910" s="16"/>
      <c r="G910" s="43"/>
      <c r="H910" s="22"/>
      <c r="I910" s="22"/>
      <c r="J910" s="22"/>
      <c r="K910" s="22"/>
      <c r="L910" s="22"/>
    </row>
    <row r="911" spans="5:12" x14ac:dyDescent="0.25">
      <c r="E911" s="22"/>
      <c r="F911" s="16"/>
      <c r="G911" s="43"/>
      <c r="H911" s="22"/>
      <c r="I911" s="22"/>
      <c r="J911" s="22"/>
      <c r="K911" s="22"/>
      <c r="L911" s="22"/>
    </row>
    <row r="912" spans="5:12" x14ac:dyDescent="0.25">
      <c r="E912" s="22"/>
      <c r="F912" s="16"/>
      <c r="G912" s="43"/>
      <c r="H912" s="22"/>
      <c r="I912" s="22"/>
      <c r="J912" s="22"/>
      <c r="K912" s="22"/>
      <c r="L912" s="22"/>
    </row>
    <row r="913" spans="5:12" x14ac:dyDescent="0.25">
      <c r="E913" s="22"/>
      <c r="F913" s="16"/>
      <c r="G913" s="43"/>
      <c r="H913" s="22"/>
      <c r="I913" s="22"/>
      <c r="J913" s="22"/>
      <c r="K913" s="22"/>
      <c r="L913" s="22"/>
    </row>
    <row r="914" spans="5:12" x14ac:dyDescent="0.25">
      <c r="E914" s="22"/>
      <c r="F914" s="16"/>
      <c r="G914" s="43"/>
      <c r="H914" s="22"/>
      <c r="I914" s="22"/>
      <c r="J914" s="22"/>
      <c r="K914" s="22"/>
      <c r="L914" s="22"/>
    </row>
    <row r="915" spans="5:12" x14ac:dyDescent="0.25">
      <c r="E915" s="22"/>
      <c r="F915" s="16"/>
      <c r="G915" s="43"/>
      <c r="H915" s="22"/>
      <c r="I915" s="22"/>
      <c r="J915" s="22"/>
      <c r="K915" s="22"/>
      <c r="L915" s="22"/>
    </row>
    <row r="916" spans="5:12" x14ac:dyDescent="0.25">
      <c r="E916" s="22"/>
      <c r="F916" s="16"/>
      <c r="G916" s="43"/>
      <c r="H916" s="22"/>
      <c r="I916" s="22"/>
      <c r="J916" s="22"/>
      <c r="K916" s="22"/>
      <c r="L916" s="22"/>
    </row>
    <row r="917" spans="5:12" x14ac:dyDescent="0.25">
      <c r="E917" s="22"/>
      <c r="F917" s="16"/>
      <c r="G917" s="43"/>
      <c r="H917" s="22"/>
      <c r="I917" s="22"/>
      <c r="J917" s="22"/>
      <c r="K917" s="22"/>
      <c r="L917" s="22"/>
    </row>
    <row r="918" spans="5:12" x14ac:dyDescent="0.25">
      <c r="E918" s="22"/>
      <c r="F918" s="16"/>
      <c r="G918" s="43"/>
      <c r="H918" s="22"/>
      <c r="I918" s="22"/>
      <c r="J918" s="22"/>
      <c r="K918" s="22"/>
      <c r="L918" s="22"/>
    </row>
    <row r="919" spans="5:12" x14ac:dyDescent="0.25">
      <c r="E919" s="22"/>
      <c r="F919" s="16"/>
      <c r="G919" s="43"/>
      <c r="H919" s="22"/>
      <c r="I919" s="22"/>
      <c r="J919" s="22"/>
      <c r="K919" s="22"/>
      <c r="L919" s="22"/>
    </row>
    <row r="920" spans="5:12" x14ac:dyDescent="0.25">
      <c r="E920" s="22"/>
      <c r="F920" s="16"/>
      <c r="G920" s="43"/>
      <c r="H920" s="22"/>
      <c r="I920" s="22"/>
      <c r="J920" s="22"/>
      <c r="K920" s="22"/>
      <c r="L920" s="22"/>
    </row>
    <row r="921" spans="5:12" x14ac:dyDescent="0.25">
      <c r="E921" s="22"/>
      <c r="F921" s="16"/>
      <c r="G921" s="43"/>
      <c r="H921" s="22"/>
      <c r="I921" s="22"/>
      <c r="J921" s="22"/>
      <c r="K921" s="22"/>
      <c r="L921" s="22"/>
    </row>
    <row r="922" spans="5:12" x14ac:dyDescent="0.25">
      <c r="E922" s="22"/>
      <c r="F922" s="16"/>
      <c r="G922" s="43"/>
      <c r="H922" s="22"/>
      <c r="I922" s="22"/>
      <c r="J922" s="22"/>
      <c r="K922" s="22"/>
      <c r="L922" s="22"/>
    </row>
    <row r="923" spans="5:12" x14ac:dyDescent="0.25">
      <c r="E923" s="22"/>
      <c r="F923" s="16"/>
      <c r="G923" s="43"/>
      <c r="H923" s="22"/>
      <c r="I923" s="22"/>
      <c r="J923" s="22"/>
      <c r="K923" s="22"/>
      <c r="L923" s="22"/>
    </row>
    <row r="924" spans="5:12" x14ac:dyDescent="0.25">
      <c r="E924" s="22"/>
      <c r="F924" s="16"/>
      <c r="G924" s="43"/>
      <c r="H924" s="22"/>
      <c r="I924" s="22"/>
      <c r="J924" s="22"/>
      <c r="K924" s="22"/>
      <c r="L924" s="22"/>
    </row>
    <row r="925" spans="5:12" x14ac:dyDescent="0.25">
      <c r="E925" s="22"/>
      <c r="F925" s="16"/>
      <c r="G925" s="43"/>
      <c r="H925" s="22"/>
      <c r="I925" s="22"/>
      <c r="J925" s="22"/>
      <c r="K925" s="22"/>
      <c r="L925" s="22"/>
    </row>
    <row r="926" spans="5:12" x14ac:dyDescent="0.25">
      <c r="E926" s="22"/>
      <c r="F926" s="16"/>
      <c r="G926" s="43"/>
      <c r="H926" s="22"/>
      <c r="I926" s="22"/>
      <c r="J926" s="22"/>
      <c r="K926" s="22"/>
      <c r="L926" s="22"/>
    </row>
    <row r="927" spans="5:12" x14ac:dyDescent="0.25">
      <c r="E927" s="22"/>
      <c r="F927" s="16"/>
      <c r="G927" s="43"/>
      <c r="H927" s="22"/>
      <c r="I927" s="22"/>
      <c r="J927" s="22"/>
      <c r="K927" s="22"/>
      <c r="L927" s="22"/>
    </row>
    <row r="928" spans="5:12" x14ac:dyDescent="0.25">
      <c r="E928" s="22"/>
      <c r="F928" s="16"/>
      <c r="G928" s="43"/>
      <c r="H928" s="22"/>
      <c r="I928" s="22"/>
      <c r="J928" s="22"/>
      <c r="K928" s="22"/>
      <c r="L928" s="22"/>
    </row>
    <row r="929" spans="5:12" x14ac:dyDescent="0.25">
      <c r="E929" s="22"/>
      <c r="F929" s="16"/>
      <c r="G929" s="43"/>
      <c r="H929" s="22"/>
      <c r="I929" s="22"/>
      <c r="J929" s="22"/>
      <c r="K929" s="22"/>
      <c r="L929" s="22"/>
    </row>
    <row r="930" spans="5:12" x14ac:dyDescent="0.25">
      <c r="E930" s="22"/>
      <c r="F930" s="16"/>
      <c r="G930" s="43"/>
      <c r="H930" s="22"/>
      <c r="I930" s="22"/>
      <c r="J930" s="22"/>
      <c r="K930" s="22"/>
      <c r="L930" s="22"/>
    </row>
    <row r="931" spans="5:12" x14ac:dyDescent="0.25">
      <c r="E931" s="22"/>
      <c r="F931" s="16"/>
      <c r="G931" s="43"/>
      <c r="H931" s="22"/>
      <c r="I931" s="22"/>
      <c r="J931" s="22"/>
      <c r="K931" s="22"/>
      <c r="L931" s="22"/>
    </row>
    <row r="932" spans="5:12" x14ac:dyDescent="0.25">
      <c r="E932" s="22"/>
      <c r="F932" s="16"/>
      <c r="G932" s="43"/>
      <c r="H932" s="22"/>
      <c r="I932" s="22"/>
      <c r="J932" s="22"/>
      <c r="K932" s="22"/>
      <c r="L932" s="22"/>
    </row>
    <row r="933" spans="5:12" x14ac:dyDescent="0.25">
      <c r="E933" s="22"/>
      <c r="F933" s="16"/>
      <c r="G933" s="43"/>
      <c r="H933" s="22"/>
      <c r="I933" s="22"/>
      <c r="J933" s="22"/>
      <c r="K933" s="22"/>
      <c r="L933" s="22"/>
    </row>
    <row r="934" spans="5:12" x14ac:dyDescent="0.25">
      <c r="E934" s="22"/>
      <c r="F934" s="16"/>
      <c r="G934" s="43"/>
      <c r="H934" s="22"/>
      <c r="I934" s="22"/>
      <c r="J934" s="22"/>
      <c r="K934" s="22"/>
      <c r="L934" s="22"/>
    </row>
    <row r="935" spans="5:12" x14ac:dyDescent="0.25">
      <c r="E935" s="22"/>
      <c r="F935" s="16"/>
      <c r="G935" s="43"/>
      <c r="H935" s="22"/>
      <c r="I935" s="22"/>
      <c r="J935" s="22"/>
      <c r="K935" s="22"/>
      <c r="L935" s="22"/>
    </row>
    <row r="936" spans="5:12" x14ac:dyDescent="0.25">
      <c r="E936" s="22"/>
      <c r="F936" s="16"/>
      <c r="G936" s="43"/>
      <c r="H936" s="22"/>
      <c r="I936" s="22"/>
      <c r="J936" s="22"/>
      <c r="K936" s="22"/>
      <c r="L936" s="22"/>
    </row>
    <row r="937" spans="5:12" x14ac:dyDescent="0.25">
      <c r="E937" s="22"/>
      <c r="F937" s="16"/>
      <c r="G937" s="43"/>
      <c r="H937" s="22"/>
      <c r="I937" s="22"/>
      <c r="J937" s="22"/>
      <c r="K937" s="22"/>
      <c r="L937" s="22"/>
    </row>
    <row r="938" spans="5:12" x14ac:dyDescent="0.25">
      <c r="E938" s="22"/>
      <c r="F938" s="16"/>
      <c r="G938" s="43"/>
      <c r="H938" s="22"/>
      <c r="I938" s="22"/>
      <c r="J938" s="22"/>
      <c r="K938" s="22"/>
      <c r="L938" s="22"/>
    </row>
    <row r="939" spans="5:12" x14ac:dyDescent="0.25">
      <c r="E939" s="22"/>
      <c r="F939" s="16"/>
      <c r="G939" s="43"/>
      <c r="H939" s="22"/>
      <c r="I939" s="22"/>
      <c r="J939" s="22"/>
      <c r="K939" s="22"/>
      <c r="L939" s="22"/>
    </row>
    <row r="940" spans="5:12" x14ac:dyDescent="0.25">
      <c r="E940" s="22"/>
      <c r="F940" s="16"/>
      <c r="G940" s="43"/>
      <c r="H940" s="22"/>
      <c r="I940" s="22"/>
      <c r="J940" s="22"/>
      <c r="K940" s="22"/>
      <c r="L940" s="22"/>
    </row>
    <row r="941" spans="5:12" x14ac:dyDescent="0.25">
      <c r="E941" s="22"/>
      <c r="F941" s="16"/>
      <c r="G941" s="43"/>
      <c r="H941" s="22"/>
      <c r="I941" s="22"/>
      <c r="J941" s="22"/>
      <c r="K941" s="22"/>
      <c r="L941" s="22"/>
    </row>
    <row r="942" spans="5:12" x14ac:dyDescent="0.25">
      <c r="E942" s="22"/>
      <c r="F942" s="16"/>
      <c r="G942" s="43"/>
      <c r="H942" s="22"/>
      <c r="I942" s="22"/>
      <c r="J942" s="22"/>
      <c r="K942" s="22"/>
      <c r="L942" s="22"/>
    </row>
    <row r="943" spans="5:12" x14ac:dyDescent="0.25">
      <c r="E943" s="22"/>
      <c r="F943" s="16"/>
      <c r="G943" s="43"/>
      <c r="H943" s="22"/>
      <c r="I943" s="22"/>
      <c r="J943" s="22"/>
      <c r="K943" s="22"/>
      <c r="L943" s="22"/>
    </row>
    <row r="944" spans="5:12" x14ac:dyDescent="0.25">
      <c r="E944" s="22"/>
      <c r="F944" s="16"/>
      <c r="G944" s="43"/>
      <c r="H944" s="22"/>
      <c r="I944" s="22"/>
      <c r="J944" s="22"/>
      <c r="K944" s="22"/>
      <c r="L944" s="22"/>
    </row>
    <row r="945" spans="5:12" x14ac:dyDescent="0.25">
      <c r="E945" s="22"/>
      <c r="F945" s="16"/>
      <c r="G945" s="43"/>
      <c r="H945" s="22"/>
      <c r="I945" s="22"/>
      <c r="J945" s="22"/>
      <c r="K945" s="22"/>
      <c r="L945" s="22"/>
    </row>
    <row r="946" spans="5:12" x14ac:dyDescent="0.25">
      <c r="E946" s="22"/>
      <c r="F946" s="16"/>
      <c r="G946" s="43"/>
      <c r="H946" s="22"/>
      <c r="I946" s="22"/>
      <c r="J946" s="22"/>
      <c r="K946" s="22"/>
      <c r="L946" s="22"/>
    </row>
    <row r="947" spans="5:12" x14ac:dyDescent="0.25">
      <c r="E947" s="22"/>
      <c r="F947" s="16"/>
      <c r="G947" s="43"/>
      <c r="H947" s="22"/>
      <c r="I947" s="22"/>
      <c r="J947" s="22"/>
      <c r="K947" s="22"/>
      <c r="L947" s="22"/>
    </row>
    <row r="948" spans="5:12" x14ac:dyDescent="0.25">
      <c r="E948" s="22"/>
      <c r="F948" s="16"/>
      <c r="G948" s="43"/>
      <c r="H948" s="22"/>
      <c r="I948" s="22"/>
      <c r="J948" s="22"/>
      <c r="K948" s="22"/>
      <c r="L948" s="22"/>
    </row>
    <row r="949" spans="5:12" x14ac:dyDescent="0.25">
      <c r="E949" s="22"/>
      <c r="F949" s="16"/>
      <c r="G949" s="43"/>
      <c r="H949" s="22"/>
      <c r="I949" s="22"/>
      <c r="J949" s="22"/>
      <c r="K949" s="22"/>
      <c r="L949" s="22"/>
    </row>
    <row r="950" spans="5:12" x14ac:dyDescent="0.25">
      <c r="E950" s="22"/>
      <c r="F950" s="16"/>
      <c r="G950" s="43"/>
      <c r="H950" s="22"/>
      <c r="I950" s="22"/>
      <c r="J950" s="22"/>
      <c r="K950" s="22"/>
      <c r="L950" s="22"/>
    </row>
    <row r="951" spans="5:12" x14ac:dyDescent="0.25">
      <c r="E951" s="22"/>
      <c r="F951" s="16"/>
      <c r="G951" s="43"/>
      <c r="H951" s="22"/>
      <c r="I951" s="22"/>
      <c r="J951" s="22"/>
      <c r="K951" s="22"/>
      <c r="L951" s="22"/>
    </row>
    <row r="952" spans="5:12" x14ac:dyDescent="0.25">
      <c r="E952" s="22"/>
      <c r="F952" s="16"/>
      <c r="G952" s="43"/>
      <c r="H952" s="22"/>
      <c r="I952" s="22"/>
      <c r="J952" s="22"/>
      <c r="K952" s="22"/>
      <c r="L952" s="22"/>
    </row>
    <row r="953" spans="5:12" x14ac:dyDescent="0.25">
      <c r="E953" s="22"/>
      <c r="F953" s="16"/>
      <c r="G953" s="43"/>
      <c r="H953" s="22"/>
      <c r="I953" s="22"/>
      <c r="J953" s="22"/>
      <c r="K953" s="22"/>
      <c r="L953" s="22"/>
    </row>
    <row r="954" spans="5:12" x14ac:dyDescent="0.25">
      <c r="E954" s="22"/>
      <c r="F954" s="16"/>
      <c r="G954" s="43"/>
      <c r="H954" s="22"/>
      <c r="I954" s="22"/>
      <c r="J954" s="22"/>
      <c r="K954" s="22"/>
      <c r="L954" s="22"/>
    </row>
    <row r="955" spans="5:12" x14ac:dyDescent="0.25">
      <c r="E955" s="22"/>
      <c r="F955" s="16"/>
      <c r="G955" s="43"/>
      <c r="H955" s="22"/>
      <c r="I955" s="22"/>
      <c r="J955" s="22"/>
      <c r="K955" s="22"/>
      <c r="L955" s="22"/>
    </row>
    <row r="956" spans="5:12" x14ac:dyDescent="0.25">
      <c r="E956" s="22"/>
      <c r="F956" s="16"/>
      <c r="G956" s="43"/>
      <c r="H956" s="22"/>
      <c r="I956" s="22"/>
      <c r="J956" s="22"/>
      <c r="K956" s="22"/>
      <c r="L956" s="22"/>
    </row>
    <row r="957" spans="5:12" x14ac:dyDescent="0.25">
      <c r="E957" s="22"/>
      <c r="F957" s="16"/>
      <c r="G957" s="43"/>
      <c r="H957" s="22"/>
      <c r="I957" s="22"/>
      <c r="J957" s="22"/>
      <c r="K957" s="22"/>
      <c r="L957" s="22"/>
    </row>
    <row r="958" spans="5:12" x14ac:dyDescent="0.25">
      <c r="E958" s="22"/>
      <c r="F958" s="16"/>
      <c r="G958" s="43"/>
      <c r="H958" s="22"/>
      <c r="I958" s="22"/>
      <c r="J958" s="22"/>
      <c r="K958" s="22"/>
      <c r="L958" s="22"/>
    </row>
    <row r="959" spans="5:12" x14ac:dyDescent="0.25">
      <c r="E959" s="22"/>
      <c r="F959" s="16"/>
      <c r="G959" s="43"/>
      <c r="H959" s="22"/>
      <c r="I959" s="22"/>
      <c r="J959" s="22"/>
      <c r="K959" s="22"/>
      <c r="L959" s="22"/>
    </row>
    <row r="960" spans="5:12" x14ac:dyDescent="0.25">
      <c r="E960" s="22"/>
      <c r="F960" s="16"/>
      <c r="G960" s="43"/>
      <c r="H960" s="22"/>
      <c r="I960" s="22"/>
      <c r="J960" s="22"/>
      <c r="K960" s="22"/>
      <c r="L960" s="22"/>
    </row>
    <row r="961" spans="5:12" x14ac:dyDescent="0.25">
      <c r="E961" s="22"/>
      <c r="F961" s="16"/>
      <c r="G961" s="43"/>
      <c r="H961" s="22"/>
      <c r="I961" s="22"/>
      <c r="J961" s="22"/>
      <c r="K961" s="22"/>
      <c r="L961" s="22"/>
    </row>
    <row r="962" spans="5:12" x14ac:dyDescent="0.25">
      <c r="E962" s="22"/>
      <c r="F962" s="16"/>
      <c r="G962" s="43"/>
      <c r="H962" s="22"/>
      <c r="I962" s="22"/>
      <c r="J962" s="22"/>
      <c r="K962" s="22"/>
      <c r="L962" s="22"/>
    </row>
    <row r="963" spans="5:12" x14ac:dyDescent="0.25">
      <c r="E963" s="22"/>
      <c r="F963" s="16"/>
      <c r="G963" s="43"/>
      <c r="H963" s="22"/>
      <c r="I963" s="22"/>
      <c r="J963" s="22"/>
      <c r="K963" s="22"/>
      <c r="L963" s="22"/>
    </row>
    <row r="964" spans="5:12" x14ac:dyDescent="0.25">
      <c r="E964" s="22"/>
      <c r="F964" s="16"/>
      <c r="G964" s="43"/>
      <c r="H964" s="22"/>
      <c r="I964" s="22"/>
      <c r="J964" s="22"/>
      <c r="K964" s="22"/>
      <c r="L964" s="22"/>
    </row>
    <row r="965" spans="5:12" x14ac:dyDescent="0.25">
      <c r="E965" s="22"/>
      <c r="F965" s="16"/>
      <c r="G965" s="43"/>
      <c r="H965" s="22"/>
      <c r="I965" s="22"/>
      <c r="J965" s="22"/>
      <c r="K965" s="22"/>
      <c r="L965" s="22"/>
    </row>
    <row r="966" spans="5:12" x14ac:dyDescent="0.25">
      <c r="E966" s="22"/>
      <c r="F966" s="16"/>
      <c r="G966" s="43"/>
      <c r="H966" s="22"/>
      <c r="I966" s="22"/>
      <c r="J966" s="22"/>
      <c r="K966" s="22"/>
      <c r="L966" s="22"/>
    </row>
    <row r="967" spans="5:12" x14ac:dyDescent="0.25">
      <c r="E967" s="22"/>
      <c r="F967" s="16"/>
      <c r="G967" s="43"/>
      <c r="H967" s="22"/>
      <c r="I967" s="22"/>
      <c r="J967" s="22"/>
      <c r="K967" s="22"/>
      <c r="L967" s="22"/>
    </row>
    <row r="968" spans="5:12" x14ac:dyDescent="0.25">
      <c r="E968" s="22"/>
      <c r="F968" s="16"/>
      <c r="G968" s="43"/>
      <c r="H968" s="22"/>
      <c r="I968" s="22"/>
      <c r="J968" s="22"/>
      <c r="K968" s="22"/>
      <c r="L968" s="22"/>
    </row>
    <row r="969" spans="5:12" x14ac:dyDescent="0.25">
      <c r="E969" s="22"/>
      <c r="F969" s="16"/>
      <c r="G969" s="43"/>
      <c r="H969" s="22"/>
      <c r="I969" s="22"/>
      <c r="J969" s="22"/>
      <c r="K969" s="22"/>
      <c r="L969" s="22"/>
    </row>
    <row r="970" spans="5:12" x14ac:dyDescent="0.25">
      <c r="E970" s="22"/>
      <c r="F970" s="16"/>
      <c r="G970" s="43"/>
      <c r="H970" s="22"/>
      <c r="I970" s="22"/>
      <c r="J970" s="22"/>
      <c r="K970" s="22"/>
      <c r="L970" s="22"/>
    </row>
    <row r="971" spans="5:12" x14ac:dyDescent="0.25">
      <c r="E971" s="22"/>
      <c r="F971" s="16"/>
      <c r="G971" s="43"/>
      <c r="H971" s="22"/>
      <c r="I971" s="22"/>
      <c r="J971" s="22"/>
      <c r="K971" s="22"/>
      <c r="L971" s="22"/>
    </row>
    <row r="972" spans="5:12" x14ac:dyDescent="0.25">
      <c r="E972" s="22"/>
      <c r="F972" s="16"/>
      <c r="G972" s="43"/>
      <c r="H972" s="22"/>
      <c r="I972" s="22"/>
      <c r="J972" s="22"/>
      <c r="K972" s="22"/>
      <c r="L972" s="22"/>
    </row>
    <row r="973" spans="5:12" x14ac:dyDescent="0.25">
      <c r="E973" s="22"/>
      <c r="F973" s="16"/>
      <c r="G973" s="43"/>
      <c r="H973" s="22"/>
      <c r="I973" s="22"/>
      <c r="J973" s="22"/>
      <c r="K973" s="22"/>
      <c r="L973" s="22"/>
    </row>
    <row r="974" spans="5:12" x14ac:dyDescent="0.25">
      <c r="E974" s="22"/>
      <c r="F974" s="16"/>
      <c r="G974" s="43"/>
      <c r="H974" s="22"/>
      <c r="I974" s="22"/>
      <c r="J974" s="22"/>
      <c r="K974" s="22"/>
      <c r="L974" s="22"/>
    </row>
    <row r="975" spans="5:12" x14ac:dyDescent="0.25">
      <c r="E975" s="22"/>
      <c r="F975" s="16"/>
      <c r="G975" s="43"/>
      <c r="H975" s="22"/>
      <c r="I975" s="22"/>
      <c r="J975" s="22"/>
      <c r="K975" s="22"/>
      <c r="L975" s="22"/>
    </row>
    <row r="976" spans="5:12" x14ac:dyDescent="0.25">
      <c r="E976" s="22"/>
      <c r="F976" s="16"/>
      <c r="G976" s="43"/>
      <c r="H976" s="22"/>
      <c r="I976" s="22"/>
      <c r="J976" s="22"/>
      <c r="K976" s="22"/>
      <c r="L976" s="22"/>
    </row>
    <row r="977" spans="5:12" x14ac:dyDescent="0.25">
      <c r="E977" s="22"/>
      <c r="F977" s="16"/>
      <c r="G977" s="43"/>
      <c r="H977" s="22"/>
      <c r="I977" s="22"/>
      <c r="J977" s="22"/>
      <c r="K977" s="22"/>
      <c r="L977" s="22"/>
    </row>
    <row r="978" spans="5:12" x14ac:dyDescent="0.25">
      <c r="E978" s="22"/>
      <c r="F978" s="16"/>
      <c r="G978" s="43"/>
      <c r="H978" s="22"/>
      <c r="I978" s="22"/>
      <c r="J978" s="22"/>
      <c r="K978" s="22"/>
      <c r="L978" s="22"/>
    </row>
    <row r="979" spans="5:12" x14ac:dyDescent="0.25">
      <c r="E979" s="22"/>
      <c r="F979" s="16"/>
      <c r="G979" s="43"/>
      <c r="H979" s="22"/>
      <c r="I979" s="22"/>
      <c r="J979" s="22"/>
      <c r="K979" s="22"/>
      <c r="L979" s="22"/>
    </row>
    <row r="980" spans="5:12" x14ac:dyDescent="0.25">
      <c r="E980" s="22"/>
      <c r="F980" s="16"/>
      <c r="G980" s="43"/>
      <c r="H980" s="22"/>
      <c r="I980" s="22"/>
      <c r="J980" s="22"/>
      <c r="K980" s="22"/>
      <c r="L980" s="22"/>
    </row>
    <row r="981" spans="5:12" x14ac:dyDescent="0.25">
      <c r="E981" s="22"/>
      <c r="F981" s="16"/>
      <c r="G981" s="43"/>
      <c r="H981" s="22"/>
      <c r="I981" s="22"/>
      <c r="J981" s="22"/>
      <c r="K981" s="22"/>
      <c r="L981" s="22"/>
    </row>
    <row r="982" spans="5:12" x14ac:dyDescent="0.25">
      <c r="E982" s="22"/>
      <c r="F982" s="16"/>
      <c r="G982" s="43"/>
      <c r="H982" s="22"/>
      <c r="I982" s="22"/>
      <c r="J982" s="22"/>
      <c r="K982" s="22"/>
      <c r="L982" s="22"/>
    </row>
    <row r="983" spans="5:12" x14ac:dyDescent="0.25">
      <c r="E983" s="22"/>
      <c r="F983" s="16"/>
      <c r="G983" s="43"/>
      <c r="H983" s="22"/>
      <c r="I983" s="22"/>
      <c r="J983" s="22"/>
      <c r="K983" s="22"/>
      <c r="L983" s="22"/>
    </row>
    <row r="984" spans="5:12" x14ac:dyDescent="0.25">
      <c r="E984" s="22"/>
      <c r="F984" s="16"/>
      <c r="G984" s="43"/>
      <c r="H984" s="22"/>
      <c r="I984" s="22"/>
      <c r="J984" s="22"/>
      <c r="K984" s="22"/>
      <c r="L984" s="22"/>
    </row>
    <row r="985" spans="5:12" x14ac:dyDescent="0.25">
      <c r="E985" s="22"/>
      <c r="F985" s="16"/>
      <c r="G985" s="43"/>
      <c r="H985" s="22"/>
      <c r="I985" s="22"/>
      <c r="J985" s="22"/>
      <c r="K985" s="22"/>
      <c r="L985" s="22"/>
    </row>
    <row r="986" spans="5:12" x14ac:dyDescent="0.25">
      <c r="E986" s="22"/>
      <c r="F986" s="16"/>
      <c r="G986" s="43"/>
      <c r="H986" s="22"/>
      <c r="I986" s="22"/>
      <c r="J986" s="22"/>
      <c r="K986" s="22"/>
      <c r="L986" s="22"/>
    </row>
    <row r="987" spans="5:12" x14ac:dyDescent="0.25">
      <c r="E987" s="22"/>
      <c r="F987" s="16"/>
      <c r="G987" s="43"/>
      <c r="H987" s="22"/>
      <c r="I987" s="22"/>
      <c r="J987" s="22"/>
      <c r="K987" s="22"/>
      <c r="L987" s="22"/>
    </row>
    <row r="988" spans="5:12" x14ac:dyDescent="0.25">
      <c r="E988" s="22"/>
      <c r="F988" s="16"/>
      <c r="G988" s="43"/>
      <c r="H988" s="22"/>
      <c r="I988" s="22"/>
      <c r="J988" s="22"/>
      <c r="K988" s="22"/>
      <c r="L988" s="22"/>
    </row>
    <row r="989" spans="5:12" x14ac:dyDescent="0.25">
      <c r="E989" s="22"/>
      <c r="F989" s="16"/>
      <c r="G989" s="43"/>
      <c r="H989" s="22"/>
      <c r="I989" s="22"/>
      <c r="J989" s="22"/>
      <c r="K989" s="22"/>
      <c r="L989" s="22"/>
    </row>
    <row r="990" spans="5:12" x14ac:dyDescent="0.25">
      <c r="E990" s="22"/>
      <c r="F990" s="16"/>
      <c r="G990" s="43"/>
      <c r="H990" s="22"/>
      <c r="I990" s="22"/>
      <c r="J990" s="22"/>
      <c r="K990" s="22"/>
      <c r="L990" s="22"/>
    </row>
    <row r="991" spans="5:12" x14ac:dyDescent="0.25">
      <c r="E991" s="22"/>
      <c r="F991" s="16"/>
      <c r="G991" s="43"/>
      <c r="H991" s="22"/>
      <c r="I991" s="22"/>
      <c r="J991" s="22"/>
      <c r="K991" s="22"/>
      <c r="L991" s="22"/>
    </row>
    <row r="992" spans="5:12" x14ac:dyDescent="0.25">
      <c r="E992" s="22"/>
      <c r="F992" s="16"/>
      <c r="G992" s="43"/>
      <c r="H992" s="22"/>
      <c r="I992" s="22"/>
      <c r="J992" s="22"/>
      <c r="K992" s="22"/>
      <c r="L992" s="22"/>
    </row>
    <row r="993" spans="5:12" x14ac:dyDescent="0.25">
      <c r="E993" s="22"/>
      <c r="F993" s="16"/>
      <c r="G993" s="43"/>
      <c r="H993" s="22"/>
      <c r="I993" s="22"/>
      <c r="J993" s="22"/>
      <c r="K993" s="22"/>
      <c r="L993" s="22"/>
    </row>
    <row r="994" spans="5:12" x14ac:dyDescent="0.25">
      <c r="E994" s="22"/>
      <c r="F994" s="16"/>
      <c r="G994" s="43"/>
      <c r="H994" s="22"/>
      <c r="I994" s="22"/>
      <c r="J994" s="22"/>
      <c r="K994" s="22"/>
      <c r="L994" s="22"/>
    </row>
    <row r="995" spans="5:12" x14ac:dyDescent="0.25">
      <c r="E995" s="22"/>
      <c r="F995" s="16"/>
      <c r="G995" s="43"/>
      <c r="H995" s="22"/>
      <c r="I995" s="22"/>
      <c r="J995" s="22"/>
      <c r="K995" s="22"/>
      <c r="L995" s="22"/>
    </row>
    <row r="996" spans="5:12" x14ac:dyDescent="0.25">
      <c r="E996" s="22"/>
      <c r="F996" s="16"/>
      <c r="G996" s="43"/>
      <c r="H996" s="22"/>
      <c r="I996" s="22"/>
      <c r="J996" s="22"/>
      <c r="K996" s="22"/>
      <c r="L996" s="22"/>
    </row>
    <row r="997" spans="5:12" x14ac:dyDescent="0.25">
      <c r="E997" s="22"/>
      <c r="F997" s="16"/>
      <c r="G997" s="43"/>
      <c r="H997" s="22"/>
      <c r="I997" s="22"/>
      <c r="J997" s="22"/>
      <c r="K997" s="22"/>
      <c r="L997" s="22"/>
    </row>
    <row r="998" spans="5:12" x14ac:dyDescent="0.25">
      <c r="E998" s="22"/>
      <c r="F998" s="16"/>
      <c r="G998" s="43"/>
      <c r="H998" s="22"/>
      <c r="I998" s="22"/>
      <c r="J998" s="22"/>
      <c r="K998" s="22"/>
      <c r="L998" s="22"/>
    </row>
    <row r="999" spans="5:12" x14ac:dyDescent="0.25">
      <c r="E999" s="22"/>
      <c r="F999" s="16"/>
      <c r="G999" s="43"/>
      <c r="H999" s="22"/>
      <c r="I999" s="22"/>
      <c r="J999" s="22"/>
      <c r="K999" s="22"/>
      <c r="L999" s="22"/>
    </row>
    <row r="1000" spans="5:12" x14ac:dyDescent="0.25">
      <c r="E1000" s="22"/>
      <c r="F1000" s="16"/>
      <c r="G1000" s="43"/>
      <c r="H1000" s="22"/>
      <c r="I1000" s="22"/>
      <c r="J1000" s="22"/>
      <c r="K1000" s="22"/>
      <c r="L1000" s="22"/>
    </row>
    <row r="1001" spans="5:12" x14ac:dyDescent="0.25">
      <c r="E1001" s="22"/>
      <c r="F1001" s="16"/>
      <c r="G1001" s="43"/>
      <c r="H1001" s="22"/>
      <c r="I1001" s="22"/>
      <c r="J1001" s="22"/>
      <c r="K1001" s="22"/>
      <c r="L1001" s="22"/>
    </row>
    <row r="1002" spans="5:12" x14ac:dyDescent="0.25">
      <c r="E1002" s="22"/>
      <c r="F1002" s="16"/>
      <c r="G1002" s="43"/>
      <c r="H1002" s="22"/>
      <c r="I1002" s="22"/>
      <c r="J1002" s="22"/>
      <c r="K1002" s="22"/>
      <c r="L1002" s="22"/>
    </row>
    <row r="1003" spans="5:12" x14ac:dyDescent="0.25">
      <c r="E1003" s="22"/>
      <c r="F1003" s="16"/>
      <c r="G1003" s="43"/>
      <c r="H1003" s="22"/>
      <c r="I1003" s="22"/>
      <c r="J1003" s="22"/>
      <c r="K1003" s="22"/>
      <c r="L1003" s="22"/>
    </row>
    <row r="1004" spans="5:12" x14ac:dyDescent="0.25">
      <c r="E1004" s="22"/>
      <c r="F1004" s="16"/>
      <c r="G1004" s="43"/>
      <c r="H1004" s="22"/>
      <c r="I1004" s="22"/>
      <c r="J1004" s="22"/>
      <c r="K1004" s="22"/>
      <c r="L1004" s="22"/>
    </row>
  </sheetData>
  <mergeCells count="1">
    <mergeCell ref="A1:G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O1003"/>
  <sheetViews>
    <sheetView topLeftCell="L1" zoomScale="115" zoomScaleNormal="115" workbookViewId="0">
      <selection activeCell="AF12" sqref="AF12"/>
    </sheetView>
  </sheetViews>
  <sheetFormatPr defaultRowHeight="15.75" x14ac:dyDescent="0.25"/>
  <cols>
    <col min="1" max="1" width="5.625" style="56" customWidth="1"/>
    <col min="2" max="2" width="12.625" style="17" customWidth="1"/>
    <col min="3" max="3" width="10.25" style="17" customWidth="1"/>
    <col min="4" max="4" width="11.5" style="17" customWidth="1"/>
    <col min="5" max="5" width="12.625" style="54" customWidth="1"/>
    <col min="6" max="6" width="5.625" style="56" customWidth="1"/>
    <col min="7" max="7" width="12.625" style="17" customWidth="1"/>
    <col min="8" max="8" width="10.25" style="17" customWidth="1"/>
    <col min="9" max="9" width="11.5" style="17" customWidth="1"/>
    <col min="10" max="10" width="12.625" style="54" customWidth="1"/>
    <col min="11" max="11" width="5.625" style="56" customWidth="1"/>
    <col min="12" max="12" width="12.625" style="17" customWidth="1"/>
    <col min="13" max="13" width="10.25" style="17" customWidth="1"/>
    <col min="14" max="14" width="11.5" style="17" customWidth="1"/>
    <col min="15" max="15" width="12.625" style="54" customWidth="1"/>
    <col min="16" max="16" width="5.625" style="56" hidden="1" customWidth="1"/>
    <col min="17" max="17" width="12.375" style="17" hidden="1" customWidth="1"/>
    <col min="18" max="18" width="11.5" style="17" hidden="1" customWidth="1"/>
    <col min="19" max="19" width="14.625" style="17" hidden="1" customWidth="1"/>
    <col min="20" max="24" width="12.375" style="17" hidden="1" customWidth="1"/>
    <col min="25" max="25" width="15.875" style="58" hidden="1" customWidth="1"/>
    <col min="26" max="30" width="11.75" style="17" hidden="1" customWidth="1"/>
    <col min="31" max="32" width="9" style="17"/>
    <col min="33" max="33" width="11" style="17" customWidth="1"/>
    <col min="34" max="34" width="10.375" style="17" bestFit="1" customWidth="1"/>
    <col min="35" max="37" width="9" style="17"/>
    <col min="38" max="38" width="12.875" style="17" customWidth="1"/>
    <col min="39" max="39" width="12.375" style="17" bestFit="1" customWidth="1"/>
    <col min="40" max="41" width="12.5" style="17" bestFit="1" customWidth="1"/>
    <col min="42" max="16384" width="9" style="17"/>
  </cols>
  <sheetData>
    <row r="1" spans="1:41" s="45" customFormat="1" ht="41.25" customHeight="1" x14ac:dyDescent="0.25">
      <c r="A1" s="101" t="s">
        <v>37</v>
      </c>
      <c r="B1" s="101"/>
      <c r="C1" s="101"/>
      <c r="D1" s="101"/>
      <c r="E1" s="101"/>
      <c r="F1" s="101" t="s">
        <v>38</v>
      </c>
      <c r="G1" s="101"/>
      <c r="H1" s="101"/>
      <c r="I1" s="101"/>
      <c r="J1" s="101"/>
      <c r="K1" s="101" t="s">
        <v>3</v>
      </c>
      <c r="L1" s="101"/>
      <c r="M1" s="101"/>
      <c r="N1" s="101"/>
      <c r="O1" s="101"/>
      <c r="P1" s="44"/>
      <c r="Q1" s="101"/>
      <c r="R1" s="101"/>
      <c r="S1" s="101"/>
      <c r="T1" s="101"/>
      <c r="Y1" s="104"/>
      <c r="Z1" s="104"/>
      <c r="AA1" s="104"/>
      <c r="AB1" s="44"/>
      <c r="AC1" s="103">
        <f ca="1">IF(OR(WEEKDAY(NOW())=1,WEEKDAY(NOW())=2), DATE(YEAR(NOW()), MONTH(NOW()), DAY(NOW()) - 1 - WEEKDAY(NOW())), DATE(YEAR(NOW()), MONTH(NOW()), DAY(NOW()) - 1))</f>
        <v>42930</v>
      </c>
      <c r="AD1" s="103"/>
    </row>
    <row r="2" spans="1:41" s="51" customFormat="1" ht="38.25" customHeight="1" x14ac:dyDescent="0.25">
      <c r="A2" s="46"/>
      <c r="B2" s="47" t="s">
        <v>28</v>
      </c>
      <c r="C2" s="47" t="s">
        <v>32</v>
      </c>
      <c r="D2" s="47" t="s">
        <v>33</v>
      </c>
      <c r="E2" s="48" t="s">
        <v>55</v>
      </c>
      <c r="F2" s="46"/>
      <c r="G2" s="47" t="s">
        <v>28</v>
      </c>
      <c r="H2" s="47" t="s">
        <v>32</v>
      </c>
      <c r="I2" s="47" t="s">
        <v>33</v>
      </c>
      <c r="J2" s="48" t="s">
        <v>55</v>
      </c>
      <c r="K2" s="46"/>
      <c r="L2" s="47" t="s">
        <v>28</v>
      </c>
      <c r="M2" s="47" t="s">
        <v>32</v>
      </c>
      <c r="N2" s="47" t="s">
        <v>33</v>
      </c>
      <c r="O2" s="48" t="s">
        <v>55</v>
      </c>
      <c r="P2" s="46"/>
      <c r="Q2" s="47"/>
      <c r="R2" s="47" t="s">
        <v>44</v>
      </c>
      <c r="S2" s="49" t="s">
        <v>47</v>
      </c>
      <c r="T2" s="49" t="s">
        <v>36</v>
      </c>
      <c r="U2" s="49" t="s">
        <v>34</v>
      </c>
      <c r="V2" s="49" t="s">
        <v>35</v>
      </c>
      <c r="W2" s="49" t="s">
        <v>32</v>
      </c>
      <c r="X2" s="49" t="s">
        <v>33</v>
      </c>
      <c r="Y2" s="50" t="s">
        <v>28</v>
      </c>
      <c r="Z2" s="49" t="s">
        <v>36</v>
      </c>
      <c r="AA2" s="49" t="s">
        <v>34</v>
      </c>
      <c r="AB2" s="49" t="s">
        <v>35</v>
      </c>
      <c r="AC2" s="49" t="s">
        <v>32</v>
      </c>
      <c r="AD2" s="49" t="s">
        <v>33</v>
      </c>
      <c r="AG2" s="49"/>
      <c r="AH2" s="22" t="s">
        <v>34</v>
      </c>
      <c r="AI2" s="22" t="s">
        <v>32</v>
      </c>
      <c r="AJ2" s="22" t="s">
        <v>35</v>
      </c>
      <c r="AK2" s="22" t="s">
        <v>36</v>
      </c>
      <c r="AL2" s="22" t="s">
        <v>33</v>
      </c>
      <c r="AM2" s="22" t="s">
        <v>140</v>
      </c>
      <c r="AN2" s="22" t="s">
        <v>141</v>
      </c>
    </row>
    <row r="3" spans="1:41" x14ac:dyDescent="0.25">
      <c r="A3" s="52">
        <f>IF(OR(ISBLANK(B3), B3=""),"", MAX(A$2:A2)+1)</f>
        <v>1</v>
      </c>
      <c r="B3" s="17" t="str">
        <f>IF(ISBLANK(Reporting!$B3), "", Reporting!$B3)</f>
        <v>DNLM-LON</v>
      </c>
      <c r="C3" s="53" t="e">
        <f ca="1">_xll.ESQuote($B3,_xll.ESFldID(C$2))</f>
        <v>#NAME?</v>
      </c>
      <c r="D3" s="17" t="e">
        <f ca="1">_xll.ESQuote($B3,_xll.ESFldID(D$2))</f>
        <v>#NAME?</v>
      </c>
      <c r="E3" s="54" t="e">
        <f ca="1">_xll.ESQuote($B3,_xll.ESFldID(E$2))</f>
        <v>#NAME?</v>
      </c>
      <c r="F3" s="52">
        <f>IF(OR(ISBLANK(G3), G3=""),"", MAX(F$2:F2)+1)</f>
        <v>1</v>
      </c>
      <c r="G3" s="17" t="str">
        <f>IF(ISBLANK(Existing!$B3), "", Existing!$B3)</f>
        <v>BEKB-EEB</v>
      </c>
      <c r="H3" s="53" t="e">
        <f ca="1">_xll.ESQuote($G3,_xll.ESFldID(H$2))</f>
        <v>#NAME?</v>
      </c>
      <c r="I3" s="17" t="e">
        <f ca="1">_xll.ESQuote($G3,_xll.ESFldID(I$2))</f>
        <v>#NAME?</v>
      </c>
      <c r="J3" s="54" t="e">
        <f ca="1">_xll.ESQuote($G3,_xll.ESFldID(J$2))</f>
        <v>#NAME?</v>
      </c>
      <c r="K3" s="52" t="str">
        <f>IF(OR(ISBLANK(L3), L3=""),"", MAX(K$2:K2)+1)</f>
        <v/>
      </c>
      <c r="L3" s="17" t="str">
        <f>IF(ISBLANK(Monitoring!$B3), "",Monitoring!$B3)</f>
        <v/>
      </c>
      <c r="M3" s="53" t="e">
        <f ca="1">_xll.ESQuote($L3,_xll.ESFldID(M$2))</f>
        <v>#NAME?</v>
      </c>
      <c r="N3" s="17" t="e">
        <f ca="1">_xll.ESQuote($L3,_xll.ESFldID(N$2))</f>
        <v>#NAME?</v>
      </c>
      <c r="O3" s="54" t="e">
        <f ca="1">_xll.ESQuote($L3,_xll.ESFldID(O$2))</f>
        <v>#NAME?</v>
      </c>
      <c r="P3" s="52">
        <f>IF(OR(ISBLANK(Q3), Q3=""),"", MAX(P$2:P2)+1)</f>
        <v>1</v>
      </c>
      <c r="Q3" s="17" t="s">
        <v>103</v>
      </c>
      <c r="R3" s="22" t="s">
        <v>37</v>
      </c>
      <c r="S3" s="16">
        <v>42923</v>
      </c>
      <c r="T3" s="53" t="e">
        <f ca="1">_xll.ESHistD($Q3,_xll.ESFldID(T$2,"D"),"D",$S3)</f>
        <v>#NAME?</v>
      </c>
      <c r="U3" s="53" t="e">
        <f ca="1">_xll.ESHistD($Q3,_xll.ESFldID(U$2,"D"),"D",$S3)</f>
        <v>#NAME?</v>
      </c>
      <c r="V3" s="53" t="e">
        <f ca="1">_xll.ESHistD($Q3,_xll.ESFldID(V$2,"D"),"D",$S3)</f>
        <v>#NAME?</v>
      </c>
      <c r="W3" s="53" t="e">
        <f ca="1">_xll.ESHistD($Q3,_xll.ESFldID(W$2,"D"),"D",$S3)</f>
        <v>#NAME?</v>
      </c>
      <c r="X3" s="22" t="e">
        <f ca="1">_xll.ESHistD($Q3,_xll.ESFldID(X$2,"D"),"D",$S3)</f>
        <v>#NAME?</v>
      </c>
      <c r="Y3" s="55" t="str">
        <f>IF(ISBLANK(Q3), "", Q3)</f>
        <v>DNLM-LON</v>
      </c>
      <c r="Z3" s="53" t="e">
        <f ca="1">_xll.ESHistD($Q3,_xll.ESFldID(Z$2,"D"),"D",$AC$1)</f>
        <v>#NAME?</v>
      </c>
      <c r="AA3" s="53" t="e">
        <f ca="1">_xll.ESHistD($Q3,_xll.ESFldID(AA$2,"D"),"D",$AC$1)</f>
        <v>#NAME?</v>
      </c>
      <c r="AB3" s="53" t="e">
        <f ca="1">_xll.ESHistD($Q3,_xll.ESFldID(AB$2,"D"),"D",$AC$1)</f>
        <v>#NAME?</v>
      </c>
      <c r="AC3" s="53" t="e">
        <f ca="1">_xll.ESHistD($Q3,_xll.ESFldID(AC$2,"D"),"D",$AC$1)</f>
        <v>#NAME?</v>
      </c>
      <c r="AD3" s="22" t="e">
        <f ca="1">_xll.ESHistD($Q3,_xll.ESFldID(AD$2,"D"),"D",$AC$1)</f>
        <v>#NAME?</v>
      </c>
      <c r="AG3" s="22" t="s">
        <v>0</v>
      </c>
      <c r="AH3" s="22">
        <f>RTD("esrtd",,"*H",AG3,"High","I5",,"1")</f>
        <v>218.8</v>
      </c>
      <c r="AI3" s="22">
        <f>RTD("esrtd",,"*H",AG3,"Last","I5",,"1")</f>
        <v>218.8</v>
      </c>
      <c r="AJ3" s="22">
        <f>RTD("esrtd",,"*H",AG3,"Low","I5",,"1")</f>
        <v>218.8</v>
      </c>
      <c r="AK3" s="22">
        <f>RTD("esrtd",,"*H",AG3,"Open","I5",,"1")</f>
        <v>218.8</v>
      </c>
      <c r="AL3" s="22">
        <f>RTD("esrtd",,"*H",AG3,"Volume","I5",,"1")</f>
        <v>5200</v>
      </c>
      <c r="AM3" s="16">
        <f>RTD("esrtd",,"*H",AG3,"Intraday_Date","I5",,"1")</f>
        <v>42932.541666666664</v>
      </c>
      <c r="AN3" s="43">
        <f>RTD("esrtd",,"*H",AG3,"Intraday_Time","I5",,"1")</f>
        <v>42932.552083333336</v>
      </c>
      <c r="AO3" s="54"/>
    </row>
    <row r="4" spans="1:41" x14ac:dyDescent="0.25">
      <c r="A4" s="52">
        <f>IF(OR(ISBLANK(B4), B4=""),"", MAX(A$2:A3)+1)</f>
        <v>2</v>
      </c>
      <c r="B4" s="17" t="str">
        <f>IF(ISBLANK(Reporting!$B4), "", Reporting!$B4)</f>
        <v>FENR-LON</v>
      </c>
      <c r="C4" s="53" t="e">
        <f ca="1">_xll.ESQuote($B4,_xll.ESFldID(C$2))</f>
        <v>#NAME?</v>
      </c>
      <c r="D4" s="17" t="e">
        <f ca="1">_xll.ESQuote($B4,_xll.ESFldID(D$2))</f>
        <v>#NAME?</v>
      </c>
      <c r="E4" s="54" t="e">
        <f ca="1">_xll.ESQuote($B4,_xll.ESFldID(E$2))</f>
        <v>#NAME?</v>
      </c>
      <c r="F4" s="52">
        <f>IF(OR(ISBLANK(G4), G4=""),"", MAX(F$2:F3)+1)</f>
        <v>2</v>
      </c>
      <c r="G4" s="17" t="str">
        <f>IF(ISBLANK(Existing!$B4), "", Existing!$B4)</f>
        <v>RTN-LON</v>
      </c>
      <c r="H4" s="53" t="e">
        <f ca="1">_xll.ESQuote($G4,_xll.ESFldID(H$2))</f>
        <v>#NAME?</v>
      </c>
      <c r="I4" s="17" t="e">
        <f ca="1">_xll.ESQuote($G4,_xll.ESFldID(I$2))</f>
        <v>#NAME?</v>
      </c>
      <c r="J4" s="54" t="e">
        <f ca="1">_xll.ESQuote($G4,_xll.ESFldID(J$2))</f>
        <v>#NAME?</v>
      </c>
      <c r="K4" s="52" t="str">
        <f>IF(OR(ISBLANK(L4), L4=""),"", MAX(K$2:K3)+1)</f>
        <v/>
      </c>
      <c r="L4" s="17" t="str">
        <f>IF(ISBLANK(Monitoring!$B4), "",Monitoring!$B4)</f>
        <v/>
      </c>
      <c r="M4" s="53" t="e">
        <f ca="1">_xll.ESQuote($L4,_xll.ESFldID(M$2))</f>
        <v>#NAME?</v>
      </c>
      <c r="N4" s="17" t="e">
        <f ca="1">_xll.ESQuote($L4,_xll.ESFldID(N$2))</f>
        <v>#NAME?</v>
      </c>
      <c r="O4" s="54" t="e">
        <f ca="1">_xll.ESQuote($L4,_xll.ESFldID(O$2))</f>
        <v>#NAME?</v>
      </c>
      <c r="P4" s="52">
        <f>IF(OR(ISBLANK(Q4), Q4=""),"", MAX(P$2:P3)+1)</f>
        <v>2</v>
      </c>
      <c r="Q4" s="17" t="s">
        <v>102</v>
      </c>
      <c r="R4" s="22" t="s">
        <v>37</v>
      </c>
      <c r="S4" s="16">
        <v>42916</v>
      </c>
      <c r="T4" s="53" t="e">
        <f ca="1">_xll.ESHistD($Q4,_xll.ESFldID(T$2,"D"),"D",$S4)</f>
        <v>#NAME?</v>
      </c>
      <c r="U4" s="53" t="e">
        <f ca="1">_xll.ESHistD($Q4,_xll.ESFldID(U$2,"D"),"D",$S4)</f>
        <v>#NAME?</v>
      </c>
      <c r="V4" s="53" t="e">
        <f ca="1">_xll.ESHistD($Q4,_xll.ESFldID(V$2,"D"),"D",$S4)</f>
        <v>#NAME?</v>
      </c>
      <c r="W4" s="53" t="e">
        <f ca="1">_xll.ESHistD($Q4,_xll.ESFldID(W$2,"D"),"D",$S4)</f>
        <v>#NAME?</v>
      </c>
      <c r="X4" s="22" t="e">
        <f ca="1">_xll.ESHistD($Q4,_xll.ESFldID(X$2,"D"),"D",$S4)</f>
        <v>#NAME?</v>
      </c>
      <c r="Y4" s="55" t="str">
        <f t="shared" ref="Y4:Y67" si="0">IF(ISBLANK(Q4), "", Q4)</f>
        <v>FENR-LON</v>
      </c>
      <c r="Z4" s="53" t="e">
        <f ca="1">_xll.ESHistD($Q4,_xll.ESFldID(Z$2,"D"),"D",$AC$1)</f>
        <v>#NAME?</v>
      </c>
      <c r="AA4" s="53" t="e">
        <f ca="1">_xll.ESHistD($Q4,_xll.ESFldID(AA$2,"D"),"D",$AC$1)</f>
        <v>#NAME?</v>
      </c>
      <c r="AB4" s="53" t="e">
        <f ca="1">_xll.ESHistD($Q4,_xll.ESFldID(AB$2,"D"),"D",$AC$1)</f>
        <v>#NAME?</v>
      </c>
      <c r="AC4" s="53" t="e">
        <f ca="1">_xll.ESHistD($Q4,_xll.ESFldID(AC$2,"D"),"D",$AC$1)</f>
        <v>#NAME?</v>
      </c>
      <c r="AD4" s="22" t="e">
        <f ca="1">_xll.ESHistD($Q4,_xll.ESFldID(AD$2,"D"),"D",$AC$1)</f>
        <v>#NAME?</v>
      </c>
      <c r="AG4" s="22"/>
      <c r="AH4" s="22"/>
      <c r="AI4" s="22"/>
      <c r="AJ4" s="22"/>
      <c r="AK4" s="22"/>
      <c r="AL4" s="22"/>
      <c r="AM4" s="16"/>
      <c r="AN4" s="43"/>
    </row>
    <row r="5" spans="1:41" x14ac:dyDescent="0.25">
      <c r="A5" s="52">
        <f>IF(OR(ISBLANK(B5), B5=""),"", MAX(A$2:A4)+1)</f>
        <v>3</v>
      </c>
      <c r="B5" s="17" t="str">
        <f>IF(ISBLANK(Reporting!$B5), "", Reporting!$B5)</f>
        <v>FR-EEB</v>
      </c>
      <c r="C5" s="53" t="e">
        <f ca="1">_xll.ESQuote($B5,_xll.ESFldID(C$2))</f>
        <v>#NAME?</v>
      </c>
      <c r="D5" s="17" t="e">
        <f ca="1">_xll.ESQuote($B5,_xll.ESFldID(D$2))</f>
        <v>#NAME?</v>
      </c>
      <c r="E5" s="54" t="e">
        <f ca="1">_xll.ESQuote($B5,_xll.ESFldID(E$2))</f>
        <v>#NAME?</v>
      </c>
      <c r="F5" s="52">
        <f>IF(OR(ISBLANK(G5), G5=""),"", MAX(F$2:F4)+1)</f>
        <v>3</v>
      </c>
      <c r="G5" s="17" t="str">
        <f>IF(ISBLANK(Existing!$B5), "", Existing!$B5)</f>
        <v>VOD-LON</v>
      </c>
      <c r="H5" s="53" t="e">
        <f ca="1">_xll.ESQuote($G5,_xll.ESFldID(H$2))</f>
        <v>#NAME?</v>
      </c>
      <c r="I5" s="17" t="e">
        <f ca="1">_xll.ESQuote($G5,_xll.ESFldID(I$2))</f>
        <v>#NAME?</v>
      </c>
      <c r="J5" s="54" t="e">
        <f ca="1">_xll.ESQuote($G5,_xll.ESFldID(J$2))</f>
        <v>#NAME?</v>
      </c>
      <c r="K5" s="52" t="str">
        <f>IF(OR(ISBLANK(L5), L5=""),"", MAX(K$2:K4)+1)</f>
        <v/>
      </c>
      <c r="L5" s="17" t="str">
        <f>IF(ISBLANK(Monitoring!$B5), "",Monitoring!$B5)</f>
        <v/>
      </c>
      <c r="M5" s="53" t="e">
        <f ca="1">_xll.ESQuote($L5,_xll.ESFldID(M$2))</f>
        <v>#NAME?</v>
      </c>
      <c r="N5" s="17" t="e">
        <f ca="1">_xll.ESQuote($L5,_xll.ESFldID(N$2))</f>
        <v>#NAME?</v>
      </c>
      <c r="O5" s="54" t="e">
        <f ca="1">_xll.ESQuote($L5,_xll.ESFldID(O$2))</f>
        <v>#NAME?</v>
      </c>
      <c r="P5" s="52">
        <f>IF(OR(ISBLANK(Q5), Q5=""),"", MAX(P$2:P4)+1)</f>
        <v>3</v>
      </c>
      <c r="Q5" s="17" t="s">
        <v>10</v>
      </c>
      <c r="R5" s="22" t="s">
        <v>37</v>
      </c>
      <c r="S5" s="16">
        <v>42916</v>
      </c>
      <c r="T5" s="53" t="e">
        <f ca="1">_xll.ESHistD($Q5,_xll.ESFldID(T$2,"D"),"D",$S5)</f>
        <v>#NAME?</v>
      </c>
      <c r="U5" s="53" t="e">
        <f ca="1">_xll.ESHistD($Q5,_xll.ESFldID(U$2,"D"),"D",$S5)</f>
        <v>#NAME?</v>
      </c>
      <c r="V5" s="53" t="e">
        <f ca="1">_xll.ESHistD($Q5,_xll.ESFldID(V$2,"D"),"D",$S5)</f>
        <v>#NAME?</v>
      </c>
      <c r="W5" s="53" t="e">
        <f ca="1">_xll.ESHistD($Q5,_xll.ESFldID(W$2,"D"),"D",$S5)</f>
        <v>#NAME?</v>
      </c>
      <c r="X5" s="22" t="e">
        <f ca="1">_xll.ESHistD($Q5,_xll.ESFldID(X$2,"D"),"D",$S5)</f>
        <v>#NAME?</v>
      </c>
      <c r="Y5" s="55" t="str">
        <f t="shared" si="0"/>
        <v>FR-EEB</v>
      </c>
      <c r="Z5" s="53" t="e">
        <f ca="1">_xll.ESHistD($Q5,_xll.ESFldID(Z$2,"D"),"D",$AC$1)</f>
        <v>#NAME?</v>
      </c>
      <c r="AA5" s="53" t="e">
        <f ca="1">_xll.ESHistD($Q5,_xll.ESFldID(AA$2,"D"),"D",$AC$1)</f>
        <v>#NAME?</v>
      </c>
      <c r="AB5" s="53" t="e">
        <f ca="1">_xll.ESHistD($Q5,_xll.ESFldID(AB$2,"D"),"D",$AC$1)</f>
        <v>#NAME?</v>
      </c>
      <c r="AC5" s="53" t="e">
        <f ca="1">_xll.ESHistD($Q5,_xll.ESFldID(AC$2,"D"),"D",$AC$1)</f>
        <v>#NAME?</v>
      </c>
      <c r="AD5" s="22" t="e">
        <f ca="1">_xll.ESHistD($Q5,_xll.ESFldID(AD$2,"D"),"D",$AC$1)</f>
        <v>#NAME?</v>
      </c>
      <c r="AG5" s="22"/>
      <c r="AH5" s="22"/>
      <c r="AI5" s="22"/>
      <c r="AJ5" s="22"/>
      <c r="AK5" s="22"/>
      <c r="AL5" s="22"/>
      <c r="AM5" s="16"/>
      <c r="AN5" s="43"/>
    </row>
    <row r="6" spans="1:41" x14ac:dyDescent="0.25">
      <c r="A6" s="52">
        <f>IF(OR(ISBLANK(B6), B6=""),"", MAX(A$2:A5)+1)</f>
        <v>4</v>
      </c>
      <c r="B6" s="17" t="str">
        <f>IF(ISBLANK(Reporting!$B6), "", Reporting!$B6)</f>
        <v>IGG-LON</v>
      </c>
      <c r="C6" s="53" t="e">
        <f ca="1">_xll.ESQuote($B6,_xll.ESFldID(C$2))</f>
        <v>#NAME?</v>
      </c>
      <c r="D6" s="17" t="e">
        <f ca="1">_xll.ESQuote($B6,_xll.ESFldID(D$2))</f>
        <v>#NAME?</v>
      </c>
      <c r="E6" s="54" t="e">
        <f ca="1">_xll.ESQuote($B6,_xll.ESFldID(E$2))</f>
        <v>#NAME?</v>
      </c>
      <c r="F6" s="52" t="str">
        <f>IF(OR(ISBLANK(G6), G6=""),"", MAX(F$2:F5)+1)</f>
        <v/>
      </c>
      <c r="G6" s="17" t="str">
        <f>IF(ISBLANK(Existing!$B6), "", Existing!$B6)</f>
        <v/>
      </c>
      <c r="H6" s="53" t="e">
        <f ca="1">_xll.ESQuote($G6,_xll.ESFldID(H$2))</f>
        <v>#NAME?</v>
      </c>
      <c r="I6" s="17" t="e">
        <f ca="1">_xll.ESQuote($G6,_xll.ESFldID(I$2))</f>
        <v>#NAME?</v>
      </c>
      <c r="J6" s="54" t="e">
        <f ca="1">_xll.ESQuote($G6,_xll.ESFldID(J$2))</f>
        <v>#NAME?</v>
      </c>
      <c r="K6" s="52" t="str">
        <f>IF(OR(ISBLANK(L6), L6=""),"", MAX(K$2:K5)+1)</f>
        <v/>
      </c>
      <c r="L6" s="17" t="str">
        <f>IF(ISBLANK(Monitoring!$B6), "",Monitoring!$B6)</f>
        <v/>
      </c>
      <c r="M6" s="53" t="e">
        <f ca="1">_xll.ESQuote($L6,_xll.ESFldID(M$2))</f>
        <v>#NAME?</v>
      </c>
      <c r="N6" s="17" t="e">
        <f ca="1">_xll.ESQuote($L6,_xll.ESFldID(N$2))</f>
        <v>#NAME?</v>
      </c>
      <c r="O6" s="54" t="e">
        <f ca="1">_xll.ESQuote($L6,_xll.ESFldID(O$2))</f>
        <v>#NAME?</v>
      </c>
      <c r="P6" s="52">
        <f>IF(OR(ISBLANK(Q6), Q6=""),"", MAX(P$2:P5)+1)</f>
        <v>4</v>
      </c>
      <c r="Q6" s="17" t="s">
        <v>5</v>
      </c>
      <c r="R6" s="22" t="s">
        <v>37</v>
      </c>
      <c r="S6" s="16">
        <v>42916</v>
      </c>
      <c r="T6" s="53" t="e">
        <f ca="1">_xll.ESHistD($Q6,_xll.ESFldID(T$2,"D"),"D",$S6)</f>
        <v>#NAME?</v>
      </c>
      <c r="U6" s="53" t="e">
        <f ca="1">_xll.ESHistD($Q6,_xll.ESFldID(U$2,"D"),"D",$S6)</f>
        <v>#NAME?</v>
      </c>
      <c r="V6" s="53" t="e">
        <f ca="1">_xll.ESHistD($Q6,_xll.ESFldID(V$2,"D"),"D",$S6)</f>
        <v>#NAME?</v>
      </c>
      <c r="W6" s="53" t="e">
        <f ca="1">_xll.ESHistD($Q6,_xll.ESFldID(W$2,"D"),"D",$S6)</f>
        <v>#NAME?</v>
      </c>
      <c r="X6" s="22" t="e">
        <f ca="1">_xll.ESHistD($Q6,_xll.ESFldID(X$2,"D"),"D",$S6)</f>
        <v>#NAME?</v>
      </c>
      <c r="Y6" s="55" t="str">
        <f t="shared" si="0"/>
        <v>IGG-LON</v>
      </c>
      <c r="Z6" s="53" t="e">
        <f ca="1">_xll.ESHistD($Q6,_xll.ESFldID(Z$2,"D"),"D",$AC$1)</f>
        <v>#NAME?</v>
      </c>
      <c r="AA6" s="53" t="e">
        <f ca="1">_xll.ESHistD($Q6,_xll.ESFldID(AA$2,"D"),"D",$AC$1)</f>
        <v>#NAME?</v>
      </c>
      <c r="AB6" s="53" t="e">
        <f ca="1">_xll.ESHistD($Q6,_xll.ESFldID(AB$2,"D"),"D",$AC$1)</f>
        <v>#NAME?</v>
      </c>
      <c r="AC6" s="53" t="e">
        <f ca="1">_xll.ESHistD($Q6,_xll.ESFldID(AC$2,"D"),"D",$AC$1)</f>
        <v>#NAME?</v>
      </c>
      <c r="AD6" s="22" t="e">
        <f ca="1">_xll.ESHistD($Q6,_xll.ESFldID(AD$2,"D"),"D",$AC$1)</f>
        <v>#NAME?</v>
      </c>
      <c r="AG6" s="22"/>
    </row>
    <row r="7" spans="1:41" x14ac:dyDescent="0.25">
      <c r="A7" s="52">
        <f>IF(OR(ISBLANK(B7), B7=""),"", MAX(A$2:A6)+1)</f>
        <v>5</v>
      </c>
      <c r="B7" s="17" t="str">
        <f>IF(ISBLANK(Reporting!$B7), "", Reporting!$B7)</f>
        <v>LAM-LON</v>
      </c>
      <c r="C7" s="53" t="e">
        <f ca="1">_xll.ESQuote($B7,_xll.ESFldID(C$2))</f>
        <v>#NAME?</v>
      </c>
      <c r="D7" s="17" t="e">
        <f ca="1">_xll.ESQuote($B7,_xll.ESFldID(D$2))</f>
        <v>#NAME?</v>
      </c>
      <c r="E7" s="54" t="e">
        <f ca="1">_xll.ESQuote($B7,_xll.ESFldID(E$2))</f>
        <v>#NAME?</v>
      </c>
      <c r="F7" s="52" t="str">
        <f>IF(OR(ISBLANK(G7), G7=""),"", MAX(F$2:F6)+1)</f>
        <v/>
      </c>
      <c r="G7" s="17" t="str">
        <f>IF(ISBLANK(Existing!$B7), "", Existing!$B7)</f>
        <v/>
      </c>
      <c r="H7" s="53" t="e">
        <f ca="1">_xll.ESQuote($G7,_xll.ESFldID(H$2))</f>
        <v>#NAME?</v>
      </c>
      <c r="I7" s="17" t="e">
        <f ca="1">_xll.ESQuote($G7,_xll.ESFldID(I$2))</f>
        <v>#NAME?</v>
      </c>
      <c r="J7" s="54" t="e">
        <f ca="1">_xll.ESQuote($G7,_xll.ESFldID(J$2))</f>
        <v>#NAME?</v>
      </c>
      <c r="K7" s="52" t="str">
        <f>IF(OR(ISBLANK(L7), L7=""),"", MAX(K$2:K6)+1)</f>
        <v/>
      </c>
      <c r="L7" s="17" t="str">
        <f>IF(ISBLANK(Monitoring!$B7), "",Monitoring!$B7)</f>
        <v/>
      </c>
      <c r="M7" s="53" t="e">
        <f ca="1">_xll.ESQuote($L7,_xll.ESFldID(M$2))</f>
        <v>#NAME?</v>
      </c>
      <c r="N7" s="17" t="e">
        <f ca="1">_xll.ESQuote($L7,_xll.ESFldID(N$2))</f>
        <v>#NAME?</v>
      </c>
      <c r="O7" s="54" t="e">
        <f ca="1">_xll.ESQuote($L7,_xll.ESFldID(O$2))</f>
        <v>#NAME?</v>
      </c>
      <c r="P7" s="52">
        <f>IF(OR(ISBLANK(Q7), Q7=""),"", MAX(P$2:P6)+1)</f>
        <v>5</v>
      </c>
      <c r="Q7" s="17" t="s">
        <v>4</v>
      </c>
      <c r="R7" s="22" t="s">
        <v>37</v>
      </c>
      <c r="S7" s="16">
        <v>42916</v>
      </c>
      <c r="T7" s="53" t="e">
        <f ca="1">_xll.ESHistD($Q7,_xll.ESFldID(T$2,"D"),"D",$S7)</f>
        <v>#NAME?</v>
      </c>
      <c r="U7" s="53" t="e">
        <f ca="1">_xll.ESHistD($Q7,_xll.ESFldID(U$2,"D"),"D",$S7)</f>
        <v>#NAME?</v>
      </c>
      <c r="V7" s="53" t="e">
        <f ca="1">_xll.ESHistD($Q7,_xll.ESFldID(V$2,"D"),"D",$S7)</f>
        <v>#NAME?</v>
      </c>
      <c r="W7" s="53" t="e">
        <f ca="1">_xll.ESHistD($Q7,_xll.ESFldID(W$2,"D"),"D",$S7)</f>
        <v>#NAME?</v>
      </c>
      <c r="X7" s="22" t="e">
        <f ca="1">_xll.ESHistD($Q7,_xll.ESFldID(X$2,"D"),"D",$S7)</f>
        <v>#NAME?</v>
      </c>
      <c r="Y7" s="55" t="str">
        <f t="shared" si="0"/>
        <v>LAM-LON</v>
      </c>
      <c r="Z7" s="53" t="e">
        <f ca="1">_xll.ESHistD($Q7,_xll.ESFldID(Z$2,"D"),"D",$AC$1)</f>
        <v>#NAME?</v>
      </c>
      <c r="AA7" s="53" t="e">
        <f ca="1">_xll.ESHistD($Q7,_xll.ESFldID(AA$2,"D"),"D",$AC$1)</f>
        <v>#NAME?</v>
      </c>
      <c r="AB7" s="53" t="e">
        <f ca="1">_xll.ESHistD($Q7,_xll.ESFldID(AB$2,"D"),"D",$AC$1)</f>
        <v>#NAME?</v>
      </c>
      <c r="AC7" s="53" t="e">
        <f ca="1">_xll.ESHistD($Q7,_xll.ESFldID(AC$2,"D"),"D",$AC$1)</f>
        <v>#NAME?</v>
      </c>
      <c r="AD7" s="22" t="e">
        <f ca="1">_xll.ESHistD($Q7,_xll.ESFldID(AD$2,"D"),"D",$AC$1)</f>
        <v>#NAME?</v>
      </c>
      <c r="AG7" s="22"/>
    </row>
    <row r="8" spans="1:41" x14ac:dyDescent="0.25">
      <c r="A8" s="52">
        <f>IF(OR(ISBLANK(B8), B8=""),"", MAX(A$2:A7)+1)</f>
        <v>6</v>
      </c>
      <c r="B8" s="17" t="str">
        <f>IF(ISBLANK(Reporting!$B8), "", Reporting!$B8)</f>
        <v>RTN-LON</v>
      </c>
      <c r="C8" s="53" t="e">
        <f ca="1">_xll.ESQuote($B8,_xll.ESFldID(C$2))</f>
        <v>#NAME?</v>
      </c>
      <c r="D8" s="17" t="e">
        <f ca="1">_xll.ESQuote($B8,_xll.ESFldID(D$2))</f>
        <v>#NAME?</v>
      </c>
      <c r="E8" s="54" t="e">
        <f ca="1">_xll.ESQuote($B8,_xll.ESFldID(E$2))</f>
        <v>#NAME?</v>
      </c>
      <c r="F8" s="52" t="str">
        <f>IF(OR(ISBLANK(G8), G8=""),"", MAX(F$2:F7)+1)</f>
        <v/>
      </c>
      <c r="G8" s="17" t="str">
        <f>IF(ISBLANK(Existing!$B8), "", Existing!$B8)</f>
        <v/>
      </c>
      <c r="H8" s="53" t="e">
        <f ca="1">_xll.ESQuote($G8,_xll.ESFldID(H$2))</f>
        <v>#NAME?</v>
      </c>
      <c r="I8" s="17" t="e">
        <f ca="1">_xll.ESQuote($G8,_xll.ESFldID(I$2))</f>
        <v>#NAME?</v>
      </c>
      <c r="J8" s="54" t="e">
        <f ca="1">_xll.ESQuote($G8,_xll.ESFldID(J$2))</f>
        <v>#NAME?</v>
      </c>
      <c r="K8" s="52" t="str">
        <f>IF(OR(ISBLANK(L8), L8=""),"", MAX(K$2:K7)+1)</f>
        <v/>
      </c>
      <c r="L8" s="17" t="str">
        <f>IF(ISBLANK(Monitoring!$B8), "",Monitoring!$B8)</f>
        <v/>
      </c>
      <c r="M8" s="53" t="e">
        <f ca="1">_xll.ESQuote($L8,_xll.ESFldID(M$2))</f>
        <v>#NAME?</v>
      </c>
      <c r="N8" s="17" t="e">
        <f ca="1">_xll.ESQuote($L8,_xll.ESFldID(N$2))</f>
        <v>#NAME?</v>
      </c>
      <c r="O8" s="54" t="e">
        <f ca="1">_xll.ESQuote($L8,_xll.ESFldID(O$2))</f>
        <v>#NAME?</v>
      </c>
      <c r="P8" s="52">
        <f>IF(OR(ISBLANK(Q8), Q8=""),"", MAX(P$2:P7)+1)</f>
        <v>6</v>
      </c>
      <c r="Q8" s="17" t="s">
        <v>9</v>
      </c>
      <c r="R8" s="22" t="s">
        <v>37</v>
      </c>
      <c r="S8" s="16">
        <v>42916</v>
      </c>
      <c r="T8" s="53" t="e">
        <f ca="1">_xll.ESHistD($Q8,_xll.ESFldID(T$2,"D"),"D",$S8)</f>
        <v>#NAME?</v>
      </c>
      <c r="U8" s="53" t="e">
        <f ca="1">_xll.ESHistD($Q8,_xll.ESFldID(U$2,"D"),"D",$S8)</f>
        <v>#NAME?</v>
      </c>
      <c r="V8" s="53" t="e">
        <f ca="1">_xll.ESHistD($Q8,_xll.ESFldID(V$2,"D"),"D",$S8)</f>
        <v>#NAME?</v>
      </c>
      <c r="W8" s="53" t="e">
        <f ca="1">_xll.ESHistD($Q8,_xll.ESFldID(W$2,"D"),"D",$S8)</f>
        <v>#NAME?</v>
      </c>
      <c r="X8" s="22" t="e">
        <f ca="1">_xll.ESHistD($Q8,_xll.ESFldID(X$2,"D"),"D",$S8)</f>
        <v>#NAME?</v>
      </c>
      <c r="Y8" s="55" t="str">
        <f t="shared" si="0"/>
        <v>RTN-LON</v>
      </c>
      <c r="Z8" s="53" t="e">
        <f ca="1">_xll.ESHistD($Q8,_xll.ESFldID(Z$2,"D"),"D",$AC$1)</f>
        <v>#NAME?</v>
      </c>
      <c r="AA8" s="53" t="e">
        <f ca="1">_xll.ESHistD($Q8,_xll.ESFldID(AA$2,"D"),"D",$AC$1)</f>
        <v>#NAME?</v>
      </c>
      <c r="AB8" s="53" t="e">
        <f ca="1">_xll.ESHistD($Q8,_xll.ESFldID(AB$2,"D"),"D",$AC$1)</f>
        <v>#NAME?</v>
      </c>
      <c r="AC8" s="53" t="e">
        <f ca="1">_xll.ESHistD($Q8,_xll.ESFldID(AC$2,"D"),"D",$AC$1)</f>
        <v>#NAME?</v>
      </c>
      <c r="AD8" s="22" t="e">
        <f ca="1">_xll.ESHistD($Q8,_xll.ESFldID(AD$2,"D"),"D",$AC$1)</f>
        <v>#NAME?</v>
      </c>
      <c r="AG8" s="22"/>
    </row>
    <row r="9" spans="1:41" x14ac:dyDescent="0.25">
      <c r="A9" s="52">
        <f>IF(OR(ISBLANK(B9), B9=""),"", MAX(A$2:A8)+1)</f>
        <v>7</v>
      </c>
      <c r="B9" s="17" t="str">
        <f>IF(ISBLANK(Reporting!$B9), "", Reporting!$B9)</f>
        <v>VOD-LON</v>
      </c>
      <c r="C9" s="53" t="e">
        <f ca="1">_xll.ESQuote($B9,_xll.ESFldID(C$2))</f>
        <v>#NAME?</v>
      </c>
      <c r="D9" s="17" t="e">
        <f ca="1">_xll.ESQuote($B9,_xll.ESFldID(D$2))</f>
        <v>#NAME?</v>
      </c>
      <c r="E9" s="54" t="e">
        <f ca="1">_xll.ESQuote($B9,_xll.ESFldID(E$2))</f>
        <v>#NAME?</v>
      </c>
      <c r="F9" s="52" t="str">
        <f>IF(OR(ISBLANK(G9), G9=""),"", MAX(F$2:F8)+1)</f>
        <v/>
      </c>
      <c r="G9" s="17" t="str">
        <f>IF(ISBLANK(Existing!$B9), "", Existing!$B9)</f>
        <v/>
      </c>
      <c r="H9" s="53" t="e">
        <f ca="1">_xll.ESQuote($G9,_xll.ESFldID(H$2))</f>
        <v>#NAME?</v>
      </c>
      <c r="I9" s="17" t="e">
        <f ca="1">_xll.ESQuote($G9,_xll.ESFldID(I$2))</f>
        <v>#NAME?</v>
      </c>
      <c r="J9" s="54" t="e">
        <f ca="1">_xll.ESQuote($G9,_xll.ESFldID(J$2))</f>
        <v>#NAME?</v>
      </c>
      <c r="K9" s="52" t="str">
        <f>IF(OR(ISBLANK(L9), L9=""),"", MAX(K$2:K8)+1)</f>
        <v/>
      </c>
      <c r="L9" s="17" t="str">
        <f>IF(ISBLANK(Monitoring!$B9), "",Monitoring!$B9)</f>
        <v/>
      </c>
      <c r="M9" s="53" t="e">
        <f ca="1">_xll.ESQuote($L9,_xll.ESFldID(M$2))</f>
        <v>#NAME?</v>
      </c>
      <c r="N9" s="17" t="e">
        <f ca="1">_xll.ESQuote($L9,_xll.ESFldID(N$2))</f>
        <v>#NAME?</v>
      </c>
      <c r="O9" s="54" t="e">
        <f ca="1">_xll.ESQuote($L9,_xll.ESFldID(O$2))</f>
        <v>#NAME?</v>
      </c>
      <c r="P9" s="52">
        <f>IF(OR(ISBLANK(Q9), Q9=""),"", MAX(P$2:P8)+1)</f>
        <v>7</v>
      </c>
      <c r="Q9" s="17" t="s">
        <v>0</v>
      </c>
      <c r="R9" s="22" t="s">
        <v>37</v>
      </c>
      <c r="S9" s="16">
        <v>42930</v>
      </c>
      <c r="T9" s="53" t="e">
        <f ca="1">_xll.ESHistD($Q9,_xll.ESFldID(T$2,"D"),"D",$S9)</f>
        <v>#NAME?</v>
      </c>
      <c r="U9" s="53" t="e">
        <f ca="1">_xll.ESHistD($Q9,_xll.ESFldID(U$2,"D"),"D",$S9)</f>
        <v>#NAME?</v>
      </c>
      <c r="V9" s="53" t="e">
        <f ca="1">_xll.ESHistD($Q9,_xll.ESFldID(V$2,"D"),"D",$S9)</f>
        <v>#NAME?</v>
      </c>
      <c r="W9" s="53" t="e">
        <f ca="1">_xll.ESHistD($Q9,_xll.ESFldID(W$2,"D"),"D",$S9)</f>
        <v>#NAME?</v>
      </c>
      <c r="X9" s="22" t="e">
        <f ca="1">_xll.ESHistD($Q9,_xll.ESFldID(X$2,"D"),"D",$S9)</f>
        <v>#NAME?</v>
      </c>
      <c r="Y9" s="55" t="str">
        <f t="shared" si="0"/>
        <v>VOD-LON</v>
      </c>
      <c r="Z9" s="53" t="e">
        <f ca="1">_xll.ESHistD($Q9,_xll.ESFldID(Z$2,"D"),"D",$AC$1)</f>
        <v>#NAME?</v>
      </c>
      <c r="AA9" s="53" t="e">
        <f ca="1">_xll.ESHistD($Q9,_xll.ESFldID(AA$2,"D"),"D",$AC$1)</f>
        <v>#NAME?</v>
      </c>
      <c r="AB9" s="53" t="e">
        <f ca="1">_xll.ESHistD($Q9,_xll.ESFldID(AB$2,"D"),"D",$AC$1)</f>
        <v>#NAME?</v>
      </c>
      <c r="AC9" s="53" t="e">
        <f ca="1">_xll.ESHistD($Q9,_xll.ESFldID(AC$2,"D"),"D",$AC$1)</f>
        <v>#NAME?</v>
      </c>
      <c r="AD9" s="22" t="e">
        <f ca="1">_xll.ESHistD($Q9,_xll.ESFldID(AD$2,"D"),"D",$AC$1)</f>
        <v>#NAME?</v>
      </c>
      <c r="AG9" s="72" t="e">
        <f ca="1">_xll.ESBusDefPub()</f>
        <v>#NAME?</v>
      </c>
      <c r="AH9" s="72" t="s">
        <v>0</v>
      </c>
      <c r="AI9" s="72" t="s">
        <v>92</v>
      </c>
      <c r="AJ9" s="72" t="s">
        <v>92</v>
      </c>
      <c r="AK9" s="72" t="s">
        <v>92</v>
      </c>
      <c r="AL9" s="72" t="s">
        <v>92</v>
      </c>
      <c r="AM9" s="72" t="s">
        <v>92</v>
      </c>
      <c r="AN9" s="72" t="s">
        <v>92</v>
      </c>
      <c r="AO9" s="72" t="s">
        <v>92</v>
      </c>
    </row>
    <row r="10" spans="1:41" x14ac:dyDescent="0.25">
      <c r="A10" s="52" t="str">
        <f>IF(OR(ISBLANK(B10), B10=""),"", MAX(A$2:A9)+1)</f>
        <v/>
      </c>
      <c r="B10" s="17" t="str">
        <f>IF(ISBLANK(Reporting!$B10), "", Reporting!$B10)</f>
        <v/>
      </c>
      <c r="C10" s="53" t="e">
        <f ca="1">_xll.ESQuote($B10,_xll.ESFldID(C$2))</f>
        <v>#NAME?</v>
      </c>
      <c r="D10" s="17" t="e">
        <f ca="1">_xll.ESQuote($B10,_xll.ESFldID(D$2))</f>
        <v>#NAME?</v>
      </c>
      <c r="E10" s="54" t="e">
        <f ca="1">_xll.ESQuote($B10,_xll.ESFldID(E$2))</f>
        <v>#NAME?</v>
      </c>
      <c r="F10" s="52" t="str">
        <f>IF(OR(ISBLANK(G10), G10=""),"", MAX(F$2:F9)+1)</f>
        <v/>
      </c>
      <c r="G10" s="17" t="str">
        <f>IF(ISBLANK(Existing!$B10), "", Existing!$B10)</f>
        <v/>
      </c>
      <c r="H10" s="53" t="e">
        <f ca="1">_xll.ESQuote($G10,_xll.ESFldID(H$2))</f>
        <v>#NAME?</v>
      </c>
      <c r="I10" s="17" t="e">
        <f ca="1">_xll.ESQuote($G10,_xll.ESFldID(I$2))</f>
        <v>#NAME?</v>
      </c>
      <c r="J10" s="54" t="e">
        <f ca="1">_xll.ESQuote($G10,_xll.ESFldID(J$2))</f>
        <v>#NAME?</v>
      </c>
      <c r="K10" s="52" t="str">
        <f>IF(OR(ISBLANK(L10), L10=""),"", MAX(K$2:K9)+1)</f>
        <v/>
      </c>
      <c r="L10" s="17" t="str">
        <f>IF(ISBLANK(Monitoring!$B10), "",Monitoring!$B10)</f>
        <v/>
      </c>
      <c r="M10" s="53" t="e">
        <f ca="1">_xll.ESQuote($L10,_xll.ESFldID(M$2))</f>
        <v>#NAME?</v>
      </c>
      <c r="N10" s="17" t="e">
        <f ca="1">_xll.ESQuote($L10,_xll.ESFldID(N$2))</f>
        <v>#NAME?</v>
      </c>
      <c r="O10" s="54" t="e">
        <f ca="1">_xll.ESQuote($L10,_xll.ESFldID(O$2))</f>
        <v>#NAME?</v>
      </c>
      <c r="P10" s="52">
        <f>IF(OR(ISBLANK(Q10), Q10=""),"", MAX(P$2:P9)+1)</f>
        <v>8</v>
      </c>
      <c r="Q10" s="17" t="s">
        <v>8</v>
      </c>
      <c r="R10" s="22" t="s">
        <v>38</v>
      </c>
      <c r="S10" s="16">
        <v>42930</v>
      </c>
      <c r="T10" s="53" t="e">
        <f ca="1">_xll.ESHistD($Q10,_xll.ESFldID(T$2,"D"),"D",$S10)</f>
        <v>#NAME?</v>
      </c>
      <c r="U10" s="53" t="e">
        <f ca="1">_xll.ESHistD($Q10,_xll.ESFldID(U$2,"D"),"D",$S10)</f>
        <v>#NAME?</v>
      </c>
      <c r="V10" s="53" t="e">
        <f ca="1">_xll.ESHistD($Q10,_xll.ESFldID(V$2,"D"),"D",$S10)</f>
        <v>#NAME?</v>
      </c>
      <c r="W10" s="53" t="e">
        <f ca="1">_xll.ESHistD($Q10,_xll.ESFldID(W$2,"D"),"D",$S10)</f>
        <v>#NAME?</v>
      </c>
      <c r="X10" s="22" t="e">
        <f ca="1">_xll.ESHistD($Q10,_xll.ESFldID(X$2,"D"),"D",$S10)</f>
        <v>#NAME?</v>
      </c>
      <c r="Y10" s="55" t="str">
        <f t="shared" si="0"/>
        <v>BEKB-EEB</v>
      </c>
      <c r="Z10" s="53" t="e">
        <f ca="1">_xll.ESHistD($Q10,_xll.ESFldID(Z$2,"D"),"D",$AC$1)</f>
        <v>#NAME?</v>
      </c>
      <c r="AA10" s="53" t="e">
        <f ca="1">_xll.ESHistD($Q10,_xll.ESFldID(AA$2,"D"),"D",$AC$1)</f>
        <v>#NAME?</v>
      </c>
      <c r="AB10" s="53" t="e">
        <f ca="1">_xll.ESHistD($Q10,_xll.ESFldID(AB$2,"D"),"D",$AC$1)</f>
        <v>#NAME?</v>
      </c>
      <c r="AC10" s="53" t="e">
        <f ca="1">_xll.ESHistD($Q10,_xll.ESFldID(AC$2,"D"),"D",$AC$1)</f>
        <v>#NAME?</v>
      </c>
      <c r="AD10" s="22" t="e">
        <f ca="1">_xll.ESHistD($Q10,_xll.ESFldID(AD$2,"D"),"D",$AC$1)</f>
        <v>#NAME?</v>
      </c>
      <c r="AG10" s="22" t="s">
        <v>169</v>
      </c>
      <c r="AH10" s="22" t="s">
        <v>34</v>
      </c>
      <c r="AI10" s="22" t="s">
        <v>32</v>
      </c>
      <c r="AJ10" s="22" t="s">
        <v>35</v>
      </c>
      <c r="AK10" s="22" t="s">
        <v>36</v>
      </c>
      <c r="AL10" s="22" t="s">
        <v>33</v>
      </c>
      <c r="AM10" s="22" t="s">
        <v>139</v>
      </c>
      <c r="AN10" s="22" t="s">
        <v>140</v>
      </c>
      <c r="AO10" s="22" t="s">
        <v>141</v>
      </c>
    </row>
    <row r="11" spans="1:41" x14ac:dyDescent="0.25">
      <c r="A11" s="52" t="str">
        <f>IF(OR(ISBLANK(B11), B11=""),"", MAX(A$2:A10)+1)</f>
        <v/>
      </c>
      <c r="B11" s="17" t="str">
        <f>IF(ISBLANK(Reporting!$B11), "", Reporting!$B11)</f>
        <v/>
      </c>
      <c r="C11" s="53" t="e">
        <f ca="1">_xll.ESQuote($B11,_xll.ESFldID(C$2))</f>
        <v>#NAME?</v>
      </c>
      <c r="D11" s="17" t="e">
        <f ca="1">_xll.ESQuote($B11,_xll.ESFldID(D$2))</f>
        <v>#NAME?</v>
      </c>
      <c r="E11" s="54" t="e">
        <f ca="1">_xll.ESQuote($B11,_xll.ESFldID(E$2))</f>
        <v>#NAME?</v>
      </c>
      <c r="F11" s="52" t="str">
        <f>IF(OR(ISBLANK(G11), G11=""),"", MAX(F$2:F10)+1)</f>
        <v/>
      </c>
      <c r="G11" s="17" t="str">
        <f>IF(ISBLANK(Existing!$B11), "", Existing!$B11)</f>
        <v/>
      </c>
      <c r="H11" s="53" t="e">
        <f ca="1">_xll.ESQuote($G11,_xll.ESFldID(H$2))</f>
        <v>#NAME?</v>
      </c>
      <c r="I11" s="17" t="e">
        <f ca="1">_xll.ESQuote($G11,_xll.ESFldID(I$2))</f>
        <v>#NAME?</v>
      </c>
      <c r="J11" s="54" t="e">
        <f ca="1">_xll.ESQuote($G11,_xll.ESFldID(J$2))</f>
        <v>#NAME?</v>
      </c>
      <c r="K11" s="52" t="str">
        <f>IF(OR(ISBLANK(L11), L11=""),"", MAX(K$2:K10)+1)</f>
        <v/>
      </c>
      <c r="L11" s="17" t="str">
        <f>IF(ISBLANK(Monitoring!$B11), "",Monitoring!$B11)</f>
        <v/>
      </c>
      <c r="M11" s="53" t="e">
        <f ca="1">_xll.ESQuote($L11,_xll.ESFldID(M$2))</f>
        <v>#NAME?</v>
      </c>
      <c r="N11" s="17" t="e">
        <f ca="1">_xll.ESQuote($L11,_xll.ESFldID(N$2))</f>
        <v>#NAME?</v>
      </c>
      <c r="O11" s="54" t="e">
        <f ca="1">_xll.ESQuote($L11,_xll.ESFldID(O$2))</f>
        <v>#NAME?</v>
      </c>
      <c r="P11" s="52" t="str">
        <f>IF(OR(ISBLANK(Q11), Q11=""),"", MAX(P$2:P10)+1)</f>
        <v/>
      </c>
      <c r="S11" s="16"/>
      <c r="T11" s="53" t="e">
        <f ca="1">_xll.ESHistD($Q11,_xll.ESFldID(T$2,"D"),"D",$S11)</f>
        <v>#NAME?</v>
      </c>
      <c r="U11" s="53" t="e">
        <f ca="1">_xll.ESHistD($Q11,_xll.ESFldID(U$2,"D"),"D",$S11)</f>
        <v>#NAME?</v>
      </c>
      <c r="V11" s="53" t="e">
        <f ca="1">_xll.ESHistD($Q11,_xll.ESFldID(V$2,"D"),"D",$S11)</f>
        <v>#NAME?</v>
      </c>
      <c r="W11" s="53" t="e">
        <f ca="1">_xll.ESHistD($Q11,_xll.ESFldID(W$2,"D"),"D",$S11)</f>
        <v>#NAME?</v>
      </c>
      <c r="X11" s="22" t="e">
        <f ca="1">_xll.ESHistD($Q11,_xll.ESFldID(X$2,"D"),"D",$S11)</f>
        <v>#NAME?</v>
      </c>
      <c r="Y11" s="55" t="str">
        <f t="shared" si="0"/>
        <v/>
      </c>
      <c r="Z11" s="53" t="e">
        <f ca="1">_xll.ESHistD($Q11,_xll.ESFldID(Z$2,"D"),"D",$AC$1)</f>
        <v>#NAME?</v>
      </c>
      <c r="AA11" s="53" t="e">
        <f ca="1">_xll.ESHistD($Q11,_xll.ESFldID(AA$2,"D"),"D",$AC$1)</f>
        <v>#NAME?</v>
      </c>
      <c r="AB11" s="53" t="e">
        <f ca="1">_xll.ESHistD($Q11,_xll.ESFldID(AB$2,"D"),"D",$AC$1)</f>
        <v>#NAME?</v>
      </c>
      <c r="AC11" s="53" t="e">
        <f ca="1">_xll.ESHistD($Q11,_xll.ESFldID(AC$2,"D"),"D",$AC$1)</f>
        <v>#NAME?</v>
      </c>
      <c r="AD11" s="22" t="e">
        <f ca="1">_xll.ESHistD($Q11,_xll.ESFldID(AD$2,"D"),"D",$AC$1)</f>
        <v>#NAME?</v>
      </c>
      <c r="AG11" s="22">
        <v>4</v>
      </c>
      <c r="AH11" s="22">
        <f>RTD("esrtd",,"*H","VOD-LON","High",$AG$10,,"4")</f>
        <v>219.5</v>
      </c>
      <c r="AI11" s="22">
        <f>RTD("esrtd",,"*H","VOD-LON","Last",$AG$10,,"4")</f>
        <v>219.15</v>
      </c>
      <c r="AJ11" s="22">
        <f>RTD("esrtd",,"*H","VOD-LON","Low",$AG$10,,"4")</f>
        <v>219.05</v>
      </c>
      <c r="AK11" s="22">
        <f>RTD("esrtd",,"*H","VOD-LON","Open",$AG$10,,"4")</f>
        <v>219.5</v>
      </c>
      <c r="AL11" s="22">
        <f>RTD("esrtd",,"*H","VOD-LON","Volume",$AG$10,,"4")</f>
        <v>457118</v>
      </c>
      <c r="AM11" s="43">
        <f>RTD("esrtd",,"*H","VOD-LON","BarTime",$AG$10,,"4")</f>
        <v>42930.625</v>
      </c>
      <c r="AN11" s="16">
        <f>RTD("esrtd",,"*H","VOD-LON","Intraday_Date",$AG$10,,"4")</f>
        <v>42930.541666666664</v>
      </c>
      <c r="AO11" s="43">
        <f>RTD("esrtd",,"*H","VOD-LON","Intraday_Time",$AG$10,,"4")</f>
        <v>42930.625</v>
      </c>
    </row>
    <row r="12" spans="1:41" x14ac:dyDescent="0.25">
      <c r="A12" s="52" t="str">
        <f>IF(OR(ISBLANK(B12), B12=""),"", MAX(A$2:A11)+1)</f>
        <v/>
      </c>
      <c r="B12" s="17" t="str">
        <f>IF(ISBLANK(Reporting!$B12), "", Reporting!$B12)</f>
        <v/>
      </c>
      <c r="C12" s="53" t="e">
        <f ca="1">_xll.ESQuote($B12,_xll.ESFldID(C$2))</f>
        <v>#NAME?</v>
      </c>
      <c r="D12" s="17" t="e">
        <f ca="1">_xll.ESQuote($B12,_xll.ESFldID(D$2))</f>
        <v>#NAME?</v>
      </c>
      <c r="E12" s="54" t="e">
        <f ca="1">_xll.ESQuote($B12,_xll.ESFldID(E$2))</f>
        <v>#NAME?</v>
      </c>
      <c r="F12" s="52" t="str">
        <f>IF(OR(ISBLANK(G12), G12=""),"", MAX(F$2:F11)+1)</f>
        <v/>
      </c>
      <c r="G12" s="17" t="str">
        <f>IF(ISBLANK(Existing!$B12), "", Existing!$B12)</f>
        <v/>
      </c>
      <c r="H12" s="53" t="e">
        <f ca="1">_xll.ESQuote($G12,_xll.ESFldID(H$2))</f>
        <v>#NAME?</v>
      </c>
      <c r="I12" s="17" t="e">
        <f ca="1">_xll.ESQuote($G12,_xll.ESFldID(I$2))</f>
        <v>#NAME?</v>
      </c>
      <c r="J12" s="54" t="e">
        <f ca="1">_xll.ESQuote($G12,_xll.ESFldID(J$2))</f>
        <v>#NAME?</v>
      </c>
      <c r="K12" s="52" t="str">
        <f>IF(OR(ISBLANK(L12), L12=""),"", MAX(K$2:K11)+1)</f>
        <v/>
      </c>
      <c r="L12" s="17" t="str">
        <f>IF(ISBLANK(Monitoring!$B12), "",Monitoring!$B12)</f>
        <v/>
      </c>
      <c r="M12" s="53" t="e">
        <f ca="1">_xll.ESQuote($L12,_xll.ESFldID(M$2))</f>
        <v>#NAME?</v>
      </c>
      <c r="N12" s="17" t="e">
        <f ca="1">_xll.ESQuote($L12,_xll.ESFldID(N$2))</f>
        <v>#NAME?</v>
      </c>
      <c r="O12" s="54" t="e">
        <f ca="1">_xll.ESQuote($L12,_xll.ESFldID(O$2))</f>
        <v>#NAME?</v>
      </c>
      <c r="P12" s="52" t="str">
        <f>IF(OR(ISBLANK(Q12), Q12=""),"", MAX(P$2:P11)+1)</f>
        <v/>
      </c>
      <c r="S12" s="16"/>
      <c r="T12" s="53" t="e">
        <f ca="1">_xll.ESHistD($Q12,_xll.ESFldID(T$2,"D"),"D",$S12)</f>
        <v>#NAME?</v>
      </c>
      <c r="U12" s="53" t="e">
        <f ca="1">_xll.ESHistD($Q12,_xll.ESFldID(U$2,"D"),"D",$S12)</f>
        <v>#NAME?</v>
      </c>
      <c r="V12" s="53" t="e">
        <f ca="1">_xll.ESHistD($Q12,_xll.ESFldID(V$2,"D"),"D",$S12)</f>
        <v>#NAME?</v>
      </c>
      <c r="W12" s="53" t="e">
        <f ca="1">_xll.ESHistD($Q12,_xll.ESFldID(W$2,"D"),"D",$S12)</f>
        <v>#NAME?</v>
      </c>
      <c r="X12" s="22" t="e">
        <f ca="1">_xll.ESHistD($Q12,_xll.ESFldID(X$2,"D"),"D",$S12)</f>
        <v>#NAME?</v>
      </c>
      <c r="Y12" s="55" t="str">
        <f t="shared" si="0"/>
        <v/>
      </c>
      <c r="Z12" s="53" t="e">
        <f ca="1">_xll.ESHistD($Q12,_xll.ESFldID(Z$2,"D"),"D",$AC$1)</f>
        <v>#NAME?</v>
      </c>
      <c r="AA12" s="53" t="e">
        <f ca="1">_xll.ESHistD($Q12,_xll.ESFldID(AA$2,"D"),"D",$AC$1)</f>
        <v>#NAME?</v>
      </c>
      <c r="AB12" s="53" t="e">
        <f ca="1">_xll.ESHistD($Q12,_xll.ESFldID(AB$2,"D"),"D",$AC$1)</f>
        <v>#NAME?</v>
      </c>
      <c r="AC12" s="53" t="e">
        <f ca="1">_xll.ESHistD($Q12,_xll.ESFldID(AC$2,"D"),"D",$AC$1)</f>
        <v>#NAME?</v>
      </c>
      <c r="AD12" s="22" t="e">
        <f ca="1">_xll.ESHistD($Q12,_xll.ESFldID(AD$2,"D"),"D",$AC$1)</f>
        <v>#NAME?</v>
      </c>
      <c r="AG12" s="22">
        <v>3</v>
      </c>
      <c r="AH12" s="22">
        <f>RTD("esrtd",,"*H","VOD-LON","High",$AG$10,,"3")</f>
        <v>219.15</v>
      </c>
      <c r="AI12" s="22">
        <f>RTD("esrtd",,"*H","VOD-LON","Last",$AG$10,,"3")</f>
        <v>218.9</v>
      </c>
      <c r="AJ12" s="22">
        <f>RTD("esrtd",,"*H","VOD-LON","Low",$AG$10,,"3")</f>
        <v>218.9</v>
      </c>
      <c r="AK12" s="22">
        <f>RTD("esrtd",,"*H","VOD-LON","Open",$AG$10,,"3")</f>
        <v>219.15</v>
      </c>
      <c r="AL12" s="22">
        <f>RTD("esrtd",,"*H","VOD-LON","Volume",$AG$10,,"3")</f>
        <v>257943</v>
      </c>
      <c r="AM12" s="43">
        <f>RTD("esrtd",,"*H","VOD-LON","BarTime",$AG$10,,"3")</f>
        <v>42930.628472222219</v>
      </c>
      <c r="AN12" s="16">
        <f>RTD("esrtd",,"*H","VOD-LON","Intraday_Date",$AG$10,,"3")</f>
        <v>42930.541666666664</v>
      </c>
      <c r="AO12" s="43">
        <f>RTD("esrtd",,"*H","VOD-LON","Intraday_Time",$AG$10,,"3")</f>
        <v>42930.628472222219</v>
      </c>
    </row>
    <row r="13" spans="1:41" x14ac:dyDescent="0.25">
      <c r="A13" s="52" t="str">
        <f>IF(OR(ISBLANK(B13), B13=""),"", MAX(A$2:A12)+1)</f>
        <v/>
      </c>
      <c r="B13" s="17" t="str">
        <f>IF(ISBLANK(Reporting!$B13), "", Reporting!$B13)</f>
        <v/>
      </c>
      <c r="C13" s="53" t="e">
        <f ca="1">_xll.ESQuote($B13,_xll.ESFldID(C$2))</f>
        <v>#NAME?</v>
      </c>
      <c r="D13" s="17" t="e">
        <f ca="1">_xll.ESQuote($B13,_xll.ESFldID(D$2))</f>
        <v>#NAME?</v>
      </c>
      <c r="E13" s="54" t="e">
        <f ca="1">_xll.ESQuote($B13,_xll.ESFldID(E$2))</f>
        <v>#NAME?</v>
      </c>
      <c r="F13" s="52" t="str">
        <f>IF(OR(ISBLANK(G13), G13=""),"", MAX(F$2:F12)+1)</f>
        <v/>
      </c>
      <c r="G13" s="17" t="str">
        <f>IF(ISBLANK(Existing!$B13), "", Existing!$B13)</f>
        <v/>
      </c>
      <c r="H13" s="53" t="e">
        <f ca="1">_xll.ESQuote($G13,_xll.ESFldID(H$2))</f>
        <v>#NAME?</v>
      </c>
      <c r="I13" s="17" t="e">
        <f ca="1">_xll.ESQuote($G13,_xll.ESFldID(I$2))</f>
        <v>#NAME?</v>
      </c>
      <c r="J13" s="54" t="e">
        <f ca="1">_xll.ESQuote($G13,_xll.ESFldID(J$2))</f>
        <v>#NAME?</v>
      </c>
      <c r="K13" s="52" t="str">
        <f>IF(OR(ISBLANK(L13), L13=""),"", MAX(K$2:K12)+1)</f>
        <v/>
      </c>
      <c r="L13" s="17" t="str">
        <f>IF(ISBLANK(Monitoring!$B13), "",Monitoring!$B13)</f>
        <v/>
      </c>
      <c r="M13" s="53" t="e">
        <f ca="1">_xll.ESQuote($L13,_xll.ESFldID(M$2))</f>
        <v>#NAME?</v>
      </c>
      <c r="N13" s="17" t="e">
        <f ca="1">_xll.ESQuote($L13,_xll.ESFldID(N$2))</f>
        <v>#NAME?</v>
      </c>
      <c r="O13" s="54" t="e">
        <f ca="1">_xll.ESQuote($L13,_xll.ESFldID(O$2))</f>
        <v>#NAME?</v>
      </c>
      <c r="P13" s="52" t="str">
        <f>IF(OR(ISBLANK(Q13), Q13=""),"", MAX(P$2:P12)+1)</f>
        <v/>
      </c>
      <c r="S13" s="16"/>
      <c r="T13" s="53" t="e">
        <f ca="1">_xll.ESHistD($Q13,_xll.ESFldID(T$2,"D"),"D",$S13)</f>
        <v>#NAME?</v>
      </c>
      <c r="U13" s="53" t="e">
        <f ca="1">_xll.ESHistD($Q13,_xll.ESFldID(U$2,"D"),"D",$S13)</f>
        <v>#NAME?</v>
      </c>
      <c r="V13" s="53" t="e">
        <f ca="1">_xll.ESHistD($Q13,_xll.ESFldID(V$2,"D"),"D",$S13)</f>
        <v>#NAME?</v>
      </c>
      <c r="W13" s="53" t="e">
        <f ca="1">_xll.ESHistD($Q13,_xll.ESFldID(W$2,"D"),"D",$S13)</f>
        <v>#NAME?</v>
      </c>
      <c r="X13" s="22" t="e">
        <f ca="1">_xll.ESHistD($Q13,_xll.ESFldID(X$2,"D"),"D",$S13)</f>
        <v>#NAME?</v>
      </c>
      <c r="Y13" s="55" t="str">
        <f t="shared" si="0"/>
        <v/>
      </c>
      <c r="Z13" s="53" t="e">
        <f ca="1">_xll.ESHistD($Q13,_xll.ESFldID(Z$2,"D"),"D",$AC$1)</f>
        <v>#NAME?</v>
      </c>
      <c r="AA13" s="53" t="e">
        <f ca="1">_xll.ESHistD($Q13,_xll.ESFldID(AA$2,"D"),"D",$AC$1)</f>
        <v>#NAME?</v>
      </c>
      <c r="AB13" s="53" t="e">
        <f ca="1">_xll.ESHistD($Q13,_xll.ESFldID(AB$2,"D"),"D",$AC$1)</f>
        <v>#NAME?</v>
      </c>
      <c r="AC13" s="53" t="e">
        <f ca="1">_xll.ESHistD($Q13,_xll.ESFldID(AC$2,"D"),"D",$AC$1)</f>
        <v>#NAME?</v>
      </c>
      <c r="AD13" s="22" t="e">
        <f ca="1">_xll.ESHistD($Q13,_xll.ESFldID(AD$2,"D"),"D",$AC$1)</f>
        <v>#NAME?</v>
      </c>
      <c r="AG13" s="22">
        <v>2</v>
      </c>
      <c r="AH13" s="22">
        <f>RTD("esrtd",,"*H","VOD-LON","High",$AG$10,,"2")</f>
        <v>218.95</v>
      </c>
      <c r="AI13" s="22">
        <f>RTD("esrtd",,"*H","VOD-LON","Last",$AG$10,,"2")</f>
        <v>218.9</v>
      </c>
      <c r="AJ13" s="22">
        <f>RTD("esrtd",,"*H","VOD-LON","Low",$AG$10,,"2")</f>
        <v>218.85</v>
      </c>
      <c r="AK13" s="22">
        <f>RTD("esrtd",,"*H","VOD-LON","Open",$AG$10,,"2")</f>
        <v>218.95</v>
      </c>
      <c r="AL13" s="22">
        <f>RTD("esrtd",,"*H","VOD-LON","Volume",$AG$10,,"2")</f>
        <v>112975</v>
      </c>
      <c r="AM13" s="43">
        <f>RTD("esrtd",,"*H","VOD-LON","BarTime",$AG$10,,"2")</f>
        <v>42930.631944444445</v>
      </c>
      <c r="AN13" s="16">
        <f>RTD("esrtd",,"*H","VOD-LON","Intraday_Date",$AG$10,,"2")</f>
        <v>42930.541666666664</v>
      </c>
      <c r="AO13" s="43">
        <f>RTD("esrtd",,"*H","VOD-LON","Intraday_Time",$AG$10,,"2")</f>
        <v>42930.631944444445</v>
      </c>
    </row>
    <row r="14" spans="1:41" x14ac:dyDescent="0.25">
      <c r="A14" s="52" t="str">
        <f>IF(OR(ISBLANK(B14), B14=""),"", MAX(A$2:A13)+1)</f>
        <v/>
      </c>
      <c r="B14" s="17" t="str">
        <f>IF(ISBLANK(Reporting!$B14), "", Reporting!$B14)</f>
        <v/>
      </c>
      <c r="C14" s="53" t="e">
        <f ca="1">_xll.ESQuote($B14,_xll.ESFldID(C$2))</f>
        <v>#NAME?</v>
      </c>
      <c r="D14" s="17" t="e">
        <f ca="1">_xll.ESQuote($B14,_xll.ESFldID(D$2))</f>
        <v>#NAME?</v>
      </c>
      <c r="E14" s="54" t="e">
        <f ca="1">_xll.ESQuote($B14,_xll.ESFldID(E$2))</f>
        <v>#NAME?</v>
      </c>
      <c r="F14" s="52" t="str">
        <f>IF(OR(ISBLANK(G14), G14=""),"", MAX(F$2:F13)+1)</f>
        <v/>
      </c>
      <c r="G14" s="17" t="str">
        <f>IF(ISBLANK(Existing!$B14), "", Existing!$B14)</f>
        <v/>
      </c>
      <c r="H14" s="53" t="e">
        <f ca="1">_xll.ESQuote($G14,_xll.ESFldID(H$2))</f>
        <v>#NAME?</v>
      </c>
      <c r="I14" s="17" t="e">
        <f ca="1">_xll.ESQuote($G14,_xll.ESFldID(I$2))</f>
        <v>#NAME?</v>
      </c>
      <c r="J14" s="54" t="e">
        <f ca="1">_xll.ESQuote($G14,_xll.ESFldID(J$2))</f>
        <v>#NAME?</v>
      </c>
      <c r="K14" s="52" t="str">
        <f>IF(OR(ISBLANK(L14), L14=""),"", MAX(K$2:K13)+1)</f>
        <v/>
      </c>
      <c r="L14" s="17" t="str">
        <f>IF(ISBLANK(Monitoring!$B14), "",Monitoring!$B14)</f>
        <v/>
      </c>
      <c r="M14" s="53" t="e">
        <f ca="1">_xll.ESQuote($L14,_xll.ESFldID(M$2))</f>
        <v>#NAME?</v>
      </c>
      <c r="N14" s="17" t="e">
        <f ca="1">_xll.ESQuote($L14,_xll.ESFldID(N$2))</f>
        <v>#NAME?</v>
      </c>
      <c r="O14" s="54" t="e">
        <f ca="1">_xll.ESQuote($L14,_xll.ESFldID(O$2))</f>
        <v>#NAME?</v>
      </c>
      <c r="P14" s="52" t="str">
        <f>IF(OR(ISBLANK(Q14), Q14=""),"", MAX(P$2:P13)+1)</f>
        <v/>
      </c>
      <c r="S14" s="16"/>
      <c r="T14" s="53" t="e">
        <f ca="1">_xll.ESHistD($Q14,_xll.ESFldID(T$2,"D"),"D",$S14)</f>
        <v>#NAME?</v>
      </c>
      <c r="U14" s="53" t="e">
        <f ca="1">_xll.ESHistD($Q14,_xll.ESFldID(U$2,"D"),"D",$S14)</f>
        <v>#NAME?</v>
      </c>
      <c r="V14" s="53" t="e">
        <f ca="1">_xll.ESHistD($Q14,_xll.ESFldID(V$2,"D"),"D",$S14)</f>
        <v>#NAME?</v>
      </c>
      <c r="W14" s="53" t="e">
        <f ca="1">_xll.ESHistD($Q14,_xll.ESFldID(W$2,"D"),"D",$S14)</f>
        <v>#NAME?</v>
      </c>
      <c r="X14" s="22" t="e">
        <f ca="1">_xll.ESHistD($Q14,_xll.ESFldID(X$2,"D"),"D",$S14)</f>
        <v>#NAME?</v>
      </c>
      <c r="Y14" s="55" t="str">
        <f t="shared" si="0"/>
        <v/>
      </c>
      <c r="Z14" s="53" t="e">
        <f ca="1">_xll.ESHistD($Q14,_xll.ESFldID(Z$2,"D"),"D",$AC$1)</f>
        <v>#NAME?</v>
      </c>
      <c r="AA14" s="53" t="e">
        <f ca="1">_xll.ESHistD($Q14,_xll.ESFldID(AA$2,"D"),"D",$AC$1)</f>
        <v>#NAME?</v>
      </c>
      <c r="AB14" s="53" t="e">
        <f ca="1">_xll.ESHistD($Q14,_xll.ESFldID(AB$2,"D"),"D",$AC$1)</f>
        <v>#NAME?</v>
      </c>
      <c r="AC14" s="53" t="e">
        <f ca="1">_xll.ESHistD($Q14,_xll.ESFldID(AC$2,"D"),"D",$AC$1)</f>
        <v>#NAME?</v>
      </c>
      <c r="AD14" s="22" t="e">
        <f ca="1">_xll.ESHistD($Q14,_xll.ESFldID(AD$2,"D"),"D",$AC$1)</f>
        <v>#NAME?</v>
      </c>
      <c r="AG14" s="22">
        <v>1</v>
      </c>
      <c r="AH14" s="22">
        <f>RTD("esrtd",,"*H","VOD-LON","High",$AG$10,,"1")</f>
        <v>219.05</v>
      </c>
      <c r="AI14" s="22">
        <f>RTD("esrtd",,"*H","VOD-LON","Last",$AG$10,,"1")</f>
        <v>219.05</v>
      </c>
      <c r="AJ14" s="22">
        <f>RTD("esrtd",,"*H","VOD-LON","Low",$AG$10,,"1")</f>
        <v>218.85</v>
      </c>
      <c r="AK14" s="22">
        <f>RTD("esrtd",,"*H","VOD-LON","Open",$AG$10,,"1")</f>
        <v>218.95</v>
      </c>
      <c r="AL14" s="22">
        <f>RTD("esrtd",,"*H","VOD-LON","Volume",$AG$10,,"1")</f>
        <v>59538</v>
      </c>
      <c r="AM14" s="43">
        <f>RTD("esrtd",,"*H","VOD-LON","BarTime",$AG$10,,"1")</f>
        <v>42930.635416666664</v>
      </c>
      <c r="AN14" s="16">
        <f>RTD("esrtd",,"*H","VOD-LON","Intraday_Date",$AG$10,,"1")</f>
        <v>42930.541666666664</v>
      </c>
      <c r="AO14" s="43">
        <f>RTD("esrtd",,"*H","VOD-LON","Intraday_Time",$AG$10,,"1")</f>
        <v>42930.635416666664</v>
      </c>
    </row>
    <row r="15" spans="1:41" x14ac:dyDescent="0.25">
      <c r="A15" s="52" t="str">
        <f>IF(OR(ISBLANK(B15), B15=""),"", MAX(A$2:A14)+1)</f>
        <v/>
      </c>
      <c r="B15" s="17" t="str">
        <f>IF(ISBLANK(Reporting!$B15), "", Reporting!$B15)</f>
        <v/>
      </c>
      <c r="C15" s="53" t="e">
        <f ca="1">_xll.ESQuote($B15,_xll.ESFldID(C$2))</f>
        <v>#NAME?</v>
      </c>
      <c r="D15" s="17" t="e">
        <f ca="1">_xll.ESQuote($B15,_xll.ESFldID(D$2))</f>
        <v>#NAME?</v>
      </c>
      <c r="E15" s="54" t="e">
        <f ca="1">_xll.ESQuote($B15,_xll.ESFldID(E$2))</f>
        <v>#NAME?</v>
      </c>
      <c r="F15" s="52" t="str">
        <f>IF(OR(ISBLANK(G15), G15=""),"", MAX(F$2:F14)+1)</f>
        <v/>
      </c>
      <c r="G15" s="17" t="str">
        <f>IF(ISBLANK(Existing!$B15), "", Existing!$B15)</f>
        <v/>
      </c>
      <c r="H15" s="53" t="e">
        <f ca="1">_xll.ESQuote($G15,_xll.ESFldID(H$2))</f>
        <v>#NAME?</v>
      </c>
      <c r="I15" s="17" t="e">
        <f ca="1">_xll.ESQuote($G15,_xll.ESFldID(I$2))</f>
        <v>#NAME?</v>
      </c>
      <c r="J15" s="54" t="e">
        <f ca="1">_xll.ESQuote($G15,_xll.ESFldID(J$2))</f>
        <v>#NAME?</v>
      </c>
      <c r="K15" s="52" t="str">
        <f>IF(OR(ISBLANK(L15), L15=""),"", MAX(K$2:K14)+1)</f>
        <v/>
      </c>
      <c r="L15" s="17" t="str">
        <f>IF(ISBLANK(Monitoring!$B15), "",Monitoring!$B15)</f>
        <v/>
      </c>
      <c r="M15" s="53" t="e">
        <f ca="1">_xll.ESQuote($L15,_xll.ESFldID(M$2))</f>
        <v>#NAME?</v>
      </c>
      <c r="N15" s="17" t="e">
        <f ca="1">_xll.ESQuote($L15,_xll.ESFldID(N$2))</f>
        <v>#NAME?</v>
      </c>
      <c r="O15" s="54" t="e">
        <f ca="1">_xll.ESQuote($L15,_xll.ESFldID(O$2))</f>
        <v>#NAME?</v>
      </c>
      <c r="P15" s="52" t="str">
        <f>IF(OR(ISBLANK(Q15), Q15=""),"", MAX(P$2:P14)+1)</f>
        <v/>
      </c>
      <c r="S15" s="16"/>
      <c r="T15" s="53" t="e">
        <f ca="1">_xll.ESHistD($Q15,_xll.ESFldID(T$2,"D"),"D",$S15)</f>
        <v>#NAME?</v>
      </c>
      <c r="U15" s="53" t="e">
        <f ca="1">_xll.ESHistD($Q15,_xll.ESFldID(U$2,"D"),"D",$S15)</f>
        <v>#NAME?</v>
      </c>
      <c r="V15" s="53" t="e">
        <f ca="1">_xll.ESHistD($Q15,_xll.ESFldID(V$2,"D"),"D",$S15)</f>
        <v>#NAME?</v>
      </c>
      <c r="W15" s="53" t="e">
        <f ca="1">_xll.ESHistD($Q15,_xll.ESFldID(W$2,"D"),"D",$S15)</f>
        <v>#NAME?</v>
      </c>
      <c r="X15" s="22" t="e">
        <f ca="1">_xll.ESHistD($Q15,_xll.ESFldID(X$2,"D"),"D",$S15)</f>
        <v>#NAME?</v>
      </c>
      <c r="Y15" s="55" t="str">
        <f t="shared" si="0"/>
        <v/>
      </c>
      <c r="Z15" s="53" t="e">
        <f ca="1">_xll.ESHistD($Q15,_xll.ESFldID(Z$2,"D"),"D",$AC$1)</f>
        <v>#NAME?</v>
      </c>
      <c r="AA15" s="53" t="e">
        <f ca="1">_xll.ESHistD($Q15,_xll.ESFldID(AA$2,"D"),"D",$AC$1)</f>
        <v>#NAME?</v>
      </c>
      <c r="AB15" s="53" t="e">
        <f ca="1">_xll.ESHistD($Q15,_xll.ESFldID(AB$2,"D"),"D",$AC$1)</f>
        <v>#NAME?</v>
      </c>
      <c r="AC15" s="53" t="e">
        <f ca="1">_xll.ESHistD($Q15,_xll.ESFldID(AC$2,"D"),"D",$AC$1)</f>
        <v>#NAME?</v>
      </c>
      <c r="AD15" s="22" t="e">
        <f ca="1">_xll.ESHistD($Q15,_xll.ESFldID(AD$2,"D"),"D",$AC$1)</f>
        <v>#NAME?</v>
      </c>
      <c r="AG15" s="22">
        <v>0</v>
      </c>
      <c r="AH15" s="22">
        <f>RTD("esrtd",,"*H","VOD-LON","High",$AG$10,,"0")</f>
        <v>219.1</v>
      </c>
      <c r="AI15" s="22">
        <f>RTD("esrtd",,"*H","VOD-LON","Last",$AG$10,"07/02/2016","0")</f>
        <v>218.7</v>
      </c>
      <c r="AJ15" s="22">
        <f>RTD("esrtd",,"*H","VOD-LON","Low",$AG$10,,"0")</f>
        <v>218.7</v>
      </c>
      <c r="AK15" s="22">
        <f>RTD("esrtd",,"*H","VOD-LON","Open",$AG$10,,"0")</f>
        <v>219.1</v>
      </c>
      <c r="AL15" s="22">
        <f>RTD("esrtd",,"*H","VOD-LON","Volume",$AG$10,,"0")</f>
        <v>97783</v>
      </c>
      <c r="AM15" s="43">
        <f>RTD("esrtd",,"*H","VOD-LON","BarTime",$AG$10,,"0")</f>
        <v>42930.638888888891</v>
      </c>
      <c r="AN15" s="16">
        <f>RTD("esrtd",,"*H","VOD-LON","Intraday_Date",$AG$10,,"0")</f>
        <v>42930.541666666664</v>
      </c>
      <c r="AO15" s="43">
        <f>RTD("esrtd",,"*H","VOD-LON","Intraday_Time",$AG$10,,"0")</f>
        <v>42930.638888888891</v>
      </c>
    </row>
    <row r="16" spans="1:41" x14ac:dyDescent="0.25">
      <c r="A16" s="52" t="str">
        <f>IF(OR(ISBLANK(B16), B16=""),"", MAX(A$2:A15)+1)</f>
        <v/>
      </c>
      <c r="B16" s="17" t="str">
        <f>IF(ISBLANK(Reporting!$B16), "", Reporting!$B16)</f>
        <v/>
      </c>
      <c r="C16" s="53" t="e">
        <f ca="1">_xll.ESQuote($B16,_xll.ESFldID(C$2))</f>
        <v>#NAME?</v>
      </c>
      <c r="D16" s="17" t="e">
        <f ca="1">_xll.ESQuote($B16,_xll.ESFldID(D$2))</f>
        <v>#NAME?</v>
      </c>
      <c r="E16" s="54" t="e">
        <f ca="1">_xll.ESQuote($B16,_xll.ESFldID(E$2))</f>
        <v>#NAME?</v>
      </c>
      <c r="F16" s="52" t="str">
        <f>IF(OR(ISBLANK(G16), G16=""),"", MAX(F$2:F15)+1)</f>
        <v/>
      </c>
      <c r="G16" s="17" t="str">
        <f>IF(ISBLANK(Existing!$B16), "", Existing!$B16)</f>
        <v/>
      </c>
      <c r="H16" s="53" t="e">
        <f ca="1">_xll.ESQuote($G16,_xll.ESFldID(H$2))</f>
        <v>#NAME?</v>
      </c>
      <c r="I16" s="17" t="e">
        <f ca="1">_xll.ESQuote($G16,_xll.ESFldID(I$2))</f>
        <v>#NAME?</v>
      </c>
      <c r="J16" s="54" t="e">
        <f ca="1">_xll.ESQuote($G16,_xll.ESFldID(J$2))</f>
        <v>#NAME?</v>
      </c>
      <c r="K16" s="52" t="str">
        <f>IF(OR(ISBLANK(L16), L16=""),"", MAX(K$2:K15)+1)</f>
        <v/>
      </c>
      <c r="L16" s="17" t="str">
        <f>IF(ISBLANK(Monitoring!$B16), "",Monitoring!$B16)</f>
        <v/>
      </c>
      <c r="M16" s="53" t="e">
        <f ca="1">_xll.ESQuote($L16,_xll.ESFldID(M$2))</f>
        <v>#NAME?</v>
      </c>
      <c r="N16" s="17" t="e">
        <f ca="1">_xll.ESQuote($L16,_xll.ESFldID(N$2))</f>
        <v>#NAME?</v>
      </c>
      <c r="O16" s="54" t="e">
        <f ca="1">_xll.ESQuote($L16,_xll.ESFldID(O$2))</f>
        <v>#NAME?</v>
      </c>
      <c r="P16" s="52" t="str">
        <f>IF(OR(ISBLANK(Q16), Q16=""),"", MAX(P$2:P15)+1)</f>
        <v/>
      </c>
      <c r="S16" s="16"/>
      <c r="T16" s="53" t="e">
        <f ca="1">_xll.ESHistD($Q16,_xll.ESFldID(T$2,"D"),"D",$S16)</f>
        <v>#NAME?</v>
      </c>
      <c r="U16" s="53" t="e">
        <f ca="1">_xll.ESHistD($Q16,_xll.ESFldID(U$2,"D"),"D",$S16)</f>
        <v>#NAME?</v>
      </c>
      <c r="V16" s="53" t="e">
        <f ca="1">_xll.ESHistD($Q16,_xll.ESFldID(V$2,"D"),"D",$S16)</f>
        <v>#NAME?</v>
      </c>
      <c r="W16" s="53" t="e">
        <f ca="1">_xll.ESHistD($Q16,_xll.ESFldID(W$2,"D"),"D",$S16)</f>
        <v>#NAME?</v>
      </c>
      <c r="X16" s="22" t="e">
        <f ca="1">_xll.ESHistD($Q16,_xll.ESFldID(X$2,"D"),"D",$S16)</f>
        <v>#NAME?</v>
      </c>
      <c r="Y16" s="55" t="str">
        <f t="shared" si="0"/>
        <v/>
      </c>
      <c r="Z16" s="53" t="e">
        <f ca="1">_xll.ESHistD($Q16,_xll.ESFldID(Z$2,"D"),"D",$AC$1)</f>
        <v>#NAME?</v>
      </c>
      <c r="AA16" s="53" t="e">
        <f ca="1">_xll.ESHistD($Q16,_xll.ESFldID(AA$2,"D"),"D",$AC$1)</f>
        <v>#NAME?</v>
      </c>
      <c r="AB16" s="53" t="e">
        <f ca="1">_xll.ESHistD($Q16,_xll.ESFldID(AB$2,"D"),"D",$AC$1)</f>
        <v>#NAME?</v>
      </c>
      <c r="AC16" s="53" t="e">
        <f ca="1">_xll.ESHistD($Q16,_xll.ESFldID(AC$2,"D"),"D",$AC$1)</f>
        <v>#NAME?</v>
      </c>
      <c r="AD16" s="22" t="e">
        <f ca="1">_xll.ESHistD($Q16,_xll.ESFldID(AD$2,"D"),"D",$AC$1)</f>
        <v>#NAME?</v>
      </c>
    </row>
    <row r="17" spans="1:39" x14ac:dyDescent="0.25">
      <c r="A17" s="52" t="str">
        <f>IF(OR(ISBLANK(B17), B17=""),"", MAX(A$2:A16)+1)</f>
        <v/>
      </c>
      <c r="B17" s="17" t="str">
        <f>IF(ISBLANK(Reporting!$B17), "", Reporting!$B17)</f>
        <v/>
      </c>
      <c r="C17" s="53" t="e">
        <f ca="1">_xll.ESQuote($B17,_xll.ESFldID(C$2))</f>
        <v>#NAME?</v>
      </c>
      <c r="D17" s="17" t="e">
        <f ca="1">_xll.ESQuote($B17,_xll.ESFldID(D$2))</f>
        <v>#NAME?</v>
      </c>
      <c r="E17" s="54" t="e">
        <f ca="1">_xll.ESQuote($B17,_xll.ESFldID(E$2))</f>
        <v>#NAME?</v>
      </c>
      <c r="F17" s="52" t="str">
        <f>IF(OR(ISBLANK(G17), G17=""),"", MAX(F$2:F16)+1)</f>
        <v/>
      </c>
      <c r="G17" s="17" t="str">
        <f>IF(ISBLANK(Existing!$B17), "", Existing!$B17)</f>
        <v/>
      </c>
      <c r="H17" s="53" t="e">
        <f ca="1">_xll.ESQuote($G17,_xll.ESFldID(H$2))</f>
        <v>#NAME?</v>
      </c>
      <c r="I17" s="17" t="e">
        <f ca="1">_xll.ESQuote($G17,_xll.ESFldID(I$2))</f>
        <v>#NAME?</v>
      </c>
      <c r="J17" s="54" t="e">
        <f ca="1">_xll.ESQuote($G17,_xll.ESFldID(J$2))</f>
        <v>#NAME?</v>
      </c>
      <c r="K17" s="52" t="str">
        <f>IF(OR(ISBLANK(L17), L17=""),"", MAX(K$2:K16)+1)</f>
        <v/>
      </c>
      <c r="L17" s="17" t="str">
        <f>IF(ISBLANK(Monitoring!$B17), "",Monitoring!$B17)</f>
        <v/>
      </c>
      <c r="M17" s="53" t="e">
        <f ca="1">_xll.ESQuote($L17,_xll.ESFldID(M$2))</f>
        <v>#NAME?</v>
      </c>
      <c r="N17" s="17" t="e">
        <f ca="1">_xll.ESQuote($L17,_xll.ESFldID(N$2))</f>
        <v>#NAME?</v>
      </c>
      <c r="O17" s="54" t="e">
        <f ca="1">_xll.ESQuote($L17,_xll.ESFldID(O$2))</f>
        <v>#NAME?</v>
      </c>
      <c r="P17" s="52" t="str">
        <f>IF(OR(ISBLANK(Q17), Q17=""),"", MAX(P$2:P16)+1)</f>
        <v/>
      </c>
      <c r="S17" s="16"/>
      <c r="T17" s="53" t="e">
        <f ca="1">_xll.ESHistD($Q17,_xll.ESFldID(T$2,"D"),"D",$S17)</f>
        <v>#NAME?</v>
      </c>
      <c r="U17" s="53" t="e">
        <f ca="1">_xll.ESHistD($Q17,_xll.ESFldID(U$2,"D"),"D",$S17)</f>
        <v>#NAME?</v>
      </c>
      <c r="V17" s="53" t="e">
        <f ca="1">_xll.ESHistD($Q17,_xll.ESFldID(V$2,"D"),"D",$S17)</f>
        <v>#NAME?</v>
      </c>
      <c r="W17" s="53" t="e">
        <f ca="1">_xll.ESHistD($Q17,_xll.ESFldID(W$2,"D"),"D",$S17)</f>
        <v>#NAME?</v>
      </c>
      <c r="X17" s="22" t="e">
        <f ca="1">_xll.ESHistD($Q17,_xll.ESFldID(X$2,"D"),"D",$S17)</f>
        <v>#NAME?</v>
      </c>
      <c r="Y17" s="55" t="str">
        <f t="shared" si="0"/>
        <v/>
      </c>
      <c r="Z17" s="53" t="e">
        <f ca="1">_xll.ESHistD($Q17,_xll.ESFldID(Z$2,"D"),"D",$AC$1)</f>
        <v>#NAME?</v>
      </c>
      <c r="AA17" s="53" t="e">
        <f ca="1">_xll.ESHistD($Q17,_xll.ESFldID(AA$2,"D"),"D",$AC$1)</f>
        <v>#NAME?</v>
      </c>
      <c r="AB17" s="53" t="e">
        <f ca="1">_xll.ESHistD($Q17,_xll.ESFldID(AB$2,"D"),"D",$AC$1)</f>
        <v>#NAME?</v>
      </c>
      <c r="AC17" s="53" t="e">
        <f ca="1">_xll.ESHistD($Q17,_xll.ESFldID(AC$2,"D"),"D",$AC$1)</f>
        <v>#NAME?</v>
      </c>
      <c r="AD17" s="22" t="e">
        <f ca="1">_xll.ESHistD($Q17,_xll.ESFldID(AD$2,"D"),"D",$AC$1)</f>
        <v>#NAME?</v>
      </c>
      <c r="AG17" s="72" t="e">
        <f ca="1">_xll.ESBusDefPub()</f>
        <v>#NAME?</v>
      </c>
      <c r="AH17" s="72" t="s">
        <v>0</v>
      </c>
      <c r="AI17" s="72" t="s">
        <v>92</v>
      </c>
      <c r="AJ17" s="72" t="s">
        <v>92</v>
      </c>
      <c r="AK17" s="72" t="s">
        <v>92</v>
      </c>
      <c r="AL17" s="72" t="s">
        <v>92</v>
      </c>
      <c r="AM17" s="72" t="s">
        <v>92</v>
      </c>
    </row>
    <row r="18" spans="1:39" x14ac:dyDescent="0.25">
      <c r="A18" s="52" t="str">
        <f>IF(OR(ISBLANK(B18), B18=""),"", MAX(A$2:A17)+1)</f>
        <v/>
      </c>
      <c r="B18" s="17" t="str">
        <f>IF(ISBLANK(Reporting!$B18), "", Reporting!$B18)</f>
        <v/>
      </c>
      <c r="C18" s="53" t="e">
        <f ca="1">_xll.ESQuote($B18,_xll.ESFldID(C$2))</f>
        <v>#NAME?</v>
      </c>
      <c r="D18" s="17" t="e">
        <f ca="1">_xll.ESQuote($B18,_xll.ESFldID(D$2))</f>
        <v>#NAME?</v>
      </c>
      <c r="E18" s="54" t="e">
        <f ca="1">_xll.ESQuote($B18,_xll.ESFldID(E$2))</f>
        <v>#NAME?</v>
      </c>
      <c r="F18" s="52" t="str">
        <f>IF(OR(ISBLANK(G18), G18=""),"", MAX(F$2:F17)+1)</f>
        <v/>
      </c>
      <c r="G18" s="17" t="str">
        <f>IF(ISBLANK(Existing!$B18), "", Existing!$B18)</f>
        <v/>
      </c>
      <c r="H18" s="53" t="e">
        <f ca="1">_xll.ESQuote($G18,_xll.ESFldID(H$2))</f>
        <v>#NAME?</v>
      </c>
      <c r="I18" s="17" t="e">
        <f ca="1">_xll.ESQuote($G18,_xll.ESFldID(I$2))</f>
        <v>#NAME?</v>
      </c>
      <c r="J18" s="54" t="e">
        <f ca="1">_xll.ESQuote($G18,_xll.ESFldID(J$2))</f>
        <v>#NAME?</v>
      </c>
      <c r="K18" s="52" t="str">
        <f>IF(OR(ISBLANK(L18), L18=""),"", MAX(K$2:K17)+1)</f>
        <v/>
      </c>
      <c r="L18" s="17" t="str">
        <f>IF(ISBLANK(Monitoring!$B18), "",Monitoring!$B18)</f>
        <v/>
      </c>
      <c r="M18" s="53" t="e">
        <f ca="1">_xll.ESQuote($L18,_xll.ESFldID(M$2))</f>
        <v>#NAME?</v>
      </c>
      <c r="N18" s="17" t="e">
        <f ca="1">_xll.ESQuote($L18,_xll.ESFldID(N$2))</f>
        <v>#NAME?</v>
      </c>
      <c r="O18" s="54" t="e">
        <f ca="1">_xll.ESQuote($L18,_xll.ESFldID(O$2))</f>
        <v>#NAME?</v>
      </c>
      <c r="P18" s="52" t="str">
        <f>IF(OR(ISBLANK(Q18), Q18=""),"", MAX(P$2:P17)+1)</f>
        <v/>
      </c>
      <c r="S18" s="16"/>
      <c r="T18" s="53" t="e">
        <f ca="1">_xll.ESHistD($Q18,_xll.ESFldID(T$2,"D"),"D",$S18)</f>
        <v>#NAME?</v>
      </c>
      <c r="U18" s="53" t="e">
        <f ca="1">_xll.ESHistD($Q18,_xll.ESFldID(U$2,"D"),"D",$S18)</f>
        <v>#NAME?</v>
      </c>
      <c r="V18" s="53" t="e">
        <f ca="1">_xll.ESHistD($Q18,_xll.ESFldID(V$2,"D"),"D",$S18)</f>
        <v>#NAME?</v>
      </c>
      <c r="W18" s="53" t="e">
        <f ca="1">_xll.ESHistD($Q18,_xll.ESFldID(W$2,"D"),"D",$S18)</f>
        <v>#NAME?</v>
      </c>
      <c r="X18" s="22" t="e">
        <f ca="1">_xll.ESHistD($Q18,_xll.ESFldID(X$2,"D"),"D",$S18)</f>
        <v>#NAME?</v>
      </c>
      <c r="Y18" s="55" t="str">
        <f t="shared" si="0"/>
        <v/>
      </c>
      <c r="Z18" s="53" t="e">
        <f ca="1">_xll.ESHistD($Q18,_xll.ESFldID(Z$2,"D"),"D",$AC$1)</f>
        <v>#NAME?</v>
      </c>
      <c r="AA18" s="53" t="e">
        <f ca="1">_xll.ESHistD($Q18,_xll.ESFldID(AA$2,"D"),"D",$AC$1)</f>
        <v>#NAME?</v>
      </c>
      <c r="AB18" s="53" t="e">
        <f ca="1">_xll.ESHistD($Q18,_xll.ESFldID(AB$2,"D"),"D",$AC$1)</f>
        <v>#NAME?</v>
      </c>
      <c r="AC18" s="53" t="e">
        <f ca="1">_xll.ESHistD($Q18,_xll.ESFldID(AC$2,"D"),"D",$AC$1)</f>
        <v>#NAME?</v>
      </c>
      <c r="AD18" s="22" t="e">
        <f ca="1">_xll.ESHistD($Q18,_xll.ESFldID(AD$2,"D"),"D",$AC$1)</f>
        <v>#NAME?</v>
      </c>
      <c r="AG18" s="22" t="s">
        <v>148</v>
      </c>
      <c r="AH18" s="22" t="s">
        <v>139</v>
      </c>
      <c r="AI18" s="22" t="s">
        <v>34</v>
      </c>
      <c r="AJ18" s="22" t="s">
        <v>32</v>
      </c>
      <c r="AK18" s="22" t="s">
        <v>35</v>
      </c>
      <c r="AL18" s="22" t="s">
        <v>36</v>
      </c>
      <c r="AM18" s="22" t="s">
        <v>33</v>
      </c>
    </row>
    <row r="19" spans="1:39" x14ac:dyDescent="0.25">
      <c r="A19" s="52" t="str">
        <f>IF(OR(ISBLANK(B19), B19=""),"", MAX(A$2:A18)+1)</f>
        <v/>
      </c>
      <c r="B19" s="17" t="str">
        <f>IF(ISBLANK(Reporting!$B19), "", Reporting!$B19)</f>
        <v/>
      </c>
      <c r="C19" s="53" t="e">
        <f ca="1">_xll.ESQuote($B19,_xll.ESFldID(C$2))</f>
        <v>#NAME?</v>
      </c>
      <c r="D19" s="17" t="e">
        <f ca="1">_xll.ESQuote($B19,_xll.ESFldID(D$2))</f>
        <v>#NAME?</v>
      </c>
      <c r="E19" s="54" t="e">
        <f ca="1">_xll.ESQuote($B19,_xll.ESFldID(E$2))</f>
        <v>#NAME?</v>
      </c>
      <c r="F19" s="52" t="str">
        <f>IF(OR(ISBLANK(G19), G19=""),"", MAX(F$2:F18)+1)</f>
        <v/>
      </c>
      <c r="G19" s="17" t="str">
        <f>IF(ISBLANK(Existing!$B19), "", Existing!$B19)</f>
        <v/>
      </c>
      <c r="H19" s="53" t="e">
        <f ca="1">_xll.ESQuote($G19,_xll.ESFldID(H$2))</f>
        <v>#NAME?</v>
      </c>
      <c r="I19" s="17" t="e">
        <f ca="1">_xll.ESQuote($G19,_xll.ESFldID(I$2))</f>
        <v>#NAME?</v>
      </c>
      <c r="J19" s="54" t="e">
        <f ca="1">_xll.ESQuote($G19,_xll.ESFldID(J$2))</f>
        <v>#NAME?</v>
      </c>
      <c r="K19" s="52" t="str">
        <f>IF(OR(ISBLANK(L19), L19=""),"", MAX(K$2:K18)+1)</f>
        <v/>
      </c>
      <c r="L19" s="17" t="str">
        <f>IF(ISBLANK(Monitoring!$B19), "",Monitoring!$B19)</f>
        <v/>
      </c>
      <c r="M19" s="53" t="e">
        <f ca="1">_xll.ESQuote($L19,_xll.ESFldID(M$2))</f>
        <v>#NAME?</v>
      </c>
      <c r="N19" s="17" t="e">
        <f ca="1">_xll.ESQuote($L19,_xll.ESFldID(N$2))</f>
        <v>#NAME?</v>
      </c>
      <c r="O19" s="54" t="e">
        <f ca="1">_xll.ESQuote($L19,_xll.ESFldID(O$2))</f>
        <v>#NAME?</v>
      </c>
      <c r="P19" s="52" t="str">
        <f>IF(OR(ISBLANK(Q19), Q19=""),"", MAX(P$2:P18)+1)</f>
        <v/>
      </c>
      <c r="S19" s="16"/>
      <c r="T19" s="53" t="e">
        <f ca="1">_xll.ESHistD($Q19,_xll.ESFldID(T$2,"D"),"D",$S19)</f>
        <v>#NAME?</v>
      </c>
      <c r="U19" s="53" t="e">
        <f ca="1">_xll.ESHistD($Q19,_xll.ESFldID(U$2,"D"),"D",$S19)</f>
        <v>#NAME?</v>
      </c>
      <c r="V19" s="53" t="e">
        <f ca="1">_xll.ESHistD($Q19,_xll.ESFldID(V$2,"D"),"D",$S19)</f>
        <v>#NAME?</v>
      </c>
      <c r="W19" s="53" t="e">
        <f ca="1">_xll.ESHistD($Q19,_xll.ESFldID(W$2,"D"),"D",$S19)</f>
        <v>#NAME?</v>
      </c>
      <c r="X19" s="22" t="e">
        <f ca="1">_xll.ESHistD($Q19,_xll.ESFldID(X$2,"D"),"D",$S19)</f>
        <v>#NAME?</v>
      </c>
      <c r="Y19" s="55" t="str">
        <f t="shared" si="0"/>
        <v/>
      </c>
      <c r="Z19" s="53" t="e">
        <f ca="1">_xll.ESHistD($Q19,_xll.ESFldID(Z$2,"D"),"D",$AC$1)</f>
        <v>#NAME?</v>
      </c>
      <c r="AA19" s="53" t="e">
        <f ca="1">_xll.ESHistD($Q19,_xll.ESFldID(AA$2,"D"),"D",$AC$1)</f>
        <v>#NAME?</v>
      </c>
      <c r="AB19" s="53" t="e">
        <f ca="1">_xll.ESHistD($Q19,_xll.ESFldID(AB$2,"D"),"D",$AC$1)</f>
        <v>#NAME?</v>
      </c>
      <c r="AC19" s="53" t="e">
        <f ca="1">_xll.ESHistD($Q19,_xll.ESFldID(AC$2,"D"),"D",$AC$1)</f>
        <v>#NAME?</v>
      </c>
      <c r="AD19" s="22" t="e">
        <f ca="1">_xll.ESHistD($Q19,_xll.ESFldID(AD$2,"D"),"D",$AC$1)</f>
        <v>#NAME?</v>
      </c>
      <c r="AG19" s="22" t="s">
        <v>170</v>
      </c>
      <c r="AH19" s="16">
        <f>RTD("esrtd",,"*H","VOD-LON","BarTime","D",$AG19,)</f>
        <v>42919.541666666664</v>
      </c>
      <c r="AI19" s="22">
        <f>RTD("esrtd",,"*H","VOD-LON","High","D",$AG19,)</f>
        <v>219.2</v>
      </c>
      <c r="AJ19" s="22">
        <f>RTD("esrtd",,"*H","VOD-LON","Last","D",$AG19,)</f>
        <v>218.7</v>
      </c>
      <c r="AK19" s="22">
        <f>RTD("esrtd",,"*H","VOD-LON","Low","D",$AG19,)</f>
        <v>216.85001</v>
      </c>
      <c r="AL19" s="22">
        <f>RTD("esrtd",,"*H","VOD-LON","Open","D",$AG19,)</f>
        <v>217.64999</v>
      </c>
      <c r="AM19" s="22">
        <f>RTD("esrtd",,"*H","VOD-LON","Volume","D",$AG19,)</f>
        <v>29556930</v>
      </c>
    </row>
    <row r="20" spans="1:39" x14ac:dyDescent="0.25">
      <c r="A20" s="52" t="str">
        <f>IF(OR(ISBLANK(B20), B20=""),"", MAX(A$2:A19)+1)</f>
        <v/>
      </c>
      <c r="B20" s="17" t="str">
        <f>IF(ISBLANK(Reporting!$B20), "", Reporting!$B20)</f>
        <v/>
      </c>
      <c r="C20" s="53" t="e">
        <f ca="1">_xll.ESQuote($B20,_xll.ESFldID(C$2))</f>
        <v>#NAME?</v>
      </c>
      <c r="D20" s="17" t="e">
        <f ca="1">_xll.ESQuote($B20,_xll.ESFldID(D$2))</f>
        <v>#NAME?</v>
      </c>
      <c r="E20" s="54" t="e">
        <f ca="1">_xll.ESQuote($B20,_xll.ESFldID(E$2))</f>
        <v>#NAME?</v>
      </c>
      <c r="F20" s="52" t="str">
        <f>IF(OR(ISBLANK(G20), G20=""),"", MAX(F$2:F19)+1)</f>
        <v/>
      </c>
      <c r="G20" s="17" t="str">
        <f>IF(ISBLANK(Existing!$B20), "", Existing!$B20)</f>
        <v/>
      </c>
      <c r="H20" s="53" t="e">
        <f ca="1">_xll.ESQuote($G20,_xll.ESFldID(H$2))</f>
        <v>#NAME?</v>
      </c>
      <c r="I20" s="17" t="e">
        <f ca="1">_xll.ESQuote($G20,_xll.ESFldID(I$2))</f>
        <v>#NAME?</v>
      </c>
      <c r="J20" s="54" t="e">
        <f ca="1">_xll.ESQuote($G20,_xll.ESFldID(J$2))</f>
        <v>#NAME?</v>
      </c>
      <c r="K20" s="52" t="str">
        <f>IF(OR(ISBLANK(L20), L20=""),"", MAX(K$2:K19)+1)</f>
        <v/>
      </c>
      <c r="L20" s="17" t="str">
        <f>IF(ISBLANK(Monitoring!$B20), "",Monitoring!$B20)</f>
        <v/>
      </c>
      <c r="M20" s="53" t="e">
        <f ca="1">_xll.ESQuote($L20,_xll.ESFldID(M$2))</f>
        <v>#NAME?</v>
      </c>
      <c r="N20" s="17" t="e">
        <f ca="1">_xll.ESQuote($L20,_xll.ESFldID(N$2))</f>
        <v>#NAME?</v>
      </c>
      <c r="O20" s="54" t="e">
        <f ca="1">_xll.ESQuote($L20,_xll.ESFldID(O$2))</f>
        <v>#NAME?</v>
      </c>
      <c r="P20" s="52" t="str">
        <f>IF(OR(ISBLANK(Q20), Q20=""),"", MAX(P$2:P19)+1)</f>
        <v/>
      </c>
      <c r="S20" s="16"/>
      <c r="T20" s="53" t="e">
        <f ca="1">_xll.ESHistD($Q20,_xll.ESFldID(T$2,"D"),"D",$S20)</f>
        <v>#NAME?</v>
      </c>
      <c r="U20" s="53" t="e">
        <f ca="1">_xll.ESHistD($Q20,_xll.ESFldID(U$2,"D"),"D",$S20)</f>
        <v>#NAME?</v>
      </c>
      <c r="V20" s="53" t="e">
        <f ca="1">_xll.ESHistD($Q20,_xll.ESFldID(V$2,"D"),"D",$S20)</f>
        <v>#NAME?</v>
      </c>
      <c r="W20" s="53" t="e">
        <f ca="1">_xll.ESHistD($Q20,_xll.ESFldID(W$2,"D"),"D",$S20)</f>
        <v>#NAME?</v>
      </c>
      <c r="X20" s="22" t="e">
        <f ca="1">_xll.ESHistD($Q20,_xll.ESFldID(X$2,"D"),"D",$S20)</f>
        <v>#NAME?</v>
      </c>
      <c r="Y20" s="55" t="str">
        <f t="shared" si="0"/>
        <v/>
      </c>
      <c r="Z20" s="53" t="e">
        <f ca="1">_xll.ESHistD($Q20,_xll.ESFldID(Z$2,"D"),"D",$AC$1)</f>
        <v>#NAME?</v>
      </c>
      <c r="AA20" s="53" t="e">
        <f ca="1">_xll.ESHistD($Q20,_xll.ESFldID(AA$2,"D"),"D",$AC$1)</f>
        <v>#NAME?</v>
      </c>
      <c r="AB20" s="53" t="e">
        <f ca="1">_xll.ESHistD($Q20,_xll.ESFldID(AB$2,"D"),"D",$AC$1)</f>
        <v>#NAME?</v>
      </c>
      <c r="AC20" s="53" t="e">
        <f ca="1">_xll.ESHistD($Q20,_xll.ESFldID(AC$2,"D"),"D",$AC$1)</f>
        <v>#NAME?</v>
      </c>
      <c r="AD20" s="22" t="e">
        <f ca="1">_xll.ESHistD($Q20,_xll.ESFldID(AD$2,"D"),"D",$AC$1)</f>
        <v>#NAME?</v>
      </c>
      <c r="AG20" s="22" t="s">
        <v>171</v>
      </c>
      <c r="AH20" s="16">
        <f>RTD("esrtd",,"*H","VOD-LON","BarTime","D",$AG20,)</f>
        <v>42920.541666666664</v>
      </c>
      <c r="AI20" s="22">
        <f>RTD("esrtd",,"*H","VOD-LON","High","D",$AG20,)</f>
        <v>218.45</v>
      </c>
      <c r="AJ20" s="22">
        <f>RTD("esrtd",,"*H","VOD-LON","Last","D",$AG20,)</f>
        <v>217.3</v>
      </c>
      <c r="AK20" s="22">
        <f>RTD("esrtd",,"*H","VOD-LON","Low","D",$AG20,)</f>
        <v>216.7</v>
      </c>
      <c r="AL20" s="22">
        <f>RTD("esrtd",,"*H","VOD-LON","Open","D",$AG20,)</f>
        <v>218.45</v>
      </c>
      <c r="AM20" s="22">
        <f>RTD("esrtd",,"*H","VOD-LON","Volume","D",$AG20,)</f>
        <v>25564700</v>
      </c>
    </row>
    <row r="21" spans="1:39" x14ac:dyDescent="0.25">
      <c r="A21" s="52" t="str">
        <f>IF(OR(ISBLANK(B21), B21=""),"", MAX(A$2:A20)+1)</f>
        <v/>
      </c>
      <c r="B21" s="17" t="str">
        <f>IF(ISBLANK(Reporting!$B21), "", Reporting!$B21)</f>
        <v/>
      </c>
      <c r="C21" s="53" t="e">
        <f ca="1">_xll.ESQuote($B21,_xll.ESFldID(C$2))</f>
        <v>#NAME?</v>
      </c>
      <c r="D21" s="17" t="e">
        <f ca="1">_xll.ESQuote($B21,_xll.ESFldID(D$2))</f>
        <v>#NAME?</v>
      </c>
      <c r="E21" s="54" t="e">
        <f ca="1">_xll.ESQuote($B21,_xll.ESFldID(E$2))</f>
        <v>#NAME?</v>
      </c>
      <c r="F21" s="52" t="str">
        <f>IF(OR(ISBLANK(G21), G21=""),"", MAX(F$2:F20)+1)</f>
        <v/>
      </c>
      <c r="G21" s="17" t="str">
        <f>IF(ISBLANK(Existing!$B21), "", Existing!$B21)</f>
        <v/>
      </c>
      <c r="H21" s="53" t="e">
        <f ca="1">_xll.ESQuote($G21,_xll.ESFldID(H$2))</f>
        <v>#NAME?</v>
      </c>
      <c r="I21" s="17" t="e">
        <f ca="1">_xll.ESQuote($G21,_xll.ESFldID(I$2))</f>
        <v>#NAME?</v>
      </c>
      <c r="J21" s="54" t="e">
        <f ca="1">_xll.ESQuote($G21,_xll.ESFldID(J$2))</f>
        <v>#NAME?</v>
      </c>
      <c r="K21" s="52" t="str">
        <f>IF(OR(ISBLANK(L21), L21=""),"", MAX(K$2:K20)+1)</f>
        <v/>
      </c>
      <c r="L21" s="17" t="str">
        <f>IF(ISBLANK(Monitoring!$B21), "",Monitoring!$B21)</f>
        <v/>
      </c>
      <c r="M21" s="53" t="e">
        <f ca="1">_xll.ESQuote($L21,_xll.ESFldID(M$2))</f>
        <v>#NAME?</v>
      </c>
      <c r="N21" s="17" t="e">
        <f ca="1">_xll.ESQuote($L21,_xll.ESFldID(N$2))</f>
        <v>#NAME?</v>
      </c>
      <c r="O21" s="54" t="e">
        <f ca="1">_xll.ESQuote($L21,_xll.ESFldID(O$2))</f>
        <v>#NAME?</v>
      </c>
      <c r="P21" s="52" t="str">
        <f>IF(OR(ISBLANK(Q21), Q21=""),"", MAX(P$2:P20)+1)</f>
        <v/>
      </c>
      <c r="S21" s="16"/>
      <c r="T21" s="53" t="e">
        <f ca="1">_xll.ESHistD($Q21,_xll.ESFldID(T$2,"D"),"D",$S21)</f>
        <v>#NAME?</v>
      </c>
      <c r="U21" s="53" t="e">
        <f ca="1">_xll.ESHistD($Q21,_xll.ESFldID(U$2,"D"),"D",$S21)</f>
        <v>#NAME?</v>
      </c>
      <c r="V21" s="53" t="e">
        <f ca="1">_xll.ESHistD($Q21,_xll.ESFldID(V$2,"D"),"D",$S21)</f>
        <v>#NAME?</v>
      </c>
      <c r="W21" s="53" t="e">
        <f ca="1">_xll.ESHistD($Q21,_xll.ESFldID(W$2,"D"),"D",$S21)</f>
        <v>#NAME?</v>
      </c>
      <c r="X21" s="22" t="e">
        <f ca="1">_xll.ESHistD($Q21,_xll.ESFldID(X$2,"D"),"D",$S21)</f>
        <v>#NAME?</v>
      </c>
      <c r="Y21" s="55" t="str">
        <f t="shared" si="0"/>
        <v/>
      </c>
      <c r="Z21" s="53" t="e">
        <f ca="1">_xll.ESHistD($Q21,_xll.ESFldID(Z$2,"D"),"D",$AC$1)</f>
        <v>#NAME?</v>
      </c>
      <c r="AA21" s="53" t="e">
        <f ca="1">_xll.ESHistD($Q21,_xll.ESFldID(AA$2,"D"),"D",$AC$1)</f>
        <v>#NAME?</v>
      </c>
      <c r="AB21" s="53" t="e">
        <f ca="1">_xll.ESHistD($Q21,_xll.ESFldID(AB$2,"D"),"D",$AC$1)</f>
        <v>#NAME?</v>
      </c>
      <c r="AC21" s="53" t="e">
        <f ca="1">_xll.ESHistD($Q21,_xll.ESFldID(AC$2,"D"),"D",$AC$1)</f>
        <v>#NAME?</v>
      </c>
      <c r="AD21" s="22" t="e">
        <f ca="1">_xll.ESHistD($Q21,_xll.ESFldID(AD$2,"D"),"D",$AC$1)</f>
        <v>#NAME?</v>
      </c>
      <c r="AG21" s="22" t="s">
        <v>172</v>
      </c>
      <c r="AH21" s="16">
        <f>RTD("esrtd",,"*H","VOD-LON","BarTime","D",$AG21,)</f>
        <v>42921.541666666664</v>
      </c>
      <c r="AI21" s="22">
        <f>RTD("esrtd",,"*H","VOD-LON","High","D",$AG21,)</f>
        <v>218.7</v>
      </c>
      <c r="AJ21" s="22">
        <f>RTD("esrtd",,"*H","VOD-LON","Last","D",$AG21,)</f>
        <v>217.89999</v>
      </c>
      <c r="AK21" s="22">
        <f>RTD("esrtd",,"*H","VOD-LON","Low","D",$AG21,)</f>
        <v>215.89999</v>
      </c>
      <c r="AL21" s="22">
        <f>RTD("esrtd",,"*H","VOD-LON","Open","D",$AG21,)</f>
        <v>218</v>
      </c>
      <c r="AM21" s="22">
        <f>RTD("esrtd",,"*H","VOD-LON","Volume","D",$AG21,)</f>
        <v>37661680</v>
      </c>
    </row>
    <row r="22" spans="1:39" x14ac:dyDescent="0.25">
      <c r="A22" s="52" t="str">
        <f>IF(OR(ISBLANK(B22), B22=""),"", MAX(A$2:A21)+1)</f>
        <v/>
      </c>
      <c r="B22" s="17" t="str">
        <f>IF(ISBLANK(Reporting!$B22), "", Reporting!$B22)</f>
        <v/>
      </c>
      <c r="C22" s="53" t="e">
        <f ca="1">_xll.ESQuote($B22,_xll.ESFldID(C$2))</f>
        <v>#NAME?</v>
      </c>
      <c r="D22" s="17" t="e">
        <f ca="1">_xll.ESQuote($B22,_xll.ESFldID(D$2))</f>
        <v>#NAME?</v>
      </c>
      <c r="E22" s="54" t="e">
        <f ca="1">_xll.ESQuote($B22,_xll.ESFldID(E$2))</f>
        <v>#NAME?</v>
      </c>
      <c r="F22" s="52" t="str">
        <f>IF(OR(ISBLANK(G22), G22=""),"", MAX(F$2:F21)+1)</f>
        <v/>
      </c>
      <c r="G22" s="17" t="str">
        <f>IF(ISBLANK(Existing!$B22), "", Existing!$B22)</f>
        <v/>
      </c>
      <c r="H22" s="53" t="e">
        <f ca="1">_xll.ESQuote($G22,_xll.ESFldID(H$2))</f>
        <v>#NAME?</v>
      </c>
      <c r="I22" s="17" t="e">
        <f ca="1">_xll.ESQuote($G22,_xll.ESFldID(I$2))</f>
        <v>#NAME?</v>
      </c>
      <c r="J22" s="54" t="e">
        <f ca="1">_xll.ESQuote($G22,_xll.ESFldID(J$2))</f>
        <v>#NAME?</v>
      </c>
      <c r="K22" s="52" t="str">
        <f>IF(OR(ISBLANK(L22), L22=""),"", MAX(K$2:K21)+1)</f>
        <v/>
      </c>
      <c r="L22" s="17" t="str">
        <f>IF(ISBLANK(Monitoring!$B22), "",Monitoring!$B22)</f>
        <v/>
      </c>
      <c r="M22" s="53" t="e">
        <f ca="1">_xll.ESQuote($L22,_xll.ESFldID(M$2))</f>
        <v>#NAME?</v>
      </c>
      <c r="N22" s="17" t="e">
        <f ca="1">_xll.ESQuote($L22,_xll.ESFldID(N$2))</f>
        <v>#NAME?</v>
      </c>
      <c r="O22" s="54" t="e">
        <f ca="1">_xll.ESQuote($L22,_xll.ESFldID(O$2))</f>
        <v>#NAME?</v>
      </c>
      <c r="P22" s="52" t="str">
        <f>IF(OR(ISBLANK(Q22), Q22=""),"", MAX(P$2:P21)+1)</f>
        <v/>
      </c>
      <c r="S22" s="16"/>
      <c r="T22" s="53" t="e">
        <f ca="1">_xll.ESHistD($Q22,_xll.ESFldID(T$2,"D"),"D",$S22)</f>
        <v>#NAME?</v>
      </c>
      <c r="U22" s="53" t="e">
        <f ca="1">_xll.ESHistD($Q22,_xll.ESFldID(U$2,"D"),"D",$S22)</f>
        <v>#NAME?</v>
      </c>
      <c r="V22" s="53" t="e">
        <f ca="1">_xll.ESHistD($Q22,_xll.ESFldID(V$2,"D"),"D",$S22)</f>
        <v>#NAME?</v>
      </c>
      <c r="W22" s="53" t="e">
        <f ca="1">_xll.ESHistD($Q22,_xll.ESFldID(W$2,"D"),"D",$S22)</f>
        <v>#NAME?</v>
      </c>
      <c r="X22" s="22" t="e">
        <f ca="1">_xll.ESHistD($Q22,_xll.ESFldID(X$2,"D"),"D",$S22)</f>
        <v>#NAME?</v>
      </c>
      <c r="Y22" s="55" t="str">
        <f t="shared" si="0"/>
        <v/>
      </c>
      <c r="Z22" s="53" t="e">
        <f ca="1">_xll.ESHistD($Q22,_xll.ESFldID(Z$2,"D"),"D",$AC$1)</f>
        <v>#NAME?</v>
      </c>
      <c r="AA22" s="53" t="e">
        <f ca="1">_xll.ESHistD($Q22,_xll.ESFldID(AA$2,"D"),"D",$AC$1)</f>
        <v>#NAME?</v>
      </c>
      <c r="AB22" s="53" t="e">
        <f ca="1">_xll.ESHistD($Q22,_xll.ESFldID(AB$2,"D"),"D",$AC$1)</f>
        <v>#NAME?</v>
      </c>
      <c r="AC22" s="53" t="e">
        <f ca="1">_xll.ESHistD($Q22,_xll.ESFldID(AC$2,"D"),"D",$AC$1)</f>
        <v>#NAME?</v>
      </c>
      <c r="AD22" s="22" t="e">
        <f ca="1">_xll.ESHistD($Q22,_xll.ESFldID(AD$2,"D"),"D",$AC$1)</f>
        <v>#NAME?</v>
      </c>
      <c r="AG22" s="22" t="s">
        <v>173</v>
      </c>
      <c r="AH22" s="16">
        <f>RTD("esrtd",,"*H","VOD-LON","BarTime","D",$AG22,)</f>
        <v>42922.541666666664</v>
      </c>
      <c r="AI22" s="22">
        <f>RTD("esrtd",,"*H","VOD-LON","High","D",$AG22,)</f>
        <v>220.2</v>
      </c>
      <c r="AJ22" s="22">
        <f>RTD("esrtd",,"*H","VOD-LON","Last","D",$AG22,)</f>
        <v>217.64999</v>
      </c>
      <c r="AK22" s="22">
        <f>RTD("esrtd",,"*H","VOD-LON","Low","D",$AG22,)</f>
        <v>216.8</v>
      </c>
      <c r="AL22" s="22">
        <f>RTD("esrtd",,"*H","VOD-LON","Open","D",$AG22,)</f>
        <v>218.25</v>
      </c>
      <c r="AM22" s="22">
        <f>RTD("esrtd",,"*H","VOD-LON","Volume","D",$AG22,)</f>
        <v>33567300</v>
      </c>
    </row>
    <row r="23" spans="1:39" x14ac:dyDescent="0.25">
      <c r="A23" s="52" t="str">
        <f>IF(OR(ISBLANK(B23), B23=""),"", MAX(A$2:A22)+1)</f>
        <v/>
      </c>
      <c r="B23" s="17" t="str">
        <f>IF(ISBLANK(Reporting!$B23), "", Reporting!$B23)</f>
        <v/>
      </c>
      <c r="C23" s="53" t="e">
        <f ca="1">_xll.ESQuote($B23,_xll.ESFldID(C$2))</f>
        <v>#NAME?</v>
      </c>
      <c r="D23" s="17" t="e">
        <f ca="1">_xll.ESQuote($B23,_xll.ESFldID(D$2))</f>
        <v>#NAME?</v>
      </c>
      <c r="E23" s="54" t="e">
        <f ca="1">_xll.ESQuote($B23,_xll.ESFldID(E$2))</f>
        <v>#NAME?</v>
      </c>
      <c r="F23" s="52" t="str">
        <f>IF(OR(ISBLANK(G23), G23=""),"", MAX(F$2:F22)+1)</f>
        <v/>
      </c>
      <c r="G23" s="17" t="str">
        <f>IF(ISBLANK(Existing!$B23), "", Existing!$B23)</f>
        <v/>
      </c>
      <c r="H23" s="53" t="e">
        <f ca="1">_xll.ESQuote($G23,_xll.ESFldID(H$2))</f>
        <v>#NAME?</v>
      </c>
      <c r="I23" s="17" t="e">
        <f ca="1">_xll.ESQuote($G23,_xll.ESFldID(I$2))</f>
        <v>#NAME?</v>
      </c>
      <c r="J23" s="54" t="e">
        <f ca="1">_xll.ESQuote($G23,_xll.ESFldID(J$2))</f>
        <v>#NAME?</v>
      </c>
      <c r="K23" s="52" t="str">
        <f>IF(OR(ISBLANK(L23), L23=""),"", MAX(K$2:K22)+1)</f>
        <v/>
      </c>
      <c r="L23" s="17" t="str">
        <f>IF(ISBLANK(Monitoring!$B23), "",Monitoring!$B23)</f>
        <v/>
      </c>
      <c r="M23" s="53" t="e">
        <f ca="1">_xll.ESQuote($L23,_xll.ESFldID(M$2))</f>
        <v>#NAME?</v>
      </c>
      <c r="N23" s="17" t="e">
        <f ca="1">_xll.ESQuote($L23,_xll.ESFldID(N$2))</f>
        <v>#NAME?</v>
      </c>
      <c r="O23" s="54" t="e">
        <f ca="1">_xll.ESQuote($L23,_xll.ESFldID(O$2))</f>
        <v>#NAME?</v>
      </c>
      <c r="P23" s="52" t="str">
        <f>IF(OR(ISBLANK(Q23), Q23=""),"", MAX(P$2:P22)+1)</f>
        <v/>
      </c>
      <c r="S23" s="16"/>
      <c r="T23" s="53" t="e">
        <f ca="1">_xll.ESHistD($Q23,_xll.ESFldID(T$2,"D"),"D",$S23)</f>
        <v>#NAME?</v>
      </c>
      <c r="U23" s="53" t="e">
        <f ca="1">_xll.ESHistD($Q23,_xll.ESFldID(U$2,"D"),"D",$S23)</f>
        <v>#NAME?</v>
      </c>
      <c r="V23" s="53" t="e">
        <f ca="1">_xll.ESHistD($Q23,_xll.ESFldID(V$2,"D"),"D",$S23)</f>
        <v>#NAME?</v>
      </c>
      <c r="W23" s="53" t="e">
        <f ca="1">_xll.ESHistD($Q23,_xll.ESFldID(W$2,"D"),"D",$S23)</f>
        <v>#NAME?</v>
      </c>
      <c r="X23" s="22" t="e">
        <f ca="1">_xll.ESHistD($Q23,_xll.ESFldID(X$2,"D"),"D",$S23)</f>
        <v>#NAME?</v>
      </c>
      <c r="Y23" s="55" t="str">
        <f t="shared" si="0"/>
        <v/>
      </c>
      <c r="Z23" s="53" t="e">
        <f ca="1">_xll.ESHistD($Q23,_xll.ESFldID(Z$2,"D"),"D",$AC$1)</f>
        <v>#NAME?</v>
      </c>
      <c r="AA23" s="53" t="e">
        <f ca="1">_xll.ESHistD($Q23,_xll.ESFldID(AA$2,"D"),"D",$AC$1)</f>
        <v>#NAME?</v>
      </c>
      <c r="AB23" s="53" t="e">
        <f ca="1">_xll.ESHistD($Q23,_xll.ESFldID(AB$2,"D"),"D",$AC$1)</f>
        <v>#NAME?</v>
      </c>
      <c r="AC23" s="53" t="e">
        <f ca="1">_xll.ESHistD($Q23,_xll.ESFldID(AC$2,"D"),"D",$AC$1)</f>
        <v>#NAME?</v>
      </c>
      <c r="AD23" s="22" t="e">
        <f ca="1">_xll.ESHistD($Q23,_xll.ESFldID(AD$2,"D"),"D",$AC$1)</f>
        <v>#NAME?</v>
      </c>
      <c r="AG23" s="16">
        <v>42773</v>
      </c>
      <c r="AH23" s="16">
        <f>RTD("esrtd",,"*H","VOD-LON","BarTime","D",$AG23,)</f>
        <v>42773.5</v>
      </c>
      <c r="AI23" s="22">
        <f>RTD("esrtd",,"*H","VOD-LON","High","D",$AG23,"20")</f>
        <v>194.56379999999999</v>
      </c>
      <c r="AJ23" s="22">
        <f>RTD("esrtd",,"*H","VOD-LON","Last","D",$AG23,)</f>
        <v>192.45</v>
      </c>
      <c r="AK23" s="22">
        <f>RTD("esrtd",,"*H","VOD-LON","Low","D",$AG23,)</f>
        <v>192.25</v>
      </c>
      <c r="AL23" s="22">
        <f>RTD("esrtd",,"*H","VOD-LON","Open","D",$AG23,)</f>
        <v>193.55</v>
      </c>
      <c r="AM23" s="22">
        <f>RTD("esrtd",,"*H","VOD-LON","Volume","D",$AG23,)</f>
        <v>55309430</v>
      </c>
    </row>
    <row r="24" spans="1:39" x14ac:dyDescent="0.25">
      <c r="A24" s="52" t="str">
        <f>IF(OR(ISBLANK(B24), B24=""),"", MAX(A$2:A23)+1)</f>
        <v/>
      </c>
      <c r="B24" s="17" t="str">
        <f>IF(ISBLANK(Reporting!$B24), "", Reporting!$B24)</f>
        <v/>
      </c>
      <c r="C24" s="53" t="e">
        <f ca="1">_xll.ESQuote($B24,_xll.ESFldID(C$2))</f>
        <v>#NAME?</v>
      </c>
      <c r="D24" s="17" t="e">
        <f ca="1">_xll.ESQuote($B24,_xll.ESFldID(D$2))</f>
        <v>#NAME?</v>
      </c>
      <c r="E24" s="54" t="e">
        <f ca="1">_xll.ESQuote($B24,_xll.ESFldID(E$2))</f>
        <v>#NAME?</v>
      </c>
      <c r="F24" s="52" t="str">
        <f>IF(OR(ISBLANK(G24), G24=""),"", MAX(F$2:F23)+1)</f>
        <v/>
      </c>
      <c r="G24" s="17" t="str">
        <f>IF(ISBLANK(Existing!$B24), "", Existing!$B24)</f>
        <v/>
      </c>
      <c r="H24" s="53" t="e">
        <f ca="1">_xll.ESQuote($G24,_xll.ESFldID(H$2))</f>
        <v>#NAME?</v>
      </c>
      <c r="I24" s="17" t="e">
        <f ca="1">_xll.ESQuote($G24,_xll.ESFldID(I$2))</f>
        <v>#NAME?</v>
      </c>
      <c r="J24" s="54" t="e">
        <f ca="1">_xll.ESQuote($G24,_xll.ESFldID(J$2))</f>
        <v>#NAME?</v>
      </c>
      <c r="K24" s="52" t="str">
        <f>IF(OR(ISBLANK(L24), L24=""),"", MAX(K$2:K23)+1)</f>
        <v/>
      </c>
      <c r="L24" s="17" t="str">
        <f>IF(ISBLANK(Monitoring!$B24), "",Monitoring!$B24)</f>
        <v/>
      </c>
      <c r="M24" s="53" t="e">
        <f ca="1">_xll.ESQuote($L24,_xll.ESFldID(M$2))</f>
        <v>#NAME?</v>
      </c>
      <c r="N24" s="17" t="e">
        <f ca="1">_xll.ESQuote($L24,_xll.ESFldID(N$2))</f>
        <v>#NAME?</v>
      </c>
      <c r="O24" s="54" t="e">
        <f ca="1">_xll.ESQuote($L24,_xll.ESFldID(O$2))</f>
        <v>#NAME?</v>
      </c>
      <c r="P24" s="52" t="str">
        <f>IF(OR(ISBLANK(Q24), Q24=""),"", MAX(P$2:P23)+1)</f>
        <v/>
      </c>
      <c r="S24" s="16"/>
      <c r="T24" s="53" t="e">
        <f ca="1">_xll.ESHistD($Q24,_xll.ESFldID(T$2,"D"),"D",$S24)</f>
        <v>#NAME?</v>
      </c>
      <c r="U24" s="53" t="e">
        <f ca="1">_xll.ESHistD($Q24,_xll.ESFldID(U$2,"D"),"D",$S24)</f>
        <v>#NAME?</v>
      </c>
      <c r="V24" s="53" t="e">
        <f ca="1">_xll.ESHistD($Q24,_xll.ESFldID(V$2,"D"),"D",$S24)</f>
        <v>#NAME?</v>
      </c>
      <c r="W24" s="53" t="e">
        <f ca="1">_xll.ESHistD($Q24,_xll.ESFldID(W$2,"D"),"D",$S24)</f>
        <v>#NAME?</v>
      </c>
      <c r="X24" s="22" t="e">
        <f ca="1">_xll.ESHistD($Q24,_xll.ESFldID(X$2,"D"),"D",$S24)</f>
        <v>#NAME?</v>
      </c>
      <c r="Y24" s="55" t="str">
        <f t="shared" si="0"/>
        <v/>
      </c>
      <c r="Z24" s="53" t="e">
        <f ca="1">_xll.ESHistD($Q24,_xll.ESFldID(Z$2,"D"),"D",$AC$1)</f>
        <v>#NAME?</v>
      </c>
      <c r="AA24" s="53" t="e">
        <f ca="1">_xll.ESHistD($Q24,_xll.ESFldID(AA$2,"D"),"D",$AC$1)</f>
        <v>#NAME?</v>
      </c>
      <c r="AB24" s="53" t="e">
        <f ca="1">_xll.ESHistD($Q24,_xll.ESFldID(AB$2,"D"),"D",$AC$1)</f>
        <v>#NAME?</v>
      </c>
      <c r="AC24" s="53" t="e">
        <f ca="1">_xll.ESHistD($Q24,_xll.ESFldID(AC$2,"D"),"D",$AC$1)</f>
        <v>#NAME?</v>
      </c>
      <c r="AD24" s="22" t="e">
        <f ca="1">_xll.ESHistD($Q24,_xll.ESFldID(AD$2,"D"),"D",$AC$1)</f>
        <v>#NAME?</v>
      </c>
    </row>
    <row r="25" spans="1:39" x14ac:dyDescent="0.25">
      <c r="A25" s="52" t="str">
        <f>IF(OR(ISBLANK(B25), B25=""),"", MAX(A$2:A24)+1)</f>
        <v/>
      </c>
      <c r="B25" s="17" t="str">
        <f>IF(ISBLANK(Reporting!$B25), "", Reporting!$B25)</f>
        <v/>
      </c>
      <c r="C25" s="53" t="e">
        <f ca="1">_xll.ESQuote($B25,_xll.ESFldID(C$2))</f>
        <v>#NAME?</v>
      </c>
      <c r="D25" s="17" t="e">
        <f ca="1">_xll.ESQuote($B25,_xll.ESFldID(D$2))</f>
        <v>#NAME?</v>
      </c>
      <c r="E25" s="54" t="e">
        <f ca="1">_xll.ESQuote($B25,_xll.ESFldID(E$2))</f>
        <v>#NAME?</v>
      </c>
      <c r="F25" s="52" t="str">
        <f>IF(OR(ISBLANK(G25), G25=""),"", MAX(F$2:F24)+1)</f>
        <v/>
      </c>
      <c r="G25" s="17" t="str">
        <f>IF(ISBLANK(Existing!$B25), "", Existing!$B25)</f>
        <v/>
      </c>
      <c r="H25" s="53" t="e">
        <f ca="1">_xll.ESQuote($G25,_xll.ESFldID(H$2))</f>
        <v>#NAME?</v>
      </c>
      <c r="I25" s="17" t="e">
        <f ca="1">_xll.ESQuote($G25,_xll.ESFldID(I$2))</f>
        <v>#NAME?</v>
      </c>
      <c r="J25" s="54" t="e">
        <f ca="1">_xll.ESQuote($G25,_xll.ESFldID(J$2))</f>
        <v>#NAME?</v>
      </c>
      <c r="K25" s="52" t="str">
        <f>IF(OR(ISBLANK(L25), L25=""),"", MAX(K$2:K24)+1)</f>
        <v/>
      </c>
      <c r="L25" s="17" t="str">
        <f>IF(ISBLANK(Monitoring!$B25), "",Monitoring!$B25)</f>
        <v/>
      </c>
      <c r="M25" s="53" t="e">
        <f ca="1">_xll.ESQuote($L25,_xll.ESFldID(M$2))</f>
        <v>#NAME?</v>
      </c>
      <c r="N25" s="17" t="e">
        <f ca="1">_xll.ESQuote($L25,_xll.ESFldID(N$2))</f>
        <v>#NAME?</v>
      </c>
      <c r="O25" s="54" t="e">
        <f ca="1">_xll.ESQuote($L25,_xll.ESFldID(O$2))</f>
        <v>#NAME?</v>
      </c>
      <c r="P25" s="52" t="str">
        <f>IF(OR(ISBLANK(Q25), Q25=""),"", MAX(P$2:P24)+1)</f>
        <v/>
      </c>
      <c r="S25" s="16"/>
      <c r="T25" s="53" t="e">
        <f ca="1">_xll.ESHistD($Q25,_xll.ESFldID(T$2,"D"),"D",$S25)</f>
        <v>#NAME?</v>
      </c>
      <c r="U25" s="53" t="e">
        <f ca="1">_xll.ESHistD($Q25,_xll.ESFldID(U$2,"D"),"D",$S25)</f>
        <v>#NAME?</v>
      </c>
      <c r="V25" s="53" t="e">
        <f ca="1">_xll.ESHistD($Q25,_xll.ESFldID(V$2,"D"),"D",$S25)</f>
        <v>#NAME?</v>
      </c>
      <c r="W25" s="53" t="e">
        <f ca="1">_xll.ESHistD($Q25,_xll.ESFldID(W$2,"D"),"D",$S25)</f>
        <v>#NAME?</v>
      </c>
      <c r="X25" s="22" t="e">
        <f ca="1">_xll.ESHistD($Q25,_xll.ESFldID(X$2,"D"),"D",$S25)</f>
        <v>#NAME?</v>
      </c>
      <c r="Y25" s="55" t="str">
        <f t="shared" si="0"/>
        <v/>
      </c>
      <c r="Z25" s="53" t="e">
        <f ca="1">_xll.ESHistD($Q25,_xll.ESFldID(Z$2,"D"),"D",$AC$1)</f>
        <v>#NAME?</v>
      </c>
      <c r="AA25" s="53" t="e">
        <f ca="1">_xll.ESHistD($Q25,_xll.ESFldID(AA$2,"D"),"D",$AC$1)</f>
        <v>#NAME?</v>
      </c>
      <c r="AB25" s="53" t="e">
        <f ca="1">_xll.ESHistD($Q25,_xll.ESFldID(AB$2,"D"),"D",$AC$1)</f>
        <v>#NAME?</v>
      </c>
      <c r="AC25" s="53" t="e">
        <f ca="1">_xll.ESHistD($Q25,_xll.ESFldID(AC$2,"D"),"D",$AC$1)</f>
        <v>#NAME?</v>
      </c>
      <c r="AD25" s="22" t="e">
        <f ca="1">_xll.ESHistD($Q25,_xll.ESFldID(AD$2,"D"),"D",$AC$1)</f>
        <v>#NAME?</v>
      </c>
    </row>
    <row r="26" spans="1:39" x14ac:dyDescent="0.25">
      <c r="A26" s="52" t="str">
        <f>IF(OR(ISBLANK(B26), B26=""),"", MAX(A$2:A25)+1)</f>
        <v/>
      </c>
      <c r="B26" s="17" t="str">
        <f>IF(ISBLANK(Reporting!$B26), "", Reporting!$B26)</f>
        <v/>
      </c>
      <c r="C26" s="53" t="e">
        <f ca="1">_xll.ESQuote($B26,_xll.ESFldID(C$2))</f>
        <v>#NAME?</v>
      </c>
      <c r="D26" s="17" t="e">
        <f ca="1">_xll.ESQuote($B26,_xll.ESFldID(D$2))</f>
        <v>#NAME?</v>
      </c>
      <c r="E26" s="54" t="e">
        <f ca="1">_xll.ESQuote($B26,_xll.ESFldID(E$2))</f>
        <v>#NAME?</v>
      </c>
      <c r="F26" s="52" t="str">
        <f>IF(OR(ISBLANK(G26), G26=""),"", MAX(F$2:F25)+1)</f>
        <v/>
      </c>
      <c r="G26" s="17" t="str">
        <f>IF(ISBLANK(Existing!$B26), "", Existing!$B26)</f>
        <v/>
      </c>
      <c r="H26" s="53" t="e">
        <f ca="1">_xll.ESQuote($G26,_xll.ESFldID(H$2))</f>
        <v>#NAME?</v>
      </c>
      <c r="I26" s="17" t="e">
        <f ca="1">_xll.ESQuote($G26,_xll.ESFldID(I$2))</f>
        <v>#NAME?</v>
      </c>
      <c r="J26" s="54" t="e">
        <f ca="1">_xll.ESQuote($G26,_xll.ESFldID(J$2))</f>
        <v>#NAME?</v>
      </c>
      <c r="K26" s="52" t="str">
        <f>IF(OR(ISBLANK(L26), L26=""),"", MAX(K$2:K25)+1)</f>
        <v/>
      </c>
      <c r="L26" s="17" t="str">
        <f>IF(ISBLANK(Monitoring!$B26), "",Monitoring!$B26)</f>
        <v/>
      </c>
      <c r="M26" s="53" t="e">
        <f ca="1">_xll.ESQuote($L26,_xll.ESFldID(M$2))</f>
        <v>#NAME?</v>
      </c>
      <c r="N26" s="17" t="e">
        <f ca="1">_xll.ESQuote($L26,_xll.ESFldID(N$2))</f>
        <v>#NAME?</v>
      </c>
      <c r="O26" s="54" t="e">
        <f ca="1">_xll.ESQuote($L26,_xll.ESFldID(O$2))</f>
        <v>#NAME?</v>
      </c>
      <c r="P26" s="52" t="str">
        <f>IF(OR(ISBLANK(Q26), Q26=""),"", MAX(P$2:P25)+1)</f>
        <v/>
      </c>
      <c r="S26" s="16"/>
      <c r="T26" s="53" t="e">
        <f ca="1">_xll.ESHistD($Q26,_xll.ESFldID(T$2,"D"),"D",$S26)</f>
        <v>#NAME?</v>
      </c>
      <c r="U26" s="53" t="e">
        <f ca="1">_xll.ESHistD($Q26,_xll.ESFldID(U$2,"D"),"D",$S26)</f>
        <v>#NAME?</v>
      </c>
      <c r="V26" s="53" t="e">
        <f ca="1">_xll.ESHistD($Q26,_xll.ESFldID(V$2,"D"),"D",$S26)</f>
        <v>#NAME?</v>
      </c>
      <c r="W26" s="53" t="e">
        <f ca="1">_xll.ESHistD($Q26,_xll.ESFldID(W$2,"D"),"D",$S26)</f>
        <v>#NAME?</v>
      </c>
      <c r="X26" s="22" t="e">
        <f ca="1">_xll.ESHistD($Q26,_xll.ESFldID(X$2,"D"),"D",$S26)</f>
        <v>#NAME?</v>
      </c>
      <c r="Y26" s="55" t="str">
        <f t="shared" si="0"/>
        <v/>
      </c>
      <c r="Z26" s="53" t="e">
        <f ca="1">_xll.ESHistD($Q26,_xll.ESFldID(Z$2,"D"),"D",$AC$1)</f>
        <v>#NAME?</v>
      </c>
      <c r="AA26" s="53" t="e">
        <f ca="1">_xll.ESHistD($Q26,_xll.ESFldID(AA$2,"D"),"D",$AC$1)</f>
        <v>#NAME?</v>
      </c>
      <c r="AB26" s="53" t="e">
        <f ca="1">_xll.ESHistD($Q26,_xll.ESFldID(AB$2,"D"),"D",$AC$1)</f>
        <v>#NAME?</v>
      </c>
      <c r="AC26" s="53" t="e">
        <f ca="1">_xll.ESHistD($Q26,_xll.ESFldID(AC$2,"D"),"D",$AC$1)</f>
        <v>#NAME?</v>
      </c>
      <c r="AD26" s="22" t="e">
        <f ca="1">_xll.ESHistD($Q26,_xll.ESFldID(AD$2,"D"),"D",$AC$1)</f>
        <v>#NAME?</v>
      </c>
    </row>
    <row r="27" spans="1:39" x14ac:dyDescent="0.25">
      <c r="A27" s="52" t="str">
        <f>IF(OR(ISBLANK(B27), B27=""),"", MAX(A$2:A26)+1)</f>
        <v/>
      </c>
      <c r="B27" s="17" t="str">
        <f>IF(ISBLANK(Reporting!$B27), "", Reporting!$B27)</f>
        <v/>
      </c>
      <c r="C27" s="53" t="e">
        <f ca="1">_xll.ESQuote($B27,_xll.ESFldID(C$2))</f>
        <v>#NAME?</v>
      </c>
      <c r="D27" s="17" t="e">
        <f ca="1">_xll.ESQuote($B27,_xll.ESFldID(D$2))</f>
        <v>#NAME?</v>
      </c>
      <c r="E27" s="54" t="e">
        <f ca="1">_xll.ESQuote($B27,_xll.ESFldID(E$2))</f>
        <v>#NAME?</v>
      </c>
      <c r="F27" s="52" t="str">
        <f>IF(OR(ISBLANK(G27), G27=""),"", MAX(F$2:F26)+1)</f>
        <v/>
      </c>
      <c r="G27" s="17" t="str">
        <f>IF(ISBLANK(Existing!$B27), "", Existing!$B27)</f>
        <v/>
      </c>
      <c r="H27" s="53" t="e">
        <f ca="1">_xll.ESQuote($G27,_xll.ESFldID(H$2))</f>
        <v>#NAME?</v>
      </c>
      <c r="I27" s="17" t="e">
        <f ca="1">_xll.ESQuote($G27,_xll.ESFldID(I$2))</f>
        <v>#NAME?</v>
      </c>
      <c r="J27" s="54" t="e">
        <f ca="1">_xll.ESQuote($G27,_xll.ESFldID(J$2))</f>
        <v>#NAME?</v>
      </c>
      <c r="K27" s="52" t="str">
        <f>IF(OR(ISBLANK(L27), L27=""),"", MAX(K$2:K26)+1)</f>
        <v/>
      </c>
      <c r="L27" s="17" t="str">
        <f>IF(ISBLANK(Monitoring!$B27), "",Monitoring!$B27)</f>
        <v/>
      </c>
      <c r="M27" s="53" t="e">
        <f ca="1">_xll.ESQuote($L27,_xll.ESFldID(M$2))</f>
        <v>#NAME?</v>
      </c>
      <c r="N27" s="17" t="e">
        <f ca="1">_xll.ESQuote($L27,_xll.ESFldID(N$2))</f>
        <v>#NAME?</v>
      </c>
      <c r="O27" s="54" t="e">
        <f ca="1">_xll.ESQuote($L27,_xll.ESFldID(O$2))</f>
        <v>#NAME?</v>
      </c>
      <c r="P27" s="52" t="str">
        <f>IF(OR(ISBLANK(Q27), Q27=""),"", MAX(P$2:P26)+1)</f>
        <v/>
      </c>
      <c r="S27" s="16"/>
      <c r="T27" s="53" t="e">
        <f ca="1">_xll.ESHistD($Q27,_xll.ESFldID(T$2,"D"),"D",$S27)</f>
        <v>#NAME?</v>
      </c>
      <c r="U27" s="53" t="e">
        <f ca="1">_xll.ESHistD($Q27,_xll.ESFldID(U$2,"D"),"D",$S27)</f>
        <v>#NAME?</v>
      </c>
      <c r="V27" s="53" t="e">
        <f ca="1">_xll.ESHistD($Q27,_xll.ESFldID(V$2,"D"),"D",$S27)</f>
        <v>#NAME?</v>
      </c>
      <c r="W27" s="53" t="e">
        <f ca="1">_xll.ESHistD($Q27,_xll.ESFldID(W$2,"D"),"D",$S27)</f>
        <v>#NAME?</v>
      </c>
      <c r="X27" s="22" t="e">
        <f ca="1">_xll.ESHistD($Q27,_xll.ESFldID(X$2,"D"),"D",$S27)</f>
        <v>#NAME?</v>
      </c>
      <c r="Y27" s="55" t="str">
        <f t="shared" si="0"/>
        <v/>
      </c>
      <c r="Z27" s="53" t="e">
        <f ca="1">_xll.ESHistD($Q27,_xll.ESFldID(Z$2,"D"),"D",$AC$1)</f>
        <v>#NAME?</v>
      </c>
      <c r="AA27" s="53" t="e">
        <f ca="1">_xll.ESHistD($Q27,_xll.ESFldID(AA$2,"D"),"D",$AC$1)</f>
        <v>#NAME?</v>
      </c>
      <c r="AB27" s="53" t="e">
        <f ca="1">_xll.ESHistD($Q27,_xll.ESFldID(AB$2,"D"),"D",$AC$1)</f>
        <v>#NAME?</v>
      </c>
      <c r="AC27" s="53" t="e">
        <f ca="1">_xll.ESHistD($Q27,_xll.ESFldID(AC$2,"D"),"D",$AC$1)</f>
        <v>#NAME?</v>
      </c>
      <c r="AD27" s="22" t="e">
        <f ca="1">_xll.ESHistD($Q27,_xll.ESFldID(AD$2,"D"),"D",$AC$1)</f>
        <v>#NAME?</v>
      </c>
    </row>
    <row r="28" spans="1:39" x14ac:dyDescent="0.25">
      <c r="A28" s="52" t="str">
        <f>IF(OR(ISBLANK(B28), B28=""),"", MAX(A$2:A27)+1)</f>
        <v/>
      </c>
      <c r="B28" s="17" t="str">
        <f>IF(ISBLANK(Reporting!$B28), "", Reporting!$B28)</f>
        <v/>
      </c>
      <c r="C28" s="53" t="e">
        <f ca="1">_xll.ESQuote($B28,_xll.ESFldID(C$2))</f>
        <v>#NAME?</v>
      </c>
      <c r="D28" s="17" t="e">
        <f ca="1">_xll.ESQuote($B28,_xll.ESFldID(D$2))</f>
        <v>#NAME?</v>
      </c>
      <c r="E28" s="54" t="e">
        <f ca="1">_xll.ESQuote($B28,_xll.ESFldID(E$2))</f>
        <v>#NAME?</v>
      </c>
      <c r="F28" s="52" t="str">
        <f>IF(OR(ISBLANK(G28), G28=""),"", MAX(F$2:F27)+1)</f>
        <v/>
      </c>
      <c r="G28" s="17" t="str">
        <f>IF(ISBLANK(Existing!$B28), "", Existing!$B28)</f>
        <v/>
      </c>
      <c r="H28" s="53" t="e">
        <f ca="1">_xll.ESQuote($G28,_xll.ESFldID(H$2))</f>
        <v>#NAME?</v>
      </c>
      <c r="I28" s="17" t="e">
        <f ca="1">_xll.ESQuote($G28,_xll.ESFldID(I$2))</f>
        <v>#NAME?</v>
      </c>
      <c r="J28" s="54" t="e">
        <f ca="1">_xll.ESQuote($G28,_xll.ESFldID(J$2))</f>
        <v>#NAME?</v>
      </c>
      <c r="K28" s="52" t="str">
        <f>IF(OR(ISBLANK(L28), L28=""),"", MAX(K$2:K27)+1)</f>
        <v/>
      </c>
      <c r="L28" s="17" t="str">
        <f>IF(ISBLANK(Monitoring!$B28), "",Monitoring!$B28)</f>
        <v/>
      </c>
      <c r="M28" s="53" t="e">
        <f ca="1">_xll.ESQuote($L28,_xll.ESFldID(M$2))</f>
        <v>#NAME?</v>
      </c>
      <c r="N28" s="17" t="e">
        <f ca="1">_xll.ESQuote($L28,_xll.ESFldID(N$2))</f>
        <v>#NAME?</v>
      </c>
      <c r="O28" s="54" t="e">
        <f ca="1">_xll.ESQuote($L28,_xll.ESFldID(O$2))</f>
        <v>#NAME?</v>
      </c>
      <c r="P28" s="52" t="str">
        <f>IF(OR(ISBLANK(Q28), Q28=""),"", MAX(P$2:P27)+1)</f>
        <v/>
      </c>
      <c r="S28" s="16"/>
      <c r="T28" s="53" t="e">
        <f ca="1">_xll.ESHistD($Q28,_xll.ESFldID(T$2,"D"),"D",$S28)</f>
        <v>#NAME?</v>
      </c>
      <c r="U28" s="53" t="e">
        <f ca="1">_xll.ESHistD($Q28,_xll.ESFldID(U$2,"D"),"D",$S28)</f>
        <v>#NAME?</v>
      </c>
      <c r="V28" s="53" t="e">
        <f ca="1">_xll.ESHistD($Q28,_xll.ESFldID(V$2,"D"),"D",$S28)</f>
        <v>#NAME?</v>
      </c>
      <c r="W28" s="53" t="e">
        <f ca="1">_xll.ESHistD($Q28,_xll.ESFldID(W$2,"D"),"D",$S28)</f>
        <v>#NAME?</v>
      </c>
      <c r="X28" s="22" t="e">
        <f ca="1">_xll.ESHistD($Q28,_xll.ESFldID(X$2,"D"),"D",$S28)</f>
        <v>#NAME?</v>
      </c>
      <c r="Y28" s="55" t="str">
        <f t="shared" si="0"/>
        <v/>
      </c>
      <c r="Z28" s="53" t="e">
        <f ca="1">_xll.ESHistD($Q28,_xll.ESFldID(Z$2,"D"),"D",$AC$1)</f>
        <v>#NAME?</v>
      </c>
      <c r="AA28" s="53" t="e">
        <f ca="1">_xll.ESHistD($Q28,_xll.ESFldID(AA$2,"D"),"D",$AC$1)</f>
        <v>#NAME?</v>
      </c>
      <c r="AB28" s="53" t="e">
        <f ca="1">_xll.ESHistD($Q28,_xll.ESFldID(AB$2,"D"),"D",$AC$1)</f>
        <v>#NAME?</v>
      </c>
      <c r="AC28" s="53" t="e">
        <f ca="1">_xll.ESHistD($Q28,_xll.ESFldID(AC$2,"D"),"D",$AC$1)</f>
        <v>#NAME?</v>
      </c>
      <c r="AD28" s="22" t="e">
        <f ca="1">_xll.ESHistD($Q28,_xll.ESFldID(AD$2,"D"),"D",$AC$1)</f>
        <v>#NAME?</v>
      </c>
    </row>
    <row r="29" spans="1:39" x14ac:dyDescent="0.25">
      <c r="A29" s="52" t="str">
        <f>IF(OR(ISBLANK(B29), B29=""),"", MAX(A$2:A28)+1)</f>
        <v/>
      </c>
      <c r="B29" s="17" t="str">
        <f>IF(ISBLANK(Reporting!$B29), "", Reporting!$B29)</f>
        <v/>
      </c>
      <c r="C29" s="53" t="e">
        <f ca="1">_xll.ESQuote($B29,_xll.ESFldID(C$2))</f>
        <v>#NAME?</v>
      </c>
      <c r="D29" s="17" t="e">
        <f ca="1">_xll.ESQuote($B29,_xll.ESFldID(D$2))</f>
        <v>#NAME?</v>
      </c>
      <c r="E29" s="54" t="e">
        <f ca="1">_xll.ESQuote($B29,_xll.ESFldID(E$2))</f>
        <v>#NAME?</v>
      </c>
      <c r="F29" s="52" t="str">
        <f>IF(OR(ISBLANK(G29), G29=""),"", MAX(F$2:F28)+1)</f>
        <v/>
      </c>
      <c r="G29" s="17" t="str">
        <f>IF(ISBLANK(Existing!$B29), "", Existing!$B29)</f>
        <v/>
      </c>
      <c r="H29" s="53" t="e">
        <f ca="1">_xll.ESQuote($G29,_xll.ESFldID(H$2))</f>
        <v>#NAME?</v>
      </c>
      <c r="I29" s="17" t="e">
        <f ca="1">_xll.ESQuote($G29,_xll.ESFldID(I$2))</f>
        <v>#NAME?</v>
      </c>
      <c r="J29" s="54" t="e">
        <f ca="1">_xll.ESQuote($G29,_xll.ESFldID(J$2))</f>
        <v>#NAME?</v>
      </c>
      <c r="K29" s="52" t="str">
        <f>IF(OR(ISBLANK(L29), L29=""),"", MAX(K$2:K28)+1)</f>
        <v/>
      </c>
      <c r="L29" s="17" t="str">
        <f>IF(ISBLANK(Monitoring!$B29), "",Monitoring!$B29)</f>
        <v/>
      </c>
      <c r="M29" s="53" t="e">
        <f ca="1">_xll.ESQuote($L29,_xll.ESFldID(M$2))</f>
        <v>#NAME?</v>
      </c>
      <c r="N29" s="17" t="e">
        <f ca="1">_xll.ESQuote($L29,_xll.ESFldID(N$2))</f>
        <v>#NAME?</v>
      </c>
      <c r="O29" s="54" t="e">
        <f ca="1">_xll.ESQuote($L29,_xll.ESFldID(O$2))</f>
        <v>#NAME?</v>
      </c>
      <c r="P29" s="52" t="str">
        <f>IF(OR(ISBLANK(Q29), Q29=""),"", MAX(P$2:P28)+1)</f>
        <v/>
      </c>
      <c r="S29" s="16"/>
      <c r="T29" s="53" t="e">
        <f ca="1">_xll.ESHistD($Q29,_xll.ESFldID(T$2,"D"),"D",$S29)</f>
        <v>#NAME?</v>
      </c>
      <c r="U29" s="53" t="e">
        <f ca="1">_xll.ESHistD($Q29,_xll.ESFldID(U$2,"D"),"D",$S29)</f>
        <v>#NAME?</v>
      </c>
      <c r="V29" s="53" t="e">
        <f ca="1">_xll.ESHistD($Q29,_xll.ESFldID(V$2,"D"),"D",$S29)</f>
        <v>#NAME?</v>
      </c>
      <c r="W29" s="53" t="e">
        <f ca="1">_xll.ESHistD($Q29,_xll.ESFldID(W$2,"D"),"D",$S29)</f>
        <v>#NAME?</v>
      </c>
      <c r="X29" s="22" t="e">
        <f ca="1">_xll.ESHistD($Q29,_xll.ESFldID(X$2,"D"),"D",$S29)</f>
        <v>#NAME?</v>
      </c>
      <c r="Y29" s="55" t="str">
        <f t="shared" si="0"/>
        <v/>
      </c>
      <c r="Z29" s="53" t="e">
        <f ca="1">_xll.ESHistD($Q29,_xll.ESFldID(Z$2,"D"),"D",$AC$1)</f>
        <v>#NAME?</v>
      </c>
      <c r="AA29" s="53" t="e">
        <f ca="1">_xll.ESHistD($Q29,_xll.ESFldID(AA$2,"D"),"D",$AC$1)</f>
        <v>#NAME?</v>
      </c>
      <c r="AB29" s="53" t="e">
        <f ca="1">_xll.ESHistD($Q29,_xll.ESFldID(AB$2,"D"),"D",$AC$1)</f>
        <v>#NAME?</v>
      </c>
      <c r="AC29" s="53" t="e">
        <f ca="1">_xll.ESHistD($Q29,_xll.ESFldID(AC$2,"D"),"D",$AC$1)</f>
        <v>#NAME?</v>
      </c>
      <c r="AD29" s="22" t="e">
        <f ca="1">_xll.ESHistD($Q29,_xll.ESFldID(AD$2,"D"),"D",$AC$1)</f>
        <v>#NAME?</v>
      </c>
    </row>
    <row r="30" spans="1:39" x14ac:dyDescent="0.25">
      <c r="A30" s="52" t="str">
        <f>IF(OR(ISBLANK(B30), B30=""),"", MAX(A$2:A29)+1)</f>
        <v/>
      </c>
      <c r="B30" s="17" t="str">
        <f>IF(ISBLANK(Reporting!$B30), "", Reporting!$B30)</f>
        <v/>
      </c>
      <c r="C30" s="53" t="e">
        <f ca="1">_xll.ESQuote($B30,_xll.ESFldID(C$2))</f>
        <v>#NAME?</v>
      </c>
      <c r="D30" s="17" t="e">
        <f ca="1">_xll.ESQuote($B30,_xll.ESFldID(D$2))</f>
        <v>#NAME?</v>
      </c>
      <c r="E30" s="54" t="e">
        <f ca="1">_xll.ESQuote($B30,_xll.ESFldID(E$2))</f>
        <v>#NAME?</v>
      </c>
      <c r="F30" s="52" t="str">
        <f>IF(OR(ISBLANK(G30), G30=""),"", MAX(F$2:F29)+1)</f>
        <v/>
      </c>
      <c r="G30" s="17" t="str">
        <f>IF(ISBLANK(Existing!$B30), "", Existing!$B30)</f>
        <v/>
      </c>
      <c r="H30" s="53" t="e">
        <f ca="1">_xll.ESQuote($G30,_xll.ESFldID(H$2))</f>
        <v>#NAME?</v>
      </c>
      <c r="I30" s="17" t="e">
        <f ca="1">_xll.ESQuote($G30,_xll.ESFldID(I$2))</f>
        <v>#NAME?</v>
      </c>
      <c r="J30" s="54" t="e">
        <f ca="1">_xll.ESQuote($G30,_xll.ESFldID(J$2))</f>
        <v>#NAME?</v>
      </c>
      <c r="K30" s="52" t="str">
        <f>IF(OR(ISBLANK(L30), L30=""),"", MAX(K$2:K29)+1)</f>
        <v/>
      </c>
      <c r="L30" s="17" t="str">
        <f>IF(ISBLANK(Monitoring!$B30), "",Monitoring!$B30)</f>
        <v/>
      </c>
      <c r="M30" s="53" t="e">
        <f ca="1">_xll.ESQuote($L30,_xll.ESFldID(M$2))</f>
        <v>#NAME?</v>
      </c>
      <c r="N30" s="17" t="e">
        <f ca="1">_xll.ESQuote($L30,_xll.ESFldID(N$2))</f>
        <v>#NAME?</v>
      </c>
      <c r="O30" s="54" t="e">
        <f ca="1">_xll.ESQuote($L30,_xll.ESFldID(O$2))</f>
        <v>#NAME?</v>
      </c>
      <c r="P30" s="52" t="str">
        <f>IF(OR(ISBLANK(Q30), Q30=""),"", MAX(P$2:P29)+1)</f>
        <v/>
      </c>
      <c r="S30" s="16"/>
      <c r="T30" s="53" t="e">
        <f ca="1">_xll.ESHistD($Q30,_xll.ESFldID(T$2,"D"),"D",$S30)</f>
        <v>#NAME?</v>
      </c>
      <c r="U30" s="53" t="e">
        <f ca="1">_xll.ESHistD($Q30,_xll.ESFldID(U$2,"D"),"D",$S30)</f>
        <v>#NAME?</v>
      </c>
      <c r="V30" s="53" t="e">
        <f ca="1">_xll.ESHistD($Q30,_xll.ESFldID(V$2,"D"),"D",$S30)</f>
        <v>#NAME?</v>
      </c>
      <c r="W30" s="53" t="e">
        <f ca="1">_xll.ESHistD($Q30,_xll.ESFldID(W$2,"D"),"D",$S30)</f>
        <v>#NAME?</v>
      </c>
      <c r="X30" s="22" t="e">
        <f ca="1">_xll.ESHistD($Q30,_xll.ESFldID(X$2,"D"),"D",$S30)</f>
        <v>#NAME?</v>
      </c>
      <c r="Y30" s="55" t="str">
        <f t="shared" si="0"/>
        <v/>
      </c>
      <c r="Z30" s="53" t="e">
        <f ca="1">_xll.ESHistD($Q30,_xll.ESFldID(Z$2,"D"),"D",$AC$1)</f>
        <v>#NAME?</v>
      </c>
      <c r="AA30" s="53" t="e">
        <f ca="1">_xll.ESHistD($Q30,_xll.ESFldID(AA$2,"D"),"D",$AC$1)</f>
        <v>#NAME?</v>
      </c>
      <c r="AB30" s="53" t="e">
        <f ca="1">_xll.ESHistD($Q30,_xll.ESFldID(AB$2,"D"),"D",$AC$1)</f>
        <v>#NAME?</v>
      </c>
      <c r="AC30" s="53" t="e">
        <f ca="1">_xll.ESHistD($Q30,_xll.ESFldID(AC$2,"D"),"D",$AC$1)</f>
        <v>#NAME?</v>
      </c>
      <c r="AD30" s="22" t="e">
        <f ca="1">_xll.ESHistD($Q30,_xll.ESFldID(AD$2,"D"),"D",$AC$1)</f>
        <v>#NAME?</v>
      </c>
    </row>
    <row r="31" spans="1:39" x14ac:dyDescent="0.25">
      <c r="A31" s="52" t="str">
        <f>IF(OR(ISBLANK(B31), B31=""),"", MAX(A$2:A30)+1)</f>
        <v/>
      </c>
      <c r="B31" s="17" t="str">
        <f>IF(ISBLANK(Reporting!$B31), "", Reporting!$B31)</f>
        <v/>
      </c>
      <c r="C31" s="53" t="e">
        <f ca="1">_xll.ESQuote($B31,_xll.ESFldID(C$2))</f>
        <v>#NAME?</v>
      </c>
      <c r="D31" s="17" t="e">
        <f ca="1">_xll.ESQuote($B31,_xll.ESFldID(D$2))</f>
        <v>#NAME?</v>
      </c>
      <c r="E31" s="54" t="e">
        <f ca="1">_xll.ESQuote($B31,_xll.ESFldID(E$2))</f>
        <v>#NAME?</v>
      </c>
      <c r="F31" s="52" t="str">
        <f>IF(OR(ISBLANK(G31), G31=""),"", MAX(F$2:F30)+1)</f>
        <v/>
      </c>
      <c r="G31" s="17" t="str">
        <f>IF(ISBLANK(Existing!$B31), "", Existing!$B31)</f>
        <v/>
      </c>
      <c r="H31" s="53" t="e">
        <f ca="1">_xll.ESQuote($G31,_xll.ESFldID(H$2))</f>
        <v>#NAME?</v>
      </c>
      <c r="I31" s="17" t="e">
        <f ca="1">_xll.ESQuote($G31,_xll.ESFldID(I$2))</f>
        <v>#NAME?</v>
      </c>
      <c r="J31" s="54" t="e">
        <f ca="1">_xll.ESQuote($G31,_xll.ESFldID(J$2))</f>
        <v>#NAME?</v>
      </c>
      <c r="K31" s="52" t="str">
        <f>IF(OR(ISBLANK(L31), L31=""),"", MAX(K$2:K30)+1)</f>
        <v/>
      </c>
      <c r="L31" s="17" t="str">
        <f>IF(ISBLANK(Monitoring!$B31), "",Monitoring!$B31)</f>
        <v/>
      </c>
      <c r="M31" s="53" t="e">
        <f ca="1">_xll.ESQuote($L31,_xll.ESFldID(M$2))</f>
        <v>#NAME?</v>
      </c>
      <c r="N31" s="17" t="e">
        <f ca="1">_xll.ESQuote($L31,_xll.ESFldID(N$2))</f>
        <v>#NAME?</v>
      </c>
      <c r="O31" s="54" t="e">
        <f ca="1">_xll.ESQuote($L31,_xll.ESFldID(O$2))</f>
        <v>#NAME?</v>
      </c>
      <c r="P31" s="52" t="str">
        <f>IF(OR(ISBLANK(Q31), Q31=""),"", MAX(P$2:P30)+1)</f>
        <v/>
      </c>
      <c r="S31" s="16"/>
      <c r="T31" s="53" t="e">
        <f ca="1">_xll.ESHistD($Q31,_xll.ESFldID(T$2,"D"),"D",$S31)</f>
        <v>#NAME?</v>
      </c>
      <c r="U31" s="53" t="e">
        <f ca="1">_xll.ESHistD($Q31,_xll.ESFldID(U$2,"D"),"D",$S31)</f>
        <v>#NAME?</v>
      </c>
      <c r="V31" s="53" t="e">
        <f ca="1">_xll.ESHistD($Q31,_xll.ESFldID(V$2,"D"),"D",$S31)</f>
        <v>#NAME?</v>
      </c>
      <c r="W31" s="53" t="e">
        <f ca="1">_xll.ESHistD($Q31,_xll.ESFldID(W$2,"D"),"D",$S31)</f>
        <v>#NAME?</v>
      </c>
      <c r="X31" s="22" t="e">
        <f ca="1">_xll.ESHistD($Q31,_xll.ESFldID(X$2,"D"),"D",$S31)</f>
        <v>#NAME?</v>
      </c>
      <c r="Y31" s="55" t="str">
        <f t="shared" si="0"/>
        <v/>
      </c>
      <c r="Z31" s="53" t="e">
        <f ca="1">_xll.ESHistD($Q31,_xll.ESFldID(Z$2,"D"),"D",$AC$1)</f>
        <v>#NAME?</v>
      </c>
      <c r="AA31" s="53" t="e">
        <f ca="1">_xll.ESHistD($Q31,_xll.ESFldID(AA$2,"D"),"D",$AC$1)</f>
        <v>#NAME?</v>
      </c>
      <c r="AB31" s="53" t="e">
        <f ca="1">_xll.ESHistD($Q31,_xll.ESFldID(AB$2,"D"),"D",$AC$1)</f>
        <v>#NAME?</v>
      </c>
      <c r="AC31" s="53" t="e">
        <f ca="1">_xll.ESHistD($Q31,_xll.ESFldID(AC$2,"D"),"D",$AC$1)</f>
        <v>#NAME?</v>
      </c>
      <c r="AD31" s="22" t="e">
        <f ca="1">_xll.ESHistD($Q31,_xll.ESFldID(AD$2,"D"),"D",$AC$1)</f>
        <v>#NAME?</v>
      </c>
    </row>
    <row r="32" spans="1:39" x14ac:dyDescent="0.25">
      <c r="A32" s="52" t="str">
        <f>IF(OR(ISBLANK(B32), B32=""),"", MAX(A$2:A31)+1)</f>
        <v/>
      </c>
      <c r="B32" s="17" t="str">
        <f>IF(ISBLANK(Reporting!$B32), "", Reporting!$B32)</f>
        <v/>
      </c>
      <c r="C32" s="53" t="e">
        <f ca="1">_xll.ESQuote($B32,_xll.ESFldID(C$2))</f>
        <v>#NAME?</v>
      </c>
      <c r="D32" s="17" t="e">
        <f ca="1">_xll.ESQuote($B32,_xll.ESFldID(D$2))</f>
        <v>#NAME?</v>
      </c>
      <c r="E32" s="54" t="e">
        <f ca="1">_xll.ESQuote($B32,_xll.ESFldID(E$2))</f>
        <v>#NAME?</v>
      </c>
      <c r="F32" s="52" t="str">
        <f>IF(OR(ISBLANK(G32), G32=""),"", MAX(F$2:F31)+1)</f>
        <v/>
      </c>
      <c r="G32" s="17" t="str">
        <f>IF(ISBLANK(Existing!$B32), "", Existing!$B32)</f>
        <v/>
      </c>
      <c r="H32" s="53" t="e">
        <f ca="1">_xll.ESQuote($G32,_xll.ESFldID(H$2))</f>
        <v>#NAME?</v>
      </c>
      <c r="I32" s="17" t="e">
        <f ca="1">_xll.ESQuote($G32,_xll.ESFldID(I$2))</f>
        <v>#NAME?</v>
      </c>
      <c r="J32" s="54" t="e">
        <f ca="1">_xll.ESQuote($G32,_xll.ESFldID(J$2))</f>
        <v>#NAME?</v>
      </c>
      <c r="K32" s="52" t="str">
        <f>IF(OR(ISBLANK(L32), L32=""),"", MAX(K$2:K31)+1)</f>
        <v/>
      </c>
      <c r="L32" s="17" t="str">
        <f>IF(ISBLANK(Monitoring!$B32), "",Monitoring!$B32)</f>
        <v/>
      </c>
      <c r="M32" s="53" t="e">
        <f ca="1">_xll.ESQuote($L32,_xll.ESFldID(M$2))</f>
        <v>#NAME?</v>
      </c>
      <c r="N32" s="17" t="e">
        <f ca="1">_xll.ESQuote($L32,_xll.ESFldID(N$2))</f>
        <v>#NAME?</v>
      </c>
      <c r="O32" s="54" t="e">
        <f ca="1">_xll.ESQuote($L32,_xll.ESFldID(O$2))</f>
        <v>#NAME?</v>
      </c>
      <c r="P32" s="52" t="str">
        <f>IF(OR(ISBLANK(Q32), Q32=""),"", MAX(P$2:P31)+1)</f>
        <v/>
      </c>
      <c r="S32" s="16"/>
      <c r="T32" s="53" t="e">
        <f ca="1">_xll.ESHistD($Q32,_xll.ESFldID(T$2,"D"),"D",$S32)</f>
        <v>#NAME?</v>
      </c>
      <c r="U32" s="53" t="e">
        <f ca="1">_xll.ESHistD($Q32,_xll.ESFldID(U$2,"D"),"D",$S32)</f>
        <v>#NAME?</v>
      </c>
      <c r="V32" s="53" t="e">
        <f ca="1">_xll.ESHistD($Q32,_xll.ESFldID(V$2,"D"),"D",$S32)</f>
        <v>#NAME?</v>
      </c>
      <c r="W32" s="53" t="e">
        <f ca="1">_xll.ESHistD($Q32,_xll.ESFldID(W$2,"D"),"D",$S32)</f>
        <v>#NAME?</v>
      </c>
      <c r="X32" s="22" t="e">
        <f ca="1">_xll.ESHistD($Q32,_xll.ESFldID(X$2,"D"),"D",$S32)</f>
        <v>#NAME?</v>
      </c>
      <c r="Y32" s="55" t="str">
        <f t="shared" si="0"/>
        <v/>
      </c>
      <c r="Z32" s="53" t="e">
        <f ca="1">_xll.ESHistD($Q32,_xll.ESFldID(Z$2,"D"),"D",$AC$1)</f>
        <v>#NAME?</v>
      </c>
      <c r="AA32" s="53" t="e">
        <f ca="1">_xll.ESHistD($Q32,_xll.ESFldID(AA$2,"D"),"D",$AC$1)</f>
        <v>#NAME?</v>
      </c>
      <c r="AB32" s="53" t="e">
        <f ca="1">_xll.ESHistD($Q32,_xll.ESFldID(AB$2,"D"),"D",$AC$1)</f>
        <v>#NAME?</v>
      </c>
      <c r="AC32" s="53" t="e">
        <f ca="1">_xll.ESHistD($Q32,_xll.ESFldID(AC$2,"D"),"D",$AC$1)</f>
        <v>#NAME?</v>
      </c>
      <c r="AD32" s="22" t="e">
        <f ca="1">_xll.ESHistD($Q32,_xll.ESFldID(AD$2,"D"),"D",$AC$1)</f>
        <v>#NAME?</v>
      </c>
    </row>
    <row r="33" spans="1:30" x14ac:dyDescent="0.25">
      <c r="A33" s="52" t="str">
        <f>IF(OR(ISBLANK(B33), B33=""),"", MAX(A$2:A32)+1)</f>
        <v/>
      </c>
      <c r="B33" s="17" t="str">
        <f>IF(ISBLANK(Reporting!$B33), "", Reporting!$B33)</f>
        <v/>
      </c>
      <c r="C33" s="53" t="e">
        <f ca="1">_xll.ESQuote($B33,_xll.ESFldID(C$2))</f>
        <v>#NAME?</v>
      </c>
      <c r="D33" s="17" t="e">
        <f ca="1">_xll.ESQuote($B33,_xll.ESFldID(D$2))</f>
        <v>#NAME?</v>
      </c>
      <c r="E33" s="54" t="e">
        <f ca="1">_xll.ESQuote($B33,_xll.ESFldID(E$2))</f>
        <v>#NAME?</v>
      </c>
      <c r="F33" s="52" t="str">
        <f>IF(OR(ISBLANK(G33), G33=""),"", MAX(F$2:F32)+1)</f>
        <v/>
      </c>
      <c r="G33" s="17" t="str">
        <f>IF(ISBLANK(Existing!$B33), "", Existing!$B33)</f>
        <v/>
      </c>
      <c r="H33" s="53" t="e">
        <f ca="1">_xll.ESQuote($G33,_xll.ESFldID(H$2))</f>
        <v>#NAME?</v>
      </c>
      <c r="I33" s="17" t="e">
        <f ca="1">_xll.ESQuote($G33,_xll.ESFldID(I$2))</f>
        <v>#NAME?</v>
      </c>
      <c r="J33" s="54" t="e">
        <f ca="1">_xll.ESQuote($G33,_xll.ESFldID(J$2))</f>
        <v>#NAME?</v>
      </c>
      <c r="K33" s="52" t="str">
        <f>IF(OR(ISBLANK(L33), L33=""),"", MAX(K$2:K32)+1)</f>
        <v/>
      </c>
      <c r="L33" s="17" t="str">
        <f>IF(ISBLANK(Monitoring!$B33), "",Monitoring!$B33)</f>
        <v/>
      </c>
      <c r="M33" s="53" t="e">
        <f ca="1">_xll.ESQuote($L33,_xll.ESFldID(M$2))</f>
        <v>#NAME?</v>
      </c>
      <c r="N33" s="17" t="e">
        <f ca="1">_xll.ESQuote($L33,_xll.ESFldID(N$2))</f>
        <v>#NAME?</v>
      </c>
      <c r="O33" s="54" t="e">
        <f ca="1">_xll.ESQuote($L33,_xll.ESFldID(O$2))</f>
        <v>#NAME?</v>
      </c>
      <c r="P33" s="52" t="str">
        <f>IF(OR(ISBLANK(Q33), Q33=""),"", MAX(P$2:P32)+1)</f>
        <v/>
      </c>
      <c r="S33" s="16"/>
      <c r="T33" s="53" t="e">
        <f ca="1">_xll.ESHistD($Q33,_xll.ESFldID(T$2,"D"),"D",$S33)</f>
        <v>#NAME?</v>
      </c>
      <c r="U33" s="53" t="e">
        <f ca="1">_xll.ESHistD($Q33,_xll.ESFldID(U$2,"D"),"D",$S33)</f>
        <v>#NAME?</v>
      </c>
      <c r="V33" s="53" t="e">
        <f ca="1">_xll.ESHistD($Q33,_xll.ESFldID(V$2,"D"),"D",$S33)</f>
        <v>#NAME?</v>
      </c>
      <c r="W33" s="53" t="e">
        <f ca="1">_xll.ESHistD($Q33,_xll.ESFldID(W$2,"D"),"D",$S33)</f>
        <v>#NAME?</v>
      </c>
      <c r="X33" s="22" t="e">
        <f ca="1">_xll.ESHistD($Q33,_xll.ESFldID(X$2,"D"),"D",$S33)</f>
        <v>#NAME?</v>
      </c>
      <c r="Y33" s="55" t="str">
        <f t="shared" si="0"/>
        <v/>
      </c>
      <c r="Z33" s="53" t="e">
        <f ca="1">_xll.ESHistD($Q33,_xll.ESFldID(Z$2,"D"),"D",$AC$1)</f>
        <v>#NAME?</v>
      </c>
      <c r="AA33" s="53" t="e">
        <f ca="1">_xll.ESHistD($Q33,_xll.ESFldID(AA$2,"D"),"D",$AC$1)</f>
        <v>#NAME?</v>
      </c>
      <c r="AB33" s="53" t="e">
        <f ca="1">_xll.ESHistD($Q33,_xll.ESFldID(AB$2,"D"),"D",$AC$1)</f>
        <v>#NAME?</v>
      </c>
      <c r="AC33" s="53" t="e">
        <f ca="1">_xll.ESHistD($Q33,_xll.ESFldID(AC$2,"D"),"D",$AC$1)</f>
        <v>#NAME?</v>
      </c>
      <c r="AD33" s="22" t="e">
        <f ca="1">_xll.ESHistD($Q33,_xll.ESFldID(AD$2,"D"),"D",$AC$1)</f>
        <v>#NAME?</v>
      </c>
    </row>
    <row r="34" spans="1:30" x14ac:dyDescent="0.25">
      <c r="A34" s="52" t="str">
        <f>IF(OR(ISBLANK(B34), B34=""),"", MAX(A$2:A33)+1)</f>
        <v/>
      </c>
      <c r="B34" s="17" t="str">
        <f>IF(ISBLANK(Reporting!$B34), "", Reporting!$B34)</f>
        <v/>
      </c>
      <c r="C34" s="53" t="e">
        <f ca="1">_xll.ESQuote($B34,_xll.ESFldID(C$2))</f>
        <v>#NAME?</v>
      </c>
      <c r="D34" s="17" t="e">
        <f ca="1">_xll.ESQuote($B34,_xll.ESFldID(D$2))</f>
        <v>#NAME?</v>
      </c>
      <c r="E34" s="54" t="e">
        <f ca="1">_xll.ESQuote($B34,_xll.ESFldID(E$2))</f>
        <v>#NAME?</v>
      </c>
      <c r="F34" s="52" t="str">
        <f>IF(OR(ISBLANK(G34), G34=""),"", MAX(F$2:F33)+1)</f>
        <v/>
      </c>
      <c r="G34" s="17" t="str">
        <f>IF(ISBLANK(Existing!$B34), "", Existing!$B34)</f>
        <v/>
      </c>
      <c r="H34" s="53" t="e">
        <f ca="1">_xll.ESQuote($G34,_xll.ESFldID(H$2))</f>
        <v>#NAME?</v>
      </c>
      <c r="I34" s="17" t="e">
        <f ca="1">_xll.ESQuote($G34,_xll.ESFldID(I$2))</f>
        <v>#NAME?</v>
      </c>
      <c r="J34" s="54" t="e">
        <f ca="1">_xll.ESQuote($G34,_xll.ESFldID(J$2))</f>
        <v>#NAME?</v>
      </c>
      <c r="K34" s="52" t="str">
        <f>IF(OR(ISBLANK(L34), L34=""),"", MAX(K$2:K33)+1)</f>
        <v/>
      </c>
      <c r="L34" s="17" t="str">
        <f>IF(ISBLANK(Monitoring!$B34), "",Monitoring!$B34)</f>
        <v/>
      </c>
      <c r="M34" s="53" t="e">
        <f ca="1">_xll.ESQuote($L34,_xll.ESFldID(M$2))</f>
        <v>#NAME?</v>
      </c>
      <c r="N34" s="17" t="e">
        <f ca="1">_xll.ESQuote($L34,_xll.ESFldID(N$2))</f>
        <v>#NAME?</v>
      </c>
      <c r="O34" s="54" t="e">
        <f ca="1">_xll.ESQuote($L34,_xll.ESFldID(O$2))</f>
        <v>#NAME?</v>
      </c>
      <c r="P34" s="52" t="str">
        <f>IF(OR(ISBLANK(Q34), Q34=""),"", MAX(P$2:P33)+1)</f>
        <v/>
      </c>
      <c r="S34" s="16"/>
      <c r="T34" s="53" t="e">
        <f ca="1">_xll.ESHistD($Q34,_xll.ESFldID(T$2,"D"),"D",$S34)</f>
        <v>#NAME?</v>
      </c>
      <c r="U34" s="53" t="e">
        <f ca="1">_xll.ESHistD($Q34,_xll.ESFldID(U$2,"D"),"D",$S34)</f>
        <v>#NAME?</v>
      </c>
      <c r="V34" s="53" t="e">
        <f ca="1">_xll.ESHistD($Q34,_xll.ESFldID(V$2,"D"),"D",$S34)</f>
        <v>#NAME?</v>
      </c>
      <c r="W34" s="53" t="e">
        <f ca="1">_xll.ESHistD($Q34,_xll.ESFldID(W$2,"D"),"D",$S34)</f>
        <v>#NAME?</v>
      </c>
      <c r="X34" s="22" t="e">
        <f ca="1">_xll.ESHistD($Q34,_xll.ESFldID(X$2,"D"),"D",$S34)</f>
        <v>#NAME?</v>
      </c>
      <c r="Y34" s="55" t="str">
        <f t="shared" si="0"/>
        <v/>
      </c>
      <c r="Z34" s="53" t="e">
        <f ca="1">_xll.ESHistD($Q34,_xll.ESFldID(Z$2,"D"),"D",$AC$1)</f>
        <v>#NAME?</v>
      </c>
      <c r="AA34" s="53" t="e">
        <f ca="1">_xll.ESHistD($Q34,_xll.ESFldID(AA$2,"D"),"D",$AC$1)</f>
        <v>#NAME?</v>
      </c>
      <c r="AB34" s="53" t="e">
        <f ca="1">_xll.ESHistD($Q34,_xll.ESFldID(AB$2,"D"),"D",$AC$1)</f>
        <v>#NAME?</v>
      </c>
      <c r="AC34" s="53" t="e">
        <f ca="1">_xll.ESHistD($Q34,_xll.ESFldID(AC$2,"D"),"D",$AC$1)</f>
        <v>#NAME?</v>
      </c>
      <c r="AD34" s="22" t="e">
        <f ca="1">_xll.ESHistD($Q34,_xll.ESFldID(AD$2,"D"),"D",$AC$1)</f>
        <v>#NAME?</v>
      </c>
    </row>
    <row r="35" spans="1:30" x14ac:dyDescent="0.25">
      <c r="A35" s="52" t="str">
        <f>IF(OR(ISBLANK(B35), B35=""),"", MAX(A$2:A34)+1)</f>
        <v/>
      </c>
      <c r="B35" s="17" t="str">
        <f>IF(ISBLANK(Reporting!$B35), "", Reporting!$B35)</f>
        <v/>
      </c>
      <c r="C35" s="53" t="e">
        <f ca="1">_xll.ESQuote($B35,_xll.ESFldID(C$2))</f>
        <v>#NAME?</v>
      </c>
      <c r="D35" s="17" t="e">
        <f ca="1">_xll.ESQuote($B35,_xll.ESFldID(D$2))</f>
        <v>#NAME?</v>
      </c>
      <c r="E35" s="54" t="e">
        <f ca="1">_xll.ESQuote($B35,_xll.ESFldID(E$2))</f>
        <v>#NAME?</v>
      </c>
      <c r="F35" s="52" t="str">
        <f>IF(OR(ISBLANK(G35), G35=""),"", MAX(F$2:F34)+1)</f>
        <v/>
      </c>
      <c r="G35" s="17" t="str">
        <f>IF(ISBLANK(Existing!$B35), "", Existing!$B35)</f>
        <v/>
      </c>
      <c r="H35" s="53" t="e">
        <f ca="1">_xll.ESQuote($G35,_xll.ESFldID(H$2))</f>
        <v>#NAME?</v>
      </c>
      <c r="I35" s="17" t="e">
        <f ca="1">_xll.ESQuote($G35,_xll.ESFldID(I$2))</f>
        <v>#NAME?</v>
      </c>
      <c r="J35" s="54" t="e">
        <f ca="1">_xll.ESQuote($G35,_xll.ESFldID(J$2))</f>
        <v>#NAME?</v>
      </c>
      <c r="K35" s="52" t="str">
        <f>IF(OR(ISBLANK(L35), L35=""),"", MAX(K$2:K34)+1)</f>
        <v/>
      </c>
      <c r="L35" s="17" t="str">
        <f>IF(ISBLANK(Monitoring!$B35), "",Monitoring!$B35)</f>
        <v/>
      </c>
      <c r="M35" s="53" t="e">
        <f ca="1">_xll.ESQuote($L35,_xll.ESFldID(M$2))</f>
        <v>#NAME?</v>
      </c>
      <c r="N35" s="17" t="e">
        <f ca="1">_xll.ESQuote($L35,_xll.ESFldID(N$2))</f>
        <v>#NAME?</v>
      </c>
      <c r="O35" s="54" t="e">
        <f ca="1">_xll.ESQuote($L35,_xll.ESFldID(O$2))</f>
        <v>#NAME?</v>
      </c>
      <c r="P35" s="52" t="str">
        <f>IF(OR(ISBLANK(Q35), Q35=""),"", MAX(P$2:P34)+1)</f>
        <v/>
      </c>
      <c r="S35" s="16"/>
      <c r="T35" s="53" t="e">
        <f ca="1">_xll.ESHistD($Q35,_xll.ESFldID(T$2,"D"),"D",$S35)</f>
        <v>#NAME?</v>
      </c>
      <c r="U35" s="53" t="e">
        <f ca="1">_xll.ESHistD($Q35,_xll.ESFldID(U$2,"D"),"D",$S35)</f>
        <v>#NAME?</v>
      </c>
      <c r="V35" s="53" t="e">
        <f ca="1">_xll.ESHistD($Q35,_xll.ESFldID(V$2,"D"),"D",$S35)</f>
        <v>#NAME?</v>
      </c>
      <c r="W35" s="53" t="e">
        <f ca="1">_xll.ESHistD($Q35,_xll.ESFldID(W$2,"D"),"D",$S35)</f>
        <v>#NAME?</v>
      </c>
      <c r="X35" s="22" t="e">
        <f ca="1">_xll.ESHistD($Q35,_xll.ESFldID(X$2,"D"),"D",$S35)</f>
        <v>#NAME?</v>
      </c>
      <c r="Y35" s="55" t="str">
        <f t="shared" si="0"/>
        <v/>
      </c>
      <c r="Z35" s="53" t="e">
        <f ca="1">_xll.ESHistD($Q35,_xll.ESFldID(Z$2,"D"),"D",$AC$1)</f>
        <v>#NAME?</v>
      </c>
      <c r="AA35" s="53" t="e">
        <f ca="1">_xll.ESHistD($Q35,_xll.ESFldID(AA$2,"D"),"D",$AC$1)</f>
        <v>#NAME?</v>
      </c>
      <c r="AB35" s="53" t="e">
        <f ca="1">_xll.ESHistD($Q35,_xll.ESFldID(AB$2,"D"),"D",$AC$1)</f>
        <v>#NAME?</v>
      </c>
      <c r="AC35" s="53" t="e">
        <f ca="1">_xll.ESHistD($Q35,_xll.ESFldID(AC$2,"D"),"D",$AC$1)</f>
        <v>#NAME?</v>
      </c>
      <c r="AD35" s="22" t="e">
        <f ca="1">_xll.ESHistD($Q35,_xll.ESFldID(AD$2,"D"),"D",$AC$1)</f>
        <v>#NAME?</v>
      </c>
    </row>
    <row r="36" spans="1:30" x14ac:dyDescent="0.25">
      <c r="A36" s="52" t="str">
        <f>IF(OR(ISBLANK(B36), B36=""),"", MAX(A$2:A35)+1)</f>
        <v/>
      </c>
      <c r="B36" s="17" t="str">
        <f>IF(ISBLANK(Reporting!$B36), "", Reporting!$B36)</f>
        <v/>
      </c>
      <c r="C36" s="53" t="e">
        <f ca="1">_xll.ESQuote($B36,_xll.ESFldID(C$2))</f>
        <v>#NAME?</v>
      </c>
      <c r="D36" s="17" t="e">
        <f ca="1">_xll.ESQuote($B36,_xll.ESFldID(D$2))</f>
        <v>#NAME?</v>
      </c>
      <c r="E36" s="54" t="e">
        <f ca="1">_xll.ESQuote($B36,_xll.ESFldID(E$2))</f>
        <v>#NAME?</v>
      </c>
      <c r="F36" s="52" t="str">
        <f>IF(OR(ISBLANK(G36), G36=""),"", MAX(F$2:F35)+1)</f>
        <v/>
      </c>
      <c r="G36" s="17" t="str">
        <f>IF(ISBLANK(Existing!$B36), "", Existing!$B36)</f>
        <v/>
      </c>
      <c r="H36" s="53" t="e">
        <f ca="1">_xll.ESQuote($G36,_xll.ESFldID(H$2))</f>
        <v>#NAME?</v>
      </c>
      <c r="I36" s="17" t="e">
        <f ca="1">_xll.ESQuote($G36,_xll.ESFldID(I$2))</f>
        <v>#NAME?</v>
      </c>
      <c r="J36" s="54" t="e">
        <f ca="1">_xll.ESQuote($G36,_xll.ESFldID(J$2))</f>
        <v>#NAME?</v>
      </c>
      <c r="K36" s="52" t="str">
        <f>IF(OR(ISBLANK(L36), L36=""),"", MAX(K$2:K35)+1)</f>
        <v/>
      </c>
      <c r="L36" s="17" t="str">
        <f>IF(ISBLANK(Monitoring!$B36), "",Monitoring!$B36)</f>
        <v/>
      </c>
      <c r="M36" s="53" t="e">
        <f ca="1">_xll.ESQuote($L36,_xll.ESFldID(M$2))</f>
        <v>#NAME?</v>
      </c>
      <c r="N36" s="17" t="e">
        <f ca="1">_xll.ESQuote($L36,_xll.ESFldID(N$2))</f>
        <v>#NAME?</v>
      </c>
      <c r="O36" s="54" t="e">
        <f ca="1">_xll.ESQuote($L36,_xll.ESFldID(O$2))</f>
        <v>#NAME?</v>
      </c>
      <c r="P36" s="52" t="str">
        <f>IF(OR(ISBLANK(Q36), Q36=""),"", MAX(P$2:P35)+1)</f>
        <v/>
      </c>
      <c r="S36" s="16"/>
      <c r="T36" s="53" t="e">
        <f ca="1">_xll.ESHistD($Q36,_xll.ESFldID(T$2,"D"),"D",$S36)</f>
        <v>#NAME?</v>
      </c>
      <c r="U36" s="53" t="e">
        <f ca="1">_xll.ESHistD($Q36,_xll.ESFldID(U$2,"D"),"D",$S36)</f>
        <v>#NAME?</v>
      </c>
      <c r="V36" s="53" t="e">
        <f ca="1">_xll.ESHistD($Q36,_xll.ESFldID(V$2,"D"),"D",$S36)</f>
        <v>#NAME?</v>
      </c>
      <c r="W36" s="53" t="e">
        <f ca="1">_xll.ESHistD($Q36,_xll.ESFldID(W$2,"D"),"D",$S36)</f>
        <v>#NAME?</v>
      </c>
      <c r="X36" s="22" t="e">
        <f ca="1">_xll.ESHistD($Q36,_xll.ESFldID(X$2,"D"),"D",$S36)</f>
        <v>#NAME?</v>
      </c>
      <c r="Y36" s="55" t="str">
        <f t="shared" si="0"/>
        <v/>
      </c>
      <c r="Z36" s="53" t="e">
        <f ca="1">_xll.ESHistD($Q36,_xll.ESFldID(Z$2,"D"),"D",$AC$1)</f>
        <v>#NAME?</v>
      </c>
      <c r="AA36" s="53" t="e">
        <f ca="1">_xll.ESHistD($Q36,_xll.ESFldID(AA$2,"D"),"D",$AC$1)</f>
        <v>#NAME?</v>
      </c>
      <c r="AB36" s="53" t="e">
        <f ca="1">_xll.ESHistD($Q36,_xll.ESFldID(AB$2,"D"),"D",$AC$1)</f>
        <v>#NAME?</v>
      </c>
      <c r="AC36" s="53" t="e">
        <f ca="1">_xll.ESHistD($Q36,_xll.ESFldID(AC$2,"D"),"D",$AC$1)</f>
        <v>#NAME?</v>
      </c>
      <c r="AD36" s="22" t="e">
        <f ca="1">_xll.ESHistD($Q36,_xll.ESFldID(AD$2,"D"),"D",$AC$1)</f>
        <v>#NAME?</v>
      </c>
    </row>
    <row r="37" spans="1:30" x14ac:dyDescent="0.25">
      <c r="A37" s="52" t="str">
        <f>IF(OR(ISBLANK(B37), B37=""),"", MAX(A$2:A36)+1)</f>
        <v/>
      </c>
      <c r="B37" s="17" t="str">
        <f>IF(ISBLANK(Reporting!$B37), "", Reporting!$B37)</f>
        <v/>
      </c>
      <c r="C37" s="53" t="e">
        <f ca="1">_xll.ESQuote($B37,_xll.ESFldID(C$2))</f>
        <v>#NAME?</v>
      </c>
      <c r="D37" s="17" t="e">
        <f ca="1">_xll.ESQuote($B37,_xll.ESFldID(D$2))</f>
        <v>#NAME?</v>
      </c>
      <c r="E37" s="54" t="e">
        <f ca="1">_xll.ESQuote($B37,_xll.ESFldID(E$2))</f>
        <v>#NAME?</v>
      </c>
      <c r="F37" s="52" t="str">
        <f>IF(OR(ISBLANK(G37), G37=""),"", MAX(F$2:F36)+1)</f>
        <v/>
      </c>
      <c r="G37" s="17" t="str">
        <f>IF(ISBLANK(Existing!$B37), "", Existing!$B37)</f>
        <v/>
      </c>
      <c r="H37" s="53" t="e">
        <f ca="1">_xll.ESQuote($G37,_xll.ESFldID(H$2))</f>
        <v>#NAME?</v>
      </c>
      <c r="I37" s="17" t="e">
        <f ca="1">_xll.ESQuote($G37,_xll.ESFldID(I$2))</f>
        <v>#NAME?</v>
      </c>
      <c r="J37" s="54" t="e">
        <f ca="1">_xll.ESQuote($G37,_xll.ESFldID(J$2))</f>
        <v>#NAME?</v>
      </c>
      <c r="K37" s="52" t="str">
        <f>IF(OR(ISBLANK(L37), L37=""),"", MAX(K$2:K36)+1)</f>
        <v/>
      </c>
      <c r="L37" s="17" t="str">
        <f>IF(ISBLANK(Monitoring!$B37), "",Monitoring!$B37)</f>
        <v/>
      </c>
      <c r="M37" s="53" t="e">
        <f ca="1">_xll.ESQuote($L37,_xll.ESFldID(M$2))</f>
        <v>#NAME?</v>
      </c>
      <c r="N37" s="17" t="e">
        <f ca="1">_xll.ESQuote($L37,_xll.ESFldID(N$2))</f>
        <v>#NAME?</v>
      </c>
      <c r="O37" s="54" t="e">
        <f ca="1">_xll.ESQuote($L37,_xll.ESFldID(O$2))</f>
        <v>#NAME?</v>
      </c>
      <c r="P37" s="52" t="str">
        <f>IF(OR(ISBLANK(Q37), Q37=""),"", MAX(P$2:P36)+1)</f>
        <v/>
      </c>
      <c r="S37" s="16"/>
      <c r="T37" s="53" t="e">
        <f ca="1">_xll.ESHistD($Q37,_xll.ESFldID(T$2,"D"),"D",$S37)</f>
        <v>#NAME?</v>
      </c>
      <c r="U37" s="53" t="e">
        <f ca="1">_xll.ESHistD($Q37,_xll.ESFldID(U$2,"D"),"D",$S37)</f>
        <v>#NAME?</v>
      </c>
      <c r="V37" s="53" t="e">
        <f ca="1">_xll.ESHistD($Q37,_xll.ESFldID(V$2,"D"),"D",$S37)</f>
        <v>#NAME?</v>
      </c>
      <c r="W37" s="53" t="e">
        <f ca="1">_xll.ESHistD($Q37,_xll.ESFldID(W$2,"D"),"D",$S37)</f>
        <v>#NAME?</v>
      </c>
      <c r="X37" s="22" t="e">
        <f ca="1">_xll.ESHistD($Q37,_xll.ESFldID(X$2,"D"),"D",$S37)</f>
        <v>#NAME?</v>
      </c>
      <c r="Y37" s="55" t="str">
        <f t="shared" si="0"/>
        <v/>
      </c>
      <c r="Z37" s="53" t="e">
        <f ca="1">_xll.ESHistD($Q37,_xll.ESFldID(Z$2,"D"),"D",$AC$1)</f>
        <v>#NAME?</v>
      </c>
      <c r="AA37" s="53" t="e">
        <f ca="1">_xll.ESHistD($Q37,_xll.ESFldID(AA$2,"D"),"D",$AC$1)</f>
        <v>#NAME?</v>
      </c>
      <c r="AB37" s="53" t="e">
        <f ca="1">_xll.ESHistD($Q37,_xll.ESFldID(AB$2,"D"),"D",$AC$1)</f>
        <v>#NAME?</v>
      </c>
      <c r="AC37" s="53" t="e">
        <f ca="1">_xll.ESHistD($Q37,_xll.ESFldID(AC$2,"D"),"D",$AC$1)</f>
        <v>#NAME?</v>
      </c>
      <c r="AD37" s="22" t="e">
        <f ca="1">_xll.ESHistD($Q37,_xll.ESFldID(AD$2,"D"),"D",$AC$1)</f>
        <v>#NAME?</v>
      </c>
    </row>
    <row r="38" spans="1:30" x14ac:dyDescent="0.25">
      <c r="A38" s="52" t="str">
        <f>IF(OR(ISBLANK(B38), B38=""),"", MAX(A$2:A37)+1)</f>
        <v/>
      </c>
      <c r="B38" s="17" t="str">
        <f>IF(ISBLANK(Reporting!$B38), "", Reporting!$B38)</f>
        <v/>
      </c>
      <c r="C38" s="53" t="e">
        <f ca="1">_xll.ESQuote($B38,_xll.ESFldID(C$2))</f>
        <v>#NAME?</v>
      </c>
      <c r="D38" s="17" t="e">
        <f ca="1">_xll.ESQuote($B38,_xll.ESFldID(D$2))</f>
        <v>#NAME?</v>
      </c>
      <c r="E38" s="54" t="e">
        <f ca="1">_xll.ESQuote($B38,_xll.ESFldID(E$2))</f>
        <v>#NAME?</v>
      </c>
      <c r="F38" s="52" t="str">
        <f>IF(OR(ISBLANK(G38), G38=""),"", MAX(F$2:F37)+1)</f>
        <v/>
      </c>
      <c r="G38" s="17" t="str">
        <f>IF(ISBLANK(Existing!$B38), "", Existing!$B38)</f>
        <v/>
      </c>
      <c r="H38" s="53" t="e">
        <f ca="1">_xll.ESQuote($G38,_xll.ESFldID(H$2))</f>
        <v>#NAME?</v>
      </c>
      <c r="I38" s="17" t="e">
        <f ca="1">_xll.ESQuote($G38,_xll.ESFldID(I$2))</f>
        <v>#NAME?</v>
      </c>
      <c r="J38" s="54" t="e">
        <f ca="1">_xll.ESQuote($G38,_xll.ESFldID(J$2))</f>
        <v>#NAME?</v>
      </c>
      <c r="K38" s="52" t="str">
        <f>IF(OR(ISBLANK(L38), L38=""),"", MAX(K$2:K37)+1)</f>
        <v/>
      </c>
      <c r="L38" s="17" t="str">
        <f>IF(ISBLANK(Monitoring!$B38), "",Monitoring!$B38)</f>
        <v/>
      </c>
      <c r="M38" s="53" t="e">
        <f ca="1">_xll.ESQuote($L38,_xll.ESFldID(M$2))</f>
        <v>#NAME?</v>
      </c>
      <c r="N38" s="17" t="e">
        <f ca="1">_xll.ESQuote($L38,_xll.ESFldID(N$2))</f>
        <v>#NAME?</v>
      </c>
      <c r="O38" s="54" t="e">
        <f ca="1">_xll.ESQuote($L38,_xll.ESFldID(O$2))</f>
        <v>#NAME?</v>
      </c>
      <c r="P38" s="52" t="str">
        <f>IF(OR(ISBLANK(Q38), Q38=""),"", MAX(P$2:P37)+1)</f>
        <v/>
      </c>
      <c r="S38" s="16"/>
      <c r="T38" s="53" t="e">
        <f ca="1">_xll.ESHistD($Q38,_xll.ESFldID(T$2,"D"),"D",$S38)</f>
        <v>#NAME?</v>
      </c>
      <c r="U38" s="53" t="e">
        <f ca="1">_xll.ESHistD($Q38,_xll.ESFldID(U$2,"D"),"D",$S38)</f>
        <v>#NAME?</v>
      </c>
      <c r="V38" s="53" t="e">
        <f ca="1">_xll.ESHistD($Q38,_xll.ESFldID(V$2,"D"),"D",$S38)</f>
        <v>#NAME?</v>
      </c>
      <c r="W38" s="53" t="e">
        <f ca="1">_xll.ESHistD($Q38,_xll.ESFldID(W$2,"D"),"D",$S38)</f>
        <v>#NAME?</v>
      </c>
      <c r="X38" s="22" t="e">
        <f ca="1">_xll.ESHistD($Q38,_xll.ESFldID(X$2,"D"),"D",$S38)</f>
        <v>#NAME?</v>
      </c>
      <c r="Y38" s="55" t="str">
        <f t="shared" si="0"/>
        <v/>
      </c>
      <c r="Z38" s="53" t="e">
        <f ca="1">_xll.ESHistD($Q38,_xll.ESFldID(Z$2,"D"),"D",$AC$1)</f>
        <v>#NAME?</v>
      </c>
      <c r="AA38" s="53" t="e">
        <f ca="1">_xll.ESHistD($Q38,_xll.ESFldID(AA$2,"D"),"D",$AC$1)</f>
        <v>#NAME?</v>
      </c>
      <c r="AB38" s="53" t="e">
        <f ca="1">_xll.ESHistD($Q38,_xll.ESFldID(AB$2,"D"),"D",$AC$1)</f>
        <v>#NAME?</v>
      </c>
      <c r="AC38" s="53" t="e">
        <f ca="1">_xll.ESHistD($Q38,_xll.ESFldID(AC$2,"D"),"D",$AC$1)</f>
        <v>#NAME?</v>
      </c>
      <c r="AD38" s="22" t="e">
        <f ca="1">_xll.ESHistD($Q38,_xll.ESFldID(AD$2,"D"),"D",$AC$1)</f>
        <v>#NAME?</v>
      </c>
    </row>
    <row r="39" spans="1:30" x14ac:dyDescent="0.25">
      <c r="A39" s="52" t="str">
        <f>IF(OR(ISBLANK(B39), B39=""),"", MAX(A$2:A38)+1)</f>
        <v/>
      </c>
      <c r="B39" s="17" t="str">
        <f>IF(ISBLANK(Reporting!$B39), "", Reporting!$B39)</f>
        <v/>
      </c>
      <c r="C39" s="53" t="e">
        <f ca="1">_xll.ESQuote($B39,_xll.ESFldID(C$2))</f>
        <v>#NAME?</v>
      </c>
      <c r="D39" s="17" t="e">
        <f ca="1">_xll.ESQuote($B39,_xll.ESFldID(D$2))</f>
        <v>#NAME?</v>
      </c>
      <c r="E39" s="54" t="e">
        <f ca="1">_xll.ESQuote($B39,_xll.ESFldID(E$2))</f>
        <v>#NAME?</v>
      </c>
      <c r="F39" s="52" t="str">
        <f>IF(OR(ISBLANK(G39), G39=""),"", MAX(F$2:F38)+1)</f>
        <v/>
      </c>
      <c r="G39" s="17" t="str">
        <f>IF(ISBLANK(Existing!$B39), "", Existing!$B39)</f>
        <v/>
      </c>
      <c r="H39" s="53" t="e">
        <f ca="1">_xll.ESQuote($G39,_xll.ESFldID(H$2))</f>
        <v>#NAME?</v>
      </c>
      <c r="I39" s="17" t="e">
        <f ca="1">_xll.ESQuote($G39,_xll.ESFldID(I$2))</f>
        <v>#NAME?</v>
      </c>
      <c r="J39" s="54" t="e">
        <f ca="1">_xll.ESQuote($G39,_xll.ESFldID(J$2))</f>
        <v>#NAME?</v>
      </c>
      <c r="K39" s="52" t="str">
        <f>IF(OR(ISBLANK(L39), L39=""),"", MAX(K$2:K38)+1)</f>
        <v/>
      </c>
      <c r="L39" s="17" t="str">
        <f>IF(ISBLANK(Monitoring!$B39), "",Monitoring!$B39)</f>
        <v/>
      </c>
      <c r="M39" s="53" t="e">
        <f ca="1">_xll.ESQuote($L39,_xll.ESFldID(M$2))</f>
        <v>#NAME?</v>
      </c>
      <c r="N39" s="17" t="e">
        <f ca="1">_xll.ESQuote($L39,_xll.ESFldID(N$2))</f>
        <v>#NAME?</v>
      </c>
      <c r="O39" s="54" t="e">
        <f ca="1">_xll.ESQuote($L39,_xll.ESFldID(O$2))</f>
        <v>#NAME?</v>
      </c>
      <c r="P39" s="52" t="str">
        <f>IF(OR(ISBLANK(Q39), Q39=""),"", MAX(P$2:P38)+1)</f>
        <v/>
      </c>
      <c r="S39" s="16"/>
      <c r="T39" s="53" t="e">
        <f ca="1">_xll.ESHistD($Q39,_xll.ESFldID(T$2,"D"),"D",$S39)</f>
        <v>#NAME?</v>
      </c>
      <c r="U39" s="53" t="e">
        <f ca="1">_xll.ESHistD($Q39,_xll.ESFldID(U$2,"D"),"D",$S39)</f>
        <v>#NAME?</v>
      </c>
      <c r="V39" s="53" t="e">
        <f ca="1">_xll.ESHistD($Q39,_xll.ESFldID(V$2,"D"),"D",$S39)</f>
        <v>#NAME?</v>
      </c>
      <c r="W39" s="53" t="e">
        <f ca="1">_xll.ESHistD($Q39,_xll.ESFldID(W$2,"D"),"D",$S39)</f>
        <v>#NAME?</v>
      </c>
      <c r="X39" s="22" t="e">
        <f ca="1">_xll.ESHistD($Q39,_xll.ESFldID(X$2,"D"),"D",$S39)</f>
        <v>#NAME?</v>
      </c>
      <c r="Y39" s="55" t="str">
        <f t="shared" si="0"/>
        <v/>
      </c>
      <c r="Z39" s="53" t="e">
        <f ca="1">_xll.ESHistD($Q39,_xll.ESFldID(Z$2,"D"),"D",$AC$1)</f>
        <v>#NAME?</v>
      </c>
      <c r="AA39" s="53" t="e">
        <f ca="1">_xll.ESHistD($Q39,_xll.ESFldID(AA$2,"D"),"D",$AC$1)</f>
        <v>#NAME?</v>
      </c>
      <c r="AB39" s="53" t="e">
        <f ca="1">_xll.ESHistD($Q39,_xll.ESFldID(AB$2,"D"),"D",$AC$1)</f>
        <v>#NAME?</v>
      </c>
      <c r="AC39" s="53" t="e">
        <f ca="1">_xll.ESHistD($Q39,_xll.ESFldID(AC$2,"D"),"D",$AC$1)</f>
        <v>#NAME?</v>
      </c>
      <c r="AD39" s="22" t="e">
        <f ca="1">_xll.ESHistD($Q39,_xll.ESFldID(AD$2,"D"),"D",$AC$1)</f>
        <v>#NAME?</v>
      </c>
    </row>
    <row r="40" spans="1:30" x14ac:dyDescent="0.25">
      <c r="A40" s="52" t="str">
        <f>IF(OR(ISBLANK(B40), B40=""),"", MAX(A$2:A39)+1)</f>
        <v/>
      </c>
      <c r="B40" s="17" t="str">
        <f>IF(ISBLANK(Reporting!$B40), "", Reporting!$B40)</f>
        <v/>
      </c>
      <c r="C40" s="53" t="e">
        <f ca="1">_xll.ESQuote($B40,_xll.ESFldID(C$2))</f>
        <v>#NAME?</v>
      </c>
      <c r="D40" s="17" t="e">
        <f ca="1">_xll.ESQuote($B40,_xll.ESFldID(D$2))</f>
        <v>#NAME?</v>
      </c>
      <c r="E40" s="54" t="e">
        <f ca="1">_xll.ESQuote($B40,_xll.ESFldID(E$2))</f>
        <v>#NAME?</v>
      </c>
      <c r="F40" s="52" t="str">
        <f>IF(OR(ISBLANK(G40), G40=""),"", MAX(F$2:F39)+1)</f>
        <v/>
      </c>
      <c r="G40" s="17" t="str">
        <f>IF(ISBLANK(Existing!$B40), "", Existing!$B40)</f>
        <v/>
      </c>
      <c r="H40" s="53" t="e">
        <f ca="1">_xll.ESQuote($G40,_xll.ESFldID(H$2))</f>
        <v>#NAME?</v>
      </c>
      <c r="I40" s="17" t="e">
        <f ca="1">_xll.ESQuote($G40,_xll.ESFldID(I$2))</f>
        <v>#NAME?</v>
      </c>
      <c r="J40" s="54" t="e">
        <f ca="1">_xll.ESQuote($G40,_xll.ESFldID(J$2))</f>
        <v>#NAME?</v>
      </c>
      <c r="K40" s="52" t="str">
        <f>IF(OR(ISBLANK(L40), L40=""),"", MAX(K$2:K39)+1)</f>
        <v/>
      </c>
      <c r="L40" s="17" t="str">
        <f>IF(ISBLANK(Monitoring!$B40), "",Monitoring!$B40)</f>
        <v/>
      </c>
      <c r="M40" s="53" t="e">
        <f ca="1">_xll.ESQuote($L40,_xll.ESFldID(M$2))</f>
        <v>#NAME?</v>
      </c>
      <c r="N40" s="17" t="e">
        <f ca="1">_xll.ESQuote($L40,_xll.ESFldID(N$2))</f>
        <v>#NAME?</v>
      </c>
      <c r="O40" s="54" t="e">
        <f ca="1">_xll.ESQuote($L40,_xll.ESFldID(O$2))</f>
        <v>#NAME?</v>
      </c>
      <c r="P40" s="52" t="str">
        <f>IF(OR(ISBLANK(Q40), Q40=""),"", MAX(P$2:P39)+1)</f>
        <v/>
      </c>
      <c r="S40" s="16"/>
      <c r="T40" s="53" t="e">
        <f ca="1">_xll.ESHistD($Q40,_xll.ESFldID(T$2,"D"),"D",$S40)</f>
        <v>#NAME?</v>
      </c>
      <c r="U40" s="53" t="e">
        <f ca="1">_xll.ESHistD($Q40,_xll.ESFldID(U$2,"D"),"D",$S40)</f>
        <v>#NAME?</v>
      </c>
      <c r="V40" s="53" t="e">
        <f ca="1">_xll.ESHistD($Q40,_xll.ESFldID(V$2,"D"),"D",$S40)</f>
        <v>#NAME?</v>
      </c>
      <c r="W40" s="53" t="e">
        <f ca="1">_xll.ESHistD($Q40,_xll.ESFldID(W$2,"D"),"D",$S40)</f>
        <v>#NAME?</v>
      </c>
      <c r="X40" s="22" t="e">
        <f ca="1">_xll.ESHistD($Q40,_xll.ESFldID(X$2,"D"),"D",$S40)</f>
        <v>#NAME?</v>
      </c>
      <c r="Y40" s="55" t="str">
        <f t="shared" si="0"/>
        <v/>
      </c>
      <c r="Z40" s="53" t="e">
        <f ca="1">_xll.ESHistD($Q40,_xll.ESFldID(Z$2,"D"),"D",$AC$1)</f>
        <v>#NAME?</v>
      </c>
      <c r="AA40" s="53" t="e">
        <f ca="1">_xll.ESHistD($Q40,_xll.ESFldID(AA$2,"D"),"D",$AC$1)</f>
        <v>#NAME?</v>
      </c>
      <c r="AB40" s="53" t="e">
        <f ca="1">_xll.ESHistD($Q40,_xll.ESFldID(AB$2,"D"),"D",$AC$1)</f>
        <v>#NAME?</v>
      </c>
      <c r="AC40" s="53" t="e">
        <f ca="1">_xll.ESHistD($Q40,_xll.ESFldID(AC$2,"D"),"D",$AC$1)</f>
        <v>#NAME?</v>
      </c>
      <c r="AD40" s="22" t="e">
        <f ca="1">_xll.ESHistD($Q40,_xll.ESFldID(AD$2,"D"),"D",$AC$1)</f>
        <v>#NAME?</v>
      </c>
    </row>
    <row r="41" spans="1:30" x14ac:dyDescent="0.25">
      <c r="A41" s="52" t="str">
        <f>IF(OR(ISBLANK(B41), B41=""),"", MAX(A$2:A40)+1)</f>
        <v/>
      </c>
      <c r="B41" s="17" t="str">
        <f>IF(ISBLANK(Reporting!$B41), "", Reporting!$B41)</f>
        <v/>
      </c>
      <c r="C41" s="53" t="e">
        <f ca="1">_xll.ESQuote($B41,_xll.ESFldID(C$2))</f>
        <v>#NAME?</v>
      </c>
      <c r="D41" s="17" t="e">
        <f ca="1">_xll.ESQuote($B41,_xll.ESFldID(D$2))</f>
        <v>#NAME?</v>
      </c>
      <c r="E41" s="54" t="e">
        <f ca="1">_xll.ESQuote($B41,_xll.ESFldID(E$2))</f>
        <v>#NAME?</v>
      </c>
      <c r="F41" s="52" t="str">
        <f>IF(OR(ISBLANK(G41), G41=""),"", MAX(F$2:F40)+1)</f>
        <v/>
      </c>
      <c r="G41" s="17" t="str">
        <f>IF(ISBLANK(Existing!$B41), "", Existing!$B41)</f>
        <v/>
      </c>
      <c r="H41" s="53" t="e">
        <f ca="1">_xll.ESQuote($G41,_xll.ESFldID(H$2))</f>
        <v>#NAME?</v>
      </c>
      <c r="I41" s="17" t="e">
        <f ca="1">_xll.ESQuote($G41,_xll.ESFldID(I$2))</f>
        <v>#NAME?</v>
      </c>
      <c r="J41" s="54" t="e">
        <f ca="1">_xll.ESQuote($G41,_xll.ESFldID(J$2))</f>
        <v>#NAME?</v>
      </c>
      <c r="K41" s="52" t="str">
        <f>IF(OR(ISBLANK(L41), L41=""),"", MAX(K$2:K40)+1)</f>
        <v/>
      </c>
      <c r="L41" s="17" t="str">
        <f>IF(ISBLANK(Monitoring!$B41), "",Monitoring!$B41)</f>
        <v/>
      </c>
      <c r="M41" s="53" t="e">
        <f ca="1">_xll.ESQuote($L41,_xll.ESFldID(M$2))</f>
        <v>#NAME?</v>
      </c>
      <c r="N41" s="17" t="e">
        <f ca="1">_xll.ESQuote($L41,_xll.ESFldID(N$2))</f>
        <v>#NAME?</v>
      </c>
      <c r="O41" s="54" t="e">
        <f ca="1">_xll.ESQuote($L41,_xll.ESFldID(O$2))</f>
        <v>#NAME?</v>
      </c>
      <c r="P41" s="52" t="str">
        <f>IF(OR(ISBLANK(Q41), Q41=""),"", MAX(P$2:P40)+1)</f>
        <v/>
      </c>
      <c r="S41" s="16"/>
      <c r="T41" s="53" t="e">
        <f ca="1">_xll.ESHistD($Q41,_xll.ESFldID(T$2,"D"),"D",$S41)</f>
        <v>#NAME?</v>
      </c>
      <c r="U41" s="53" t="e">
        <f ca="1">_xll.ESHistD($Q41,_xll.ESFldID(U$2,"D"),"D",$S41)</f>
        <v>#NAME?</v>
      </c>
      <c r="V41" s="53" t="e">
        <f ca="1">_xll.ESHistD($Q41,_xll.ESFldID(V$2,"D"),"D",$S41)</f>
        <v>#NAME?</v>
      </c>
      <c r="W41" s="53" t="e">
        <f ca="1">_xll.ESHistD($Q41,_xll.ESFldID(W$2,"D"),"D",$S41)</f>
        <v>#NAME?</v>
      </c>
      <c r="X41" s="22" t="e">
        <f ca="1">_xll.ESHistD($Q41,_xll.ESFldID(X$2,"D"),"D",$S41)</f>
        <v>#NAME?</v>
      </c>
      <c r="Y41" s="55" t="str">
        <f t="shared" si="0"/>
        <v/>
      </c>
      <c r="Z41" s="53" t="e">
        <f ca="1">_xll.ESHistD($Q41,_xll.ESFldID(Z$2,"D"),"D",$AC$1)</f>
        <v>#NAME?</v>
      </c>
      <c r="AA41" s="53" t="e">
        <f ca="1">_xll.ESHistD($Q41,_xll.ESFldID(AA$2,"D"),"D",$AC$1)</f>
        <v>#NAME?</v>
      </c>
      <c r="AB41" s="53" t="e">
        <f ca="1">_xll.ESHistD($Q41,_xll.ESFldID(AB$2,"D"),"D",$AC$1)</f>
        <v>#NAME?</v>
      </c>
      <c r="AC41" s="53" t="e">
        <f ca="1">_xll.ESHistD($Q41,_xll.ESFldID(AC$2,"D"),"D",$AC$1)</f>
        <v>#NAME?</v>
      </c>
      <c r="AD41" s="22" t="e">
        <f ca="1">_xll.ESHistD($Q41,_xll.ESFldID(AD$2,"D"),"D",$AC$1)</f>
        <v>#NAME?</v>
      </c>
    </row>
    <row r="42" spans="1:30" x14ac:dyDescent="0.25">
      <c r="A42" s="52" t="str">
        <f>IF(OR(ISBLANK(B42), B42=""),"", MAX(A$2:A41)+1)</f>
        <v/>
      </c>
      <c r="B42" s="17" t="str">
        <f>IF(ISBLANK(Reporting!$B42), "", Reporting!$B42)</f>
        <v/>
      </c>
      <c r="C42" s="53" t="e">
        <f ca="1">_xll.ESQuote($B42,_xll.ESFldID(C$2))</f>
        <v>#NAME?</v>
      </c>
      <c r="D42" s="17" t="e">
        <f ca="1">_xll.ESQuote($B42,_xll.ESFldID(D$2))</f>
        <v>#NAME?</v>
      </c>
      <c r="E42" s="54" t="e">
        <f ca="1">_xll.ESQuote($B42,_xll.ESFldID(E$2))</f>
        <v>#NAME?</v>
      </c>
      <c r="F42" s="52" t="str">
        <f>IF(OR(ISBLANK(G42), G42=""),"", MAX(F$2:F41)+1)</f>
        <v/>
      </c>
      <c r="G42" s="17" t="str">
        <f>IF(ISBLANK(Existing!$B42), "", Existing!$B42)</f>
        <v/>
      </c>
      <c r="H42" s="53" t="e">
        <f ca="1">_xll.ESQuote($G42,_xll.ESFldID(H$2))</f>
        <v>#NAME?</v>
      </c>
      <c r="I42" s="17" t="e">
        <f ca="1">_xll.ESQuote($G42,_xll.ESFldID(I$2))</f>
        <v>#NAME?</v>
      </c>
      <c r="J42" s="54" t="e">
        <f ca="1">_xll.ESQuote($G42,_xll.ESFldID(J$2))</f>
        <v>#NAME?</v>
      </c>
      <c r="K42" s="52" t="str">
        <f>IF(OR(ISBLANK(L42), L42=""),"", MAX(K$2:K41)+1)</f>
        <v/>
      </c>
      <c r="L42" s="17" t="str">
        <f>IF(ISBLANK(Monitoring!$B42), "",Monitoring!$B42)</f>
        <v/>
      </c>
      <c r="M42" s="53" t="e">
        <f ca="1">_xll.ESQuote($L42,_xll.ESFldID(M$2))</f>
        <v>#NAME?</v>
      </c>
      <c r="N42" s="17" t="e">
        <f ca="1">_xll.ESQuote($L42,_xll.ESFldID(N$2))</f>
        <v>#NAME?</v>
      </c>
      <c r="O42" s="54" t="e">
        <f ca="1">_xll.ESQuote($L42,_xll.ESFldID(O$2))</f>
        <v>#NAME?</v>
      </c>
      <c r="P42" s="52" t="str">
        <f>IF(OR(ISBLANK(Q42), Q42=""),"", MAX(P$2:P41)+1)</f>
        <v/>
      </c>
      <c r="S42" s="16"/>
      <c r="T42" s="53" t="e">
        <f ca="1">_xll.ESHistD($Q42,_xll.ESFldID(T$2,"D"),"D",$S42)</f>
        <v>#NAME?</v>
      </c>
      <c r="U42" s="53" t="e">
        <f ca="1">_xll.ESHistD($Q42,_xll.ESFldID(U$2,"D"),"D",$S42)</f>
        <v>#NAME?</v>
      </c>
      <c r="V42" s="53" t="e">
        <f ca="1">_xll.ESHistD($Q42,_xll.ESFldID(V$2,"D"),"D",$S42)</f>
        <v>#NAME?</v>
      </c>
      <c r="W42" s="53" t="e">
        <f ca="1">_xll.ESHistD($Q42,_xll.ESFldID(W$2,"D"),"D",$S42)</f>
        <v>#NAME?</v>
      </c>
      <c r="X42" s="22" t="e">
        <f ca="1">_xll.ESHistD($Q42,_xll.ESFldID(X$2,"D"),"D",$S42)</f>
        <v>#NAME?</v>
      </c>
      <c r="Y42" s="55" t="str">
        <f t="shared" si="0"/>
        <v/>
      </c>
      <c r="Z42" s="53" t="e">
        <f ca="1">_xll.ESHistD($Q42,_xll.ESFldID(Z$2,"D"),"D",$AC$1)</f>
        <v>#NAME?</v>
      </c>
      <c r="AA42" s="53" t="e">
        <f ca="1">_xll.ESHistD($Q42,_xll.ESFldID(AA$2,"D"),"D",$AC$1)</f>
        <v>#NAME?</v>
      </c>
      <c r="AB42" s="53" t="e">
        <f ca="1">_xll.ESHistD($Q42,_xll.ESFldID(AB$2,"D"),"D",$AC$1)</f>
        <v>#NAME?</v>
      </c>
      <c r="AC42" s="53" t="e">
        <f ca="1">_xll.ESHistD($Q42,_xll.ESFldID(AC$2,"D"),"D",$AC$1)</f>
        <v>#NAME?</v>
      </c>
      <c r="AD42" s="22" t="e">
        <f ca="1">_xll.ESHistD($Q42,_xll.ESFldID(AD$2,"D"),"D",$AC$1)</f>
        <v>#NAME?</v>
      </c>
    </row>
    <row r="43" spans="1:30" x14ac:dyDescent="0.25">
      <c r="A43" s="52" t="str">
        <f>IF(OR(ISBLANK(B43), B43=""),"", MAX(A$2:A42)+1)</f>
        <v/>
      </c>
      <c r="B43" s="17" t="str">
        <f>IF(ISBLANK(Reporting!$B43), "", Reporting!$B43)</f>
        <v/>
      </c>
      <c r="C43" s="53" t="e">
        <f ca="1">_xll.ESQuote($B43,_xll.ESFldID(C$2))</f>
        <v>#NAME?</v>
      </c>
      <c r="D43" s="17" t="e">
        <f ca="1">_xll.ESQuote($B43,_xll.ESFldID(D$2))</f>
        <v>#NAME?</v>
      </c>
      <c r="E43" s="54" t="e">
        <f ca="1">_xll.ESQuote($B43,_xll.ESFldID(E$2))</f>
        <v>#NAME?</v>
      </c>
      <c r="F43" s="52" t="str">
        <f>IF(OR(ISBLANK(G43), G43=""),"", MAX(F$2:F42)+1)</f>
        <v/>
      </c>
      <c r="G43" s="17" t="str">
        <f>IF(ISBLANK(Existing!$B43), "", Existing!$B43)</f>
        <v/>
      </c>
      <c r="H43" s="53" t="e">
        <f ca="1">_xll.ESQuote($G43,_xll.ESFldID(H$2))</f>
        <v>#NAME?</v>
      </c>
      <c r="I43" s="17" t="e">
        <f ca="1">_xll.ESQuote($G43,_xll.ESFldID(I$2))</f>
        <v>#NAME?</v>
      </c>
      <c r="J43" s="54" t="e">
        <f ca="1">_xll.ESQuote($G43,_xll.ESFldID(J$2))</f>
        <v>#NAME?</v>
      </c>
      <c r="K43" s="52" t="str">
        <f>IF(OR(ISBLANK(L43), L43=""),"", MAX(K$2:K42)+1)</f>
        <v/>
      </c>
      <c r="L43" s="17" t="str">
        <f>IF(ISBLANK(Monitoring!$B43), "",Monitoring!$B43)</f>
        <v/>
      </c>
      <c r="M43" s="53" t="e">
        <f ca="1">_xll.ESQuote($L43,_xll.ESFldID(M$2))</f>
        <v>#NAME?</v>
      </c>
      <c r="N43" s="17" t="e">
        <f ca="1">_xll.ESQuote($L43,_xll.ESFldID(N$2))</f>
        <v>#NAME?</v>
      </c>
      <c r="O43" s="54" t="e">
        <f ca="1">_xll.ESQuote($L43,_xll.ESFldID(O$2))</f>
        <v>#NAME?</v>
      </c>
      <c r="P43" s="52" t="str">
        <f>IF(OR(ISBLANK(Q43), Q43=""),"", MAX(P$2:P42)+1)</f>
        <v/>
      </c>
      <c r="S43" s="16"/>
      <c r="T43" s="53" t="e">
        <f ca="1">_xll.ESHistD($Q43,_xll.ESFldID(T$2,"D"),"D",$S43)</f>
        <v>#NAME?</v>
      </c>
      <c r="U43" s="53" t="e">
        <f ca="1">_xll.ESHistD($Q43,_xll.ESFldID(U$2,"D"),"D",$S43)</f>
        <v>#NAME?</v>
      </c>
      <c r="V43" s="53" t="e">
        <f ca="1">_xll.ESHistD($Q43,_xll.ESFldID(V$2,"D"),"D",$S43)</f>
        <v>#NAME?</v>
      </c>
      <c r="W43" s="53" t="e">
        <f ca="1">_xll.ESHistD($Q43,_xll.ESFldID(W$2,"D"),"D",$S43)</f>
        <v>#NAME?</v>
      </c>
      <c r="X43" s="22" t="e">
        <f ca="1">_xll.ESHistD($Q43,_xll.ESFldID(X$2,"D"),"D",$S43)</f>
        <v>#NAME?</v>
      </c>
      <c r="Y43" s="55" t="str">
        <f t="shared" si="0"/>
        <v/>
      </c>
      <c r="Z43" s="53" t="e">
        <f ca="1">_xll.ESHistD($Q43,_xll.ESFldID(Z$2,"D"),"D",$AC$1)</f>
        <v>#NAME?</v>
      </c>
      <c r="AA43" s="53" t="e">
        <f ca="1">_xll.ESHistD($Q43,_xll.ESFldID(AA$2,"D"),"D",$AC$1)</f>
        <v>#NAME?</v>
      </c>
      <c r="AB43" s="53" t="e">
        <f ca="1">_xll.ESHistD($Q43,_xll.ESFldID(AB$2,"D"),"D",$AC$1)</f>
        <v>#NAME?</v>
      </c>
      <c r="AC43" s="53" t="e">
        <f ca="1">_xll.ESHistD($Q43,_xll.ESFldID(AC$2,"D"),"D",$AC$1)</f>
        <v>#NAME?</v>
      </c>
      <c r="AD43" s="22" t="e">
        <f ca="1">_xll.ESHistD($Q43,_xll.ESFldID(AD$2,"D"),"D",$AC$1)</f>
        <v>#NAME?</v>
      </c>
    </row>
    <row r="44" spans="1:30" x14ac:dyDescent="0.25">
      <c r="A44" s="52" t="str">
        <f>IF(OR(ISBLANK(B44), B44=""),"", MAX(A$2:A43)+1)</f>
        <v/>
      </c>
      <c r="B44" s="17" t="str">
        <f>IF(ISBLANK(Reporting!$B44), "", Reporting!$B44)</f>
        <v/>
      </c>
      <c r="C44" s="53" t="e">
        <f ca="1">_xll.ESQuote($B44,_xll.ESFldID(C$2))</f>
        <v>#NAME?</v>
      </c>
      <c r="D44" s="17" t="e">
        <f ca="1">_xll.ESQuote($B44,_xll.ESFldID(D$2))</f>
        <v>#NAME?</v>
      </c>
      <c r="E44" s="54" t="e">
        <f ca="1">_xll.ESQuote($B44,_xll.ESFldID(E$2))</f>
        <v>#NAME?</v>
      </c>
      <c r="F44" s="52" t="str">
        <f>IF(OR(ISBLANK(G44), G44=""),"", MAX(F$2:F43)+1)</f>
        <v/>
      </c>
      <c r="G44" s="17" t="str">
        <f>IF(ISBLANK(Existing!$B44), "", Existing!$B44)</f>
        <v/>
      </c>
      <c r="H44" s="53" t="e">
        <f ca="1">_xll.ESQuote($G44,_xll.ESFldID(H$2))</f>
        <v>#NAME?</v>
      </c>
      <c r="I44" s="17" t="e">
        <f ca="1">_xll.ESQuote($G44,_xll.ESFldID(I$2))</f>
        <v>#NAME?</v>
      </c>
      <c r="J44" s="54" t="e">
        <f ca="1">_xll.ESQuote($G44,_xll.ESFldID(J$2))</f>
        <v>#NAME?</v>
      </c>
      <c r="K44" s="52" t="str">
        <f>IF(OR(ISBLANK(L44), L44=""),"", MAX(K$2:K43)+1)</f>
        <v/>
      </c>
      <c r="L44" s="17" t="str">
        <f>IF(ISBLANK(Monitoring!$B44), "",Monitoring!$B44)</f>
        <v/>
      </c>
      <c r="M44" s="53" t="e">
        <f ca="1">_xll.ESQuote($L44,_xll.ESFldID(M$2))</f>
        <v>#NAME?</v>
      </c>
      <c r="N44" s="17" t="e">
        <f ca="1">_xll.ESQuote($L44,_xll.ESFldID(N$2))</f>
        <v>#NAME?</v>
      </c>
      <c r="O44" s="54" t="e">
        <f ca="1">_xll.ESQuote($L44,_xll.ESFldID(O$2))</f>
        <v>#NAME?</v>
      </c>
      <c r="P44" s="52" t="str">
        <f>IF(OR(ISBLANK(Q44), Q44=""),"", MAX(P$2:P43)+1)</f>
        <v/>
      </c>
      <c r="S44" s="16"/>
      <c r="T44" s="53" t="e">
        <f ca="1">_xll.ESHistD($Q44,_xll.ESFldID(T$2,"D"),"D",$S44)</f>
        <v>#NAME?</v>
      </c>
      <c r="U44" s="53" t="e">
        <f ca="1">_xll.ESHistD($Q44,_xll.ESFldID(U$2,"D"),"D",$S44)</f>
        <v>#NAME?</v>
      </c>
      <c r="V44" s="53" t="e">
        <f ca="1">_xll.ESHistD($Q44,_xll.ESFldID(V$2,"D"),"D",$S44)</f>
        <v>#NAME?</v>
      </c>
      <c r="W44" s="53" t="e">
        <f ca="1">_xll.ESHistD($Q44,_xll.ESFldID(W$2,"D"),"D",$S44)</f>
        <v>#NAME?</v>
      </c>
      <c r="X44" s="22" t="e">
        <f ca="1">_xll.ESHistD($Q44,_xll.ESFldID(X$2,"D"),"D",$S44)</f>
        <v>#NAME?</v>
      </c>
      <c r="Y44" s="55" t="str">
        <f t="shared" si="0"/>
        <v/>
      </c>
      <c r="Z44" s="53" t="e">
        <f ca="1">_xll.ESHistD($Q44,_xll.ESFldID(Z$2,"D"),"D",$AC$1)</f>
        <v>#NAME?</v>
      </c>
      <c r="AA44" s="53" t="e">
        <f ca="1">_xll.ESHistD($Q44,_xll.ESFldID(AA$2,"D"),"D",$AC$1)</f>
        <v>#NAME?</v>
      </c>
      <c r="AB44" s="53" t="e">
        <f ca="1">_xll.ESHistD($Q44,_xll.ESFldID(AB$2,"D"),"D",$AC$1)</f>
        <v>#NAME?</v>
      </c>
      <c r="AC44" s="53" t="e">
        <f ca="1">_xll.ESHistD($Q44,_xll.ESFldID(AC$2,"D"),"D",$AC$1)</f>
        <v>#NAME?</v>
      </c>
      <c r="AD44" s="22" t="e">
        <f ca="1">_xll.ESHistD($Q44,_xll.ESFldID(AD$2,"D"),"D",$AC$1)</f>
        <v>#NAME?</v>
      </c>
    </row>
    <row r="45" spans="1:30" x14ac:dyDescent="0.25">
      <c r="A45" s="52" t="str">
        <f>IF(OR(ISBLANK(B45), B45=""),"", MAX(A$2:A44)+1)</f>
        <v/>
      </c>
      <c r="B45" s="17" t="str">
        <f>IF(ISBLANK(Reporting!$B45), "", Reporting!$B45)</f>
        <v/>
      </c>
      <c r="C45" s="53" t="e">
        <f ca="1">_xll.ESQuote($B45,_xll.ESFldID(C$2))</f>
        <v>#NAME?</v>
      </c>
      <c r="D45" s="17" t="e">
        <f ca="1">_xll.ESQuote($B45,_xll.ESFldID(D$2))</f>
        <v>#NAME?</v>
      </c>
      <c r="E45" s="54" t="e">
        <f ca="1">_xll.ESQuote($B45,_xll.ESFldID(E$2))</f>
        <v>#NAME?</v>
      </c>
      <c r="F45" s="52" t="str">
        <f>IF(OR(ISBLANK(G45), G45=""),"", MAX(F$2:F44)+1)</f>
        <v/>
      </c>
      <c r="G45" s="17" t="str">
        <f>IF(ISBLANK(Existing!$B45), "", Existing!$B45)</f>
        <v/>
      </c>
      <c r="H45" s="53" t="e">
        <f ca="1">_xll.ESQuote($G45,_xll.ESFldID(H$2))</f>
        <v>#NAME?</v>
      </c>
      <c r="I45" s="17" t="e">
        <f ca="1">_xll.ESQuote($G45,_xll.ESFldID(I$2))</f>
        <v>#NAME?</v>
      </c>
      <c r="J45" s="54" t="e">
        <f ca="1">_xll.ESQuote($G45,_xll.ESFldID(J$2))</f>
        <v>#NAME?</v>
      </c>
      <c r="K45" s="52" t="str">
        <f>IF(OR(ISBLANK(L45), L45=""),"", MAX(K$2:K44)+1)</f>
        <v/>
      </c>
      <c r="L45" s="17" t="str">
        <f>IF(ISBLANK(Monitoring!$B45), "",Monitoring!$B45)</f>
        <v/>
      </c>
      <c r="M45" s="53" t="e">
        <f ca="1">_xll.ESQuote($L45,_xll.ESFldID(M$2))</f>
        <v>#NAME?</v>
      </c>
      <c r="N45" s="17" t="e">
        <f ca="1">_xll.ESQuote($L45,_xll.ESFldID(N$2))</f>
        <v>#NAME?</v>
      </c>
      <c r="O45" s="54" t="e">
        <f ca="1">_xll.ESQuote($L45,_xll.ESFldID(O$2))</f>
        <v>#NAME?</v>
      </c>
      <c r="P45" s="52" t="str">
        <f>IF(OR(ISBLANK(Q45), Q45=""),"", MAX(P$2:P44)+1)</f>
        <v/>
      </c>
      <c r="S45" s="16"/>
      <c r="T45" s="53" t="e">
        <f ca="1">_xll.ESHistD($Q45,_xll.ESFldID(T$2,"D"),"D",$S45)</f>
        <v>#NAME?</v>
      </c>
      <c r="U45" s="53" t="e">
        <f ca="1">_xll.ESHistD($Q45,_xll.ESFldID(U$2,"D"),"D",$S45)</f>
        <v>#NAME?</v>
      </c>
      <c r="V45" s="53" t="e">
        <f ca="1">_xll.ESHistD($Q45,_xll.ESFldID(V$2,"D"),"D",$S45)</f>
        <v>#NAME?</v>
      </c>
      <c r="W45" s="53" t="e">
        <f ca="1">_xll.ESHistD($Q45,_xll.ESFldID(W$2,"D"),"D",$S45)</f>
        <v>#NAME?</v>
      </c>
      <c r="X45" s="22" t="e">
        <f ca="1">_xll.ESHistD($Q45,_xll.ESFldID(X$2,"D"),"D",$S45)</f>
        <v>#NAME?</v>
      </c>
      <c r="Y45" s="55" t="str">
        <f t="shared" si="0"/>
        <v/>
      </c>
      <c r="Z45" s="53" t="e">
        <f ca="1">_xll.ESHistD($Q45,_xll.ESFldID(Z$2,"D"),"D",$AC$1)</f>
        <v>#NAME?</v>
      </c>
      <c r="AA45" s="53" t="e">
        <f ca="1">_xll.ESHistD($Q45,_xll.ESFldID(AA$2,"D"),"D",$AC$1)</f>
        <v>#NAME?</v>
      </c>
      <c r="AB45" s="53" t="e">
        <f ca="1">_xll.ESHistD($Q45,_xll.ESFldID(AB$2,"D"),"D",$AC$1)</f>
        <v>#NAME?</v>
      </c>
      <c r="AC45" s="53" t="e">
        <f ca="1">_xll.ESHistD($Q45,_xll.ESFldID(AC$2,"D"),"D",$AC$1)</f>
        <v>#NAME?</v>
      </c>
      <c r="AD45" s="22" t="e">
        <f ca="1">_xll.ESHistD($Q45,_xll.ESFldID(AD$2,"D"),"D",$AC$1)</f>
        <v>#NAME?</v>
      </c>
    </row>
    <row r="46" spans="1:30" x14ac:dyDescent="0.25">
      <c r="A46" s="52" t="str">
        <f>IF(OR(ISBLANK(B46), B46=""),"", MAX(A$2:A45)+1)</f>
        <v/>
      </c>
      <c r="B46" s="17" t="str">
        <f>IF(ISBLANK(Reporting!$B46), "", Reporting!$B46)</f>
        <v/>
      </c>
      <c r="C46" s="53" t="e">
        <f ca="1">_xll.ESQuote($B46,_xll.ESFldID(C$2))</f>
        <v>#NAME?</v>
      </c>
      <c r="D46" s="17" t="e">
        <f ca="1">_xll.ESQuote($B46,_xll.ESFldID(D$2))</f>
        <v>#NAME?</v>
      </c>
      <c r="E46" s="54" t="e">
        <f ca="1">_xll.ESQuote($B46,_xll.ESFldID(E$2))</f>
        <v>#NAME?</v>
      </c>
      <c r="F46" s="52" t="str">
        <f>IF(OR(ISBLANK(G46), G46=""),"", MAX(F$2:F45)+1)</f>
        <v/>
      </c>
      <c r="G46" s="17" t="str">
        <f>IF(ISBLANK(Existing!$B46), "", Existing!$B46)</f>
        <v/>
      </c>
      <c r="H46" s="53" t="e">
        <f ca="1">_xll.ESQuote($G46,_xll.ESFldID(H$2))</f>
        <v>#NAME?</v>
      </c>
      <c r="I46" s="17" t="e">
        <f ca="1">_xll.ESQuote($G46,_xll.ESFldID(I$2))</f>
        <v>#NAME?</v>
      </c>
      <c r="J46" s="54" t="e">
        <f ca="1">_xll.ESQuote($G46,_xll.ESFldID(J$2))</f>
        <v>#NAME?</v>
      </c>
      <c r="K46" s="52" t="str">
        <f>IF(OR(ISBLANK(L46), L46=""),"", MAX(K$2:K45)+1)</f>
        <v/>
      </c>
      <c r="L46" s="17" t="str">
        <f>IF(ISBLANK(Monitoring!$B46), "",Monitoring!$B46)</f>
        <v/>
      </c>
      <c r="M46" s="53" t="e">
        <f ca="1">_xll.ESQuote($L46,_xll.ESFldID(M$2))</f>
        <v>#NAME?</v>
      </c>
      <c r="N46" s="17" t="e">
        <f ca="1">_xll.ESQuote($L46,_xll.ESFldID(N$2))</f>
        <v>#NAME?</v>
      </c>
      <c r="O46" s="54" t="e">
        <f ca="1">_xll.ESQuote($L46,_xll.ESFldID(O$2))</f>
        <v>#NAME?</v>
      </c>
      <c r="P46" s="52" t="str">
        <f>IF(OR(ISBLANK(Q46), Q46=""),"", MAX(P$2:P45)+1)</f>
        <v/>
      </c>
      <c r="S46" s="16"/>
      <c r="T46" s="53" t="e">
        <f ca="1">_xll.ESHistD($Q46,_xll.ESFldID(T$2,"D"),"D",$S46)</f>
        <v>#NAME?</v>
      </c>
      <c r="U46" s="53" t="e">
        <f ca="1">_xll.ESHistD($Q46,_xll.ESFldID(U$2,"D"),"D",$S46)</f>
        <v>#NAME?</v>
      </c>
      <c r="V46" s="53" t="e">
        <f ca="1">_xll.ESHistD($Q46,_xll.ESFldID(V$2,"D"),"D",$S46)</f>
        <v>#NAME?</v>
      </c>
      <c r="W46" s="53" t="e">
        <f ca="1">_xll.ESHistD($Q46,_xll.ESFldID(W$2,"D"),"D",$S46)</f>
        <v>#NAME?</v>
      </c>
      <c r="X46" s="22" t="e">
        <f ca="1">_xll.ESHistD($Q46,_xll.ESFldID(X$2,"D"),"D",$S46)</f>
        <v>#NAME?</v>
      </c>
      <c r="Y46" s="55" t="str">
        <f t="shared" si="0"/>
        <v/>
      </c>
      <c r="Z46" s="53" t="e">
        <f ca="1">_xll.ESHistD($Q46,_xll.ESFldID(Z$2,"D"),"D",$AC$1)</f>
        <v>#NAME?</v>
      </c>
      <c r="AA46" s="53" t="e">
        <f ca="1">_xll.ESHistD($Q46,_xll.ESFldID(AA$2,"D"),"D",$AC$1)</f>
        <v>#NAME?</v>
      </c>
      <c r="AB46" s="53" t="e">
        <f ca="1">_xll.ESHistD($Q46,_xll.ESFldID(AB$2,"D"),"D",$AC$1)</f>
        <v>#NAME?</v>
      </c>
      <c r="AC46" s="53" t="e">
        <f ca="1">_xll.ESHistD($Q46,_xll.ESFldID(AC$2,"D"),"D",$AC$1)</f>
        <v>#NAME?</v>
      </c>
      <c r="AD46" s="22" t="e">
        <f ca="1">_xll.ESHistD($Q46,_xll.ESFldID(AD$2,"D"),"D",$AC$1)</f>
        <v>#NAME?</v>
      </c>
    </row>
    <row r="47" spans="1:30" x14ac:dyDescent="0.25">
      <c r="A47" s="52" t="str">
        <f>IF(OR(ISBLANK(B47), B47=""),"", MAX(A$2:A46)+1)</f>
        <v/>
      </c>
      <c r="B47" s="17" t="str">
        <f>IF(ISBLANK(Reporting!$B47), "", Reporting!$B47)</f>
        <v/>
      </c>
      <c r="C47" s="53" t="e">
        <f ca="1">_xll.ESQuote($B47,_xll.ESFldID(C$2))</f>
        <v>#NAME?</v>
      </c>
      <c r="D47" s="17" t="e">
        <f ca="1">_xll.ESQuote($B47,_xll.ESFldID(D$2))</f>
        <v>#NAME?</v>
      </c>
      <c r="E47" s="54" t="e">
        <f ca="1">_xll.ESQuote($B47,_xll.ESFldID(E$2))</f>
        <v>#NAME?</v>
      </c>
      <c r="F47" s="52" t="str">
        <f>IF(OR(ISBLANK(G47), G47=""),"", MAX(F$2:F46)+1)</f>
        <v/>
      </c>
      <c r="G47" s="17" t="str">
        <f>IF(ISBLANK(Existing!$B47), "", Existing!$B47)</f>
        <v/>
      </c>
      <c r="H47" s="53" t="e">
        <f ca="1">_xll.ESQuote($G47,_xll.ESFldID(H$2))</f>
        <v>#NAME?</v>
      </c>
      <c r="I47" s="17" t="e">
        <f ca="1">_xll.ESQuote($G47,_xll.ESFldID(I$2))</f>
        <v>#NAME?</v>
      </c>
      <c r="J47" s="54" t="e">
        <f ca="1">_xll.ESQuote($G47,_xll.ESFldID(J$2))</f>
        <v>#NAME?</v>
      </c>
      <c r="K47" s="52" t="str">
        <f>IF(OR(ISBLANK(L47), L47=""),"", MAX(K$2:K46)+1)</f>
        <v/>
      </c>
      <c r="L47" s="17" t="str">
        <f>IF(ISBLANK(Monitoring!$B47), "",Monitoring!$B47)</f>
        <v/>
      </c>
      <c r="M47" s="53" t="e">
        <f ca="1">_xll.ESQuote($L47,_xll.ESFldID(M$2))</f>
        <v>#NAME?</v>
      </c>
      <c r="N47" s="17" t="e">
        <f ca="1">_xll.ESQuote($L47,_xll.ESFldID(N$2))</f>
        <v>#NAME?</v>
      </c>
      <c r="O47" s="54" t="e">
        <f ca="1">_xll.ESQuote($L47,_xll.ESFldID(O$2))</f>
        <v>#NAME?</v>
      </c>
      <c r="P47" s="52" t="str">
        <f>IF(OR(ISBLANK(Q47), Q47=""),"", MAX(P$2:P46)+1)</f>
        <v/>
      </c>
      <c r="S47" s="16"/>
      <c r="T47" s="53" t="e">
        <f ca="1">_xll.ESHistD($Q47,_xll.ESFldID(T$2,"D"),"D",$S47)</f>
        <v>#NAME?</v>
      </c>
      <c r="U47" s="53" t="e">
        <f ca="1">_xll.ESHistD($Q47,_xll.ESFldID(U$2,"D"),"D",$S47)</f>
        <v>#NAME?</v>
      </c>
      <c r="V47" s="53" t="e">
        <f ca="1">_xll.ESHistD($Q47,_xll.ESFldID(V$2,"D"),"D",$S47)</f>
        <v>#NAME?</v>
      </c>
      <c r="W47" s="53" t="e">
        <f ca="1">_xll.ESHistD($Q47,_xll.ESFldID(W$2,"D"),"D",$S47)</f>
        <v>#NAME?</v>
      </c>
      <c r="X47" s="22" t="e">
        <f ca="1">_xll.ESHistD($Q47,_xll.ESFldID(X$2,"D"),"D",$S47)</f>
        <v>#NAME?</v>
      </c>
      <c r="Y47" s="55" t="str">
        <f t="shared" si="0"/>
        <v/>
      </c>
      <c r="Z47" s="53" t="e">
        <f ca="1">_xll.ESHistD($Q47,_xll.ESFldID(Z$2,"D"),"D",$AC$1)</f>
        <v>#NAME?</v>
      </c>
      <c r="AA47" s="53" t="e">
        <f ca="1">_xll.ESHistD($Q47,_xll.ESFldID(AA$2,"D"),"D",$AC$1)</f>
        <v>#NAME?</v>
      </c>
      <c r="AB47" s="53" t="e">
        <f ca="1">_xll.ESHistD($Q47,_xll.ESFldID(AB$2,"D"),"D",$AC$1)</f>
        <v>#NAME?</v>
      </c>
      <c r="AC47" s="53" t="e">
        <f ca="1">_xll.ESHistD($Q47,_xll.ESFldID(AC$2,"D"),"D",$AC$1)</f>
        <v>#NAME?</v>
      </c>
      <c r="AD47" s="22" t="e">
        <f ca="1">_xll.ESHistD($Q47,_xll.ESFldID(AD$2,"D"),"D",$AC$1)</f>
        <v>#NAME?</v>
      </c>
    </row>
    <row r="48" spans="1:30" x14ac:dyDescent="0.25">
      <c r="A48" s="52" t="str">
        <f>IF(OR(ISBLANK(B48), B48=""),"", MAX(A$2:A47)+1)</f>
        <v/>
      </c>
      <c r="B48" s="17" t="str">
        <f>IF(ISBLANK(Reporting!$B48), "", Reporting!$B48)</f>
        <v/>
      </c>
      <c r="C48" s="53" t="e">
        <f ca="1">_xll.ESQuote($B48,_xll.ESFldID(C$2))</f>
        <v>#NAME?</v>
      </c>
      <c r="D48" s="17" t="e">
        <f ca="1">_xll.ESQuote($B48,_xll.ESFldID(D$2))</f>
        <v>#NAME?</v>
      </c>
      <c r="E48" s="54" t="e">
        <f ca="1">_xll.ESQuote($B48,_xll.ESFldID(E$2))</f>
        <v>#NAME?</v>
      </c>
      <c r="F48" s="52" t="str">
        <f>IF(OR(ISBLANK(G48), G48=""),"", MAX(F$2:F47)+1)</f>
        <v/>
      </c>
      <c r="G48" s="17" t="str">
        <f>IF(ISBLANK(Existing!$B48), "", Existing!$B48)</f>
        <v/>
      </c>
      <c r="H48" s="53" t="e">
        <f ca="1">_xll.ESQuote($G48,_xll.ESFldID(H$2))</f>
        <v>#NAME?</v>
      </c>
      <c r="I48" s="17" t="e">
        <f ca="1">_xll.ESQuote($G48,_xll.ESFldID(I$2))</f>
        <v>#NAME?</v>
      </c>
      <c r="J48" s="54" t="e">
        <f ca="1">_xll.ESQuote($G48,_xll.ESFldID(J$2))</f>
        <v>#NAME?</v>
      </c>
      <c r="K48" s="52" t="str">
        <f>IF(OR(ISBLANK(L48), L48=""),"", MAX(K$2:K47)+1)</f>
        <v/>
      </c>
      <c r="L48" s="17" t="str">
        <f>IF(ISBLANK(Monitoring!$B48), "",Monitoring!$B48)</f>
        <v/>
      </c>
      <c r="M48" s="53" t="e">
        <f ca="1">_xll.ESQuote($L48,_xll.ESFldID(M$2))</f>
        <v>#NAME?</v>
      </c>
      <c r="N48" s="17" t="e">
        <f ca="1">_xll.ESQuote($L48,_xll.ESFldID(N$2))</f>
        <v>#NAME?</v>
      </c>
      <c r="O48" s="54" t="e">
        <f ca="1">_xll.ESQuote($L48,_xll.ESFldID(O$2))</f>
        <v>#NAME?</v>
      </c>
      <c r="P48" s="52" t="str">
        <f>IF(OR(ISBLANK(Q48), Q48=""),"", MAX(P$2:P47)+1)</f>
        <v/>
      </c>
      <c r="S48" s="16"/>
      <c r="T48" s="53" t="e">
        <f ca="1">_xll.ESHistD($Q48,_xll.ESFldID(T$2,"D"),"D",$S48)</f>
        <v>#NAME?</v>
      </c>
      <c r="U48" s="53" t="e">
        <f ca="1">_xll.ESHistD($Q48,_xll.ESFldID(U$2,"D"),"D",$S48)</f>
        <v>#NAME?</v>
      </c>
      <c r="V48" s="53" t="e">
        <f ca="1">_xll.ESHistD($Q48,_xll.ESFldID(V$2,"D"),"D",$S48)</f>
        <v>#NAME?</v>
      </c>
      <c r="W48" s="53" t="e">
        <f ca="1">_xll.ESHistD($Q48,_xll.ESFldID(W$2,"D"),"D",$S48)</f>
        <v>#NAME?</v>
      </c>
      <c r="X48" s="22" t="e">
        <f ca="1">_xll.ESHistD($Q48,_xll.ESFldID(X$2,"D"),"D",$S48)</f>
        <v>#NAME?</v>
      </c>
      <c r="Y48" s="55" t="str">
        <f t="shared" si="0"/>
        <v/>
      </c>
      <c r="Z48" s="53" t="e">
        <f ca="1">_xll.ESHistD($Q48,_xll.ESFldID(Z$2,"D"),"D",$AC$1)</f>
        <v>#NAME?</v>
      </c>
      <c r="AA48" s="53" t="e">
        <f ca="1">_xll.ESHistD($Q48,_xll.ESFldID(AA$2,"D"),"D",$AC$1)</f>
        <v>#NAME?</v>
      </c>
      <c r="AB48" s="53" t="e">
        <f ca="1">_xll.ESHistD($Q48,_xll.ESFldID(AB$2,"D"),"D",$AC$1)</f>
        <v>#NAME?</v>
      </c>
      <c r="AC48" s="53" t="e">
        <f ca="1">_xll.ESHistD($Q48,_xll.ESFldID(AC$2,"D"),"D",$AC$1)</f>
        <v>#NAME?</v>
      </c>
      <c r="AD48" s="22" t="e">
        <f ca="1">_xll.ESHistD($Q48,_xll.ESFldID(AD$2,"D"),"D",$AC$1)</f>
        <v>#NAME?</v>
      </c>
    </row>
    <row r="49" spans="1:30" x14ac:dyDescent="0.25">
      <c r="A49" s="52" t="str">
        <f>IF(OR(ISBLANK(B49), B49=""),"", MAX(A$2:A48)+1)</f>
        <v/>
      </c>
      <c r="B49" s="17" t="str">
        <f>IF(ISBLANK(Reporting!$B49), "", Reporting!$B49)</f>
        <v/>
      </c>
      <c r="C49" s="53" t="e">
        <f ca="1">_xll.ESQuote($B49,_xll.ESFldID(C$2))</f>
        <v>#NAME?</v>
      </c>
      <c r="D49" s="17" t="e">
        <f ca="1">_xll.ESQuote($B49,_xll.ESFldID(D$2))</f>
        <v>#NAME?</v>
      </c>
      <c r="E49" s="54" t="e">
        <f ca="1">_xll.ESQuote($B49,_xll.ESFldID(E$2))</f>
        <v>#NAME?</v>
      </c>
      <c r="F49" s="52" t="str">
        <f>IF(OR(ISBLANK(G49), G49=""),"", MAX(F$2:F48)+1)</f>
        <v/>
      </c>
      <c r="G49" s="17" t="str">
        <f>IF(ISBLANK(Existing!$B49), "", Existing!$B49)</f>
        <v/>
      </c>
      <c r="H49" s="53" t="e">
        <f ca="1">_xll.ESQuote($G49,_xll.ESFldID(H$2))</f>
        <v>#NAME?</v>
      </c>
      <c r="I49" s="17" t="e">
        <f ca="1">_xll.ESQuote($G49,_xll.ESFldID(I$2))</f>
        <v>#NAME?</v>
      </c>
      <c r="J49" s="54" t="e">
        <f ca="1">_xll.ESQuote($G49,_xll.ESFldID(J$2))</f>
        <v>#NAME?</v>
      </c>
      <c r="K49" s="52" t="str">
        <f>IF(OR(ISBLANK(L49), L49=""),"", MAX(K$2:K48)+1)</f>
        <v/>
      </c>
      <c r="L49" s="17" t="str">
        <f>IF(ISBLANK(Monitoring!$B49), "",Monitoring!$B49)</f>
        <v/>
      </c>
      <c r="M49" s="53" t="e">
        <f ca="1">_xll.ESQuote($L49,_xll.ESFldID(M$2))</f>
        <v>#NAME?</v>
      </c>
      <c r="N49" s="17" t="e">
        <f ca="1">_xll.ESQuote($L49,_xll.ESFldID(N$2))</f>
        <v>#NAME?</v>
      </c>
      <c r="O49" s="54" t="e">
        <f ca="1">_xll.ESQuote($L49,_xll.ESFldID(O$2))</f>
        <v>#NAME?</v>
      </c>
      <c r="P49" s="52" t="str">
        <f>IF(OR(ISBLANK(Q49), Q49=""),"", MAX(P$2:P48)+1)</f>
        <v/>
      </c>
      <c r="S49" s="16"/>
      <c r="T49" s="53" t="e">
        <f ca="1">_xll.ESHistD($Q49,_xll.ESFldID(T$2,"D"),"D",$S49)</f>
        <v>#NAME?</v>
      </c>
      <c r="U49" s="53" t="e">
        <f ca="1">_xll.ESHistD($Q49,_xll.ESFldID(U$2,"D"),"D",$S49)</f>
        <v>#NAME?</v>
      </c>
      <c r="V49" s="53" t="e">
        <f ca="1">_xll.ESHistD($Q49,_xll.ESFldID(V$2,"D"),"D",$S49)</f>
        <v>#NAME?</v>
      </c>
      <c r="W49" s="53" t="e">
        <f ca="1">_xll.ESHistD($Q49,_xll.ESFldID(W$2,"D"),"D",$S49)</f>
        <v>#NAME?</v>
      </c>
      <c r="X49" s="22" t="e">
        <f ca="1">_xll.ESHistD($Q49,_xll.ESFldID(X$2,"D"),"D",$S49)</f>
        <v>#NAME?</v>
      </c>
      <c r="Y49" s="55" t="str">
        <f t="shared" si="0"/>
        <v/>
      </c>
      <c r="Z49" s="53" t="e">
        <f ca="1">_xll.ESHistD($Q49,_xll.ESFldID(Z$2,"D"),"D",$AC$1)</f>
        <v>#NAME?</v>
      </c>
      <c r="AA49" s="53" t="e">
        <f ca="1">_xll.ESHistD($Q49,_xll.ESFldID(AA$2,"D"),"D",$AC$1)</f>
        <v>#NAME?</v>
      </c>
      <c r="AB49" s="53" t="e">
        <f ca="1">_xll.ESHistD($Q49,_xll.ESFldID(AB$2,"D"),"D",$AC$1)</f>
        <v>#NAME?</v>
      </c>
      <c r="AC49" s="53" t="e">
        <f ca="1">_xll.ESHistD($Q49,_xll.ESFldID(AC$2,"D"),"D",$AC$1)</f>
        <v>#NAME?</v>
      </c>
      <c r="AD49" s="22" t="e">
        <f ca="1">_xll.ESHistD($Q49,_xll.ESFldID(AD$2,"D"),"D",$AC$1)</f>
        <v>#NAME?</v>
      </c>
    </row>
    <row r="50" spans="1:30" x14ac:dyDescent="0.25">
      <c r="A50" s="52" t="str">
        <f>IF(OR(ISBLANK(B50), B50=""),"", MAX(A$2:A49)+1)</f>
        <v/>
      </c>
      <c r="B50" s="17" t="str">
        <f>IF(ISBLANK(Reporting!$B50), "", Reporting!$B50)</f>
        <v/>
      </c>
      <c r="C50" s="53" t="e">
        <f ca="1">_xll.ESQuote($B50,_xll.ESFldID(C$2))</f>
        <v>#NAME?</v>
      </c>
      <c r="D50" s="17" t="e">
        <f ca="1">_xll.ESQuote($B50,_xll.ESFldID(D$2))</f>
        <v>#NAME?</v>
      </c>
      <c r="E50" s="54" t="e">
        <f ca="1">_xll.ESQuote($B50,_xll.ESFldID(E$2))</f>
        <v>#NAME?</v>
      </c>
      <c r="F50" s="52" t="str">
        <f>IF(OR(ISBLANK(G50), G50=""),"", MAX(F$2:F49)+1)</f>
        <v/>
      </c>
      <c r="G50" s="17" t="str">
        <f>IF(ISBLANK(Existing!$B50), "", Existing!$B50)</f>
        <v/>
      </c>
      <c r="H50" s="53" t="e">
        <f ca="1">_xll.ESQuote($G50,_xll.ESFldID(H$2))</f>
        <v>#NAME?</v>
      </c>
      <c r="I50" s="17" t="e">
        <f ca="1">_xll.ESQuote($G50,_xll.ESFldID(I$2))</f>
        <v>#NAME?</v>
      </c>
      <c r="J50" s="54" t="e">
        <f ca="1">_xll.ESQuote($G50,_xll.ESFldID(J$2))</f>
        <v>#NAME?</v>
      </c>
      <c r="K50" s="52" t="str">
        <f>IF(OR(ISBLANK(L50), L50=""),"", MAX(K$2:K49)+1)</f>
        <v/>
      </c>
      <c r="L50" s="17" t="str">
        <f>IF(ISBLANK(Monitoring!$B50), "",Monitoring!$B50)</f>
        <v/>
      </c>
      <c r="M50" s="53" t="e">
        <f ca="1">_xll.ESQuote($L50,_xll.ESFldID(M$2))</f>
        <v>#NAME?</v>
      </c>
      <c r="N50" s="17" t="e">
        <f ca="1">_xll.ESQuote($L50,_xll.ESFldID(N$2))</f>
        <v>#NAME?</v>
      </c>
      <c r="O50" s="54" t="e">
        <f ca="1">_xll.ESQuote($L50,_xll.ESFldID(O$2))</f>
        <v>#NAME?</v>
      </c>
      <c r="P50" s="52" t="str">
        <f>IF(OR(ISBLANK(Q50), Q50=""),"", MAX(P$2:P49)+1)</f>
        <v/>
      </c>
      <c r="S50" s="16"/>
      <c r="T50" s="53" t="e">
        <f ca="1">_xll.ESHistD($Q50,_xll.ESFldID(T$2,"D"),"D",$S50)</f>
        <v>#NAME?</v>
      </c>
      <c r="U50" s="53" t="e">
        <f ca="1">_xll.ESHistD($Q50,_xll.ESFldID(U$2,"D"),"D",$S50)</f>
        <v>#NAME?</v>
      </c>
      <c r="V50" s="53" t="e">
        <f ca="1">_xll.ESHistD($Q50,_xll.ESFldID(V$2,"D"),"D",$S50)</f>
        <v>#NAME?</v>
      </c>
      <c r="W50" s="53" t="e">
        <f ca="1">_xll.ESHistD($Q50,_xll.ESFldID(W$2,"D"),"D",$S50)</f>
        <v>#NAME?</v>
      </c>
      <c r="X50" s="22" t="e">
        <f ca="1">_xll.ESHistD($Q50,_xll.ESFldID(X$2,"D"),"D",$S50)</f>
        <v>#NAME?</v>
      </c>
      <c r="Y50" s="55" t="str">
        <f t="shared" si="0"/>
        <v/>
      </c>
      <c r="Z50" s="53" t="e">
        <f ca="1">_xll.ESHistD($Q50,_xll.ESFldID(Z$2,"D"),"D",$AC$1)</f>
        <v>#NAME?</v>
      </c>
      <c r="AA50" s="53" t="e">
        <f ca="1">_xll.ESHistD($Q50,_xll.ESFldID(AA$2,"D"),"D",$AC$1)</f>
        <v>#NAME?</v>
      </c>
      <c r="AB50" s="53" t="e">
        <f ca="1">_xll.ESHistD($Q50,_xll.ESFldID(AB$2,"D"),"D",$AC$1)</f>
        <v>#NAME?</v>
      </c>
      <c r="AC50" s="53" t="e">
        <f ca="1">_xll.ESHistD($Q50,_xll.ESFldID(AC$2,"D"),"D",$AC$1)</f>
        <v>#NAME?</v>
      </c>
      <c r="AD50" s="22" t="e">
        <f ca="1">_xll.ESHistD($Q50,_xll.ESFldID(AD$2,"D"),"D",$AC$1)</f>
        <v>#NAME?</v>
      </c>
    </row>
    <row r="51" spans="1:30" x14ac:dyDescent="0.25">
      <c r="B51" s="17" t="str">
        <f>IF(ISBLANK(Reporting!$B51), "", Reporting!$B51)</f>
        <v/>
      </c>
      <c r="C51" s="53" t="e">
        <f ca="1">_xll.ESQuote($B51,_xll.ESFldID(C$2))</f>
        <v>#NAME?</v>
      </c>
      <c r="D51" s="17" t="e">
        <f ca="1">_xll.ESQuote($B51,_xll.ESFldID(D$2))</f>
        <v>#NAME?</v>
      </c>
      <c r="E51" s="54" t="e">
        <f ca="1">_xll.ESQuote($B51,_xll.ESFldID(E$2))</f>
        <v>#NAME?</v>
      </c>
      <c r="L51" s="17" t="str">
        <f>IF(ISBLANK(Monitoring!$B51), "",Monitoring!$B51)</f>
        <v/>
      </c>
      <c r="M51" s="53" t="e">
        <f ca="1">_xll.ESQuote($L51,_xll.ESFldID(M$2))</f>
        <v>#NAME?</v>
      </c>
      <c r="N51" s="17" t="e">
        <f ca="1">_xll.ESQuote($L51,_xll.ESFldID(N$2))</f>
        <v>#NAME?</v>
      </c>
      <c r="O51" s="54" t="e">
        <f ca="1">_xll.ESQuote($L51,_xll.ESFldID(O$2))</f>
        <v>#NAME?</v>
      </c>
      <c r="P51" s="52" t="str">
        <f>IF(OR(ISBLANK(Q51), Q51=""),"", MAX(P$2:P50)+1)</f>
        <v/>
      </c>
      <c r="S51" s="16"/>
      <c r="T51" s="53" t="e">
        <f ca="1">_xll.ESHistD($Q51,_xll.ESFldID(T$2,"D"),"D",$S51)</f>
        <v>#NAME?</v>
      </c>
      <c r="U51" s="53" t="e">
        <f ca="1">_xll.ESHistD($Q51,_xll.ESFldID(U$2,"D"),"D",$S51)</f>
        <v>#NAME?</v>
      </c>
      <c r="V51" s="53" t="e">
        <f ca="1">_xll.ESHistD($Q51,_xll.ESFldID(V$2,"D"),"D",$S51)</f>
        <v>#NAME?</v>
      </c>
      <c r="W51" s="53" t="e">
        <f ca="1">_xll.ESHistD($Q51,_xll.ESFldID(W$2,"D"),"D",$S51)</f>
        <v>#NAME?</v>
      </c>
      <c r="X51" s="22" t="e">
        <f ca="1">_xll.ESHistD($Q51,_xll.ESFldID(X$2,"D"),"D",$S51)</f>
        <v>#NAME?</v>
      </c>
      <c r="Y51" s="55" t="str">
        <f t="shared" si="0"/>
        <v/>
      </c>
      <c r="Z51" s="53" t="e">
        <f ca="1">_xll.ESHistD($Q51,_xll.ESFldID(Z$2,"D"),"D",$AC$1)</f>
        <v>#NAME?</v>
      </c>
      <c r="AA51" s="53" t="e">
        <f ca="1">_xll.ESHistD($Q51,_xll.ESFldID(AA$2,"D"),"D",$AC$1)</f>
        <v>#NAME?</v>
      </c>
      <c r="AB51" s="53" t="e">
        <f ca="1">_xll.ESHistD($Q51,_xll.ESFldID(AB$2,"D"),"D",$AC$1)</f>
        <v>#NAME?</v>
      </c>
      <c r="AC51" s="53" t="e">
        <f ca="1">_xll.ESHistD($Q51,_xll.ESFldID(AC$2,"D"),"D",$AC$1)</f>
        <v>#NAME?</v>
      </c>
      <c r="AD51" s="22" t="e">
        <f ca="1">_xll.ESHistD($Q51,_xll.ESFldID(AD$2,"D"),"D",$AC$1)</f>
        <v>#NAME?</v>
      </c>
    </row>
    <row r="52" spans="1:30" x14ac:dyDescent="0.25">
      <c r="B52" s="17" t="str">
        <f>IF(ISBLANK(Reporting!$B52), "", Reporting!$B52)</f>
        <v/>
      </c>
      <c r="C52" s="53" t="e">
        <f ca="1">_xll.ESQuote($B52,_xll.ESFldID(C$2))</f>
        <v>#NAME?</v>
      </c>
      <c r="D52" s="17" t="e">
        <f ca="1">_xll.ESQuote($B52,_xll.ESFldID(D$2))</f>
        <v>#NAME?</v>
      </c>
      <c r="E52" s="54" t="e">
        <f ca="1">_xll.ESQuote($B52,_xll.ESFldID(E$2))</f>
        <v>#NAME?</v>
      </c>
      <c r="L52" s="17" t="str">
        <f>IF(ISBLANK(Monitoring!$B52), "",Monitoring!$B52)</f>
        <v/>
      </c>
      <c r="M52" s="53" t="e">
        <f ca="1">_xll.ESQuote($L52,_xll.ESFldID(M$2))</f>
        <v>#NAME?</v>
      </c>
      <c r="N52" s="17" t="e">
        <f ca="1">_xll.ESQuote($L52,_xll.ESFldID(N$2))</f>
        <v>#NAME?</v>
      </c>
      <c r="O52" s="54" t="e">
        <f ca="1">_xll.ESQuote($L52,_xll.ESFldID(O$2))</f>
        <v>#NAME?</v>
      </c>
      <c r="P52" s="52" t="str">
        <f>IF(OR(ISBLANK(Q52), Q52=""),"", MAX(P$2:P51)+1)</f>
        <v/>
      </c>
      <c r="S52" s="16"/>
      <c r="T52" s="53" t="e">
        <f ca="1">_xll.ESHistD($Q52,_xll.ESFldID(T$2,"D"),"D",$S52)</f>
        <v>#NAME?</v>
      </c>
      <c r="U52" s="53" t="e">
        <f ca="1">_xll.ESHistD($Q52,_xll.ESFldID(U$2,"D"),"D",$S52)</f>
        <v>#NAME?</v>
      </c>
      <c r="V52" s="53" t="e">
        <f ca="1">_xll.ESHistD($Q52,_xll.ESFldID(V$2,"D"),"D",$S52)</f>
        <v>#NAME?</v>
      </c>
      <c r="W52" s="53" t="e">
        <f ca="1">_xll.ESHistD($Q52,_xll.ESFldID(W$2,"D"),"D",$S52)</f>
        <v>#NAME?</v>
      </c>
      <c r="X52" s="22" t="e">
        <f ca="1">_xll.ESHistD($Q52,_xll.ESFldID(X$2,"D"),"D",$S52)</f>
        <v>#NAME?</v>
      </c>
      <c r="Y52" s="55" t="str">
        <f t="shared" si="0"/>
        <v/>
      </c>
      <c r="Z52" s="53" t="e">
        <f ca="1">_xll.ESHistD($Q52,_xll.ESFldID(Z$2,"D"),"D",$AC$1)</f>
        <v>#NAME?</v>
      </c>
      <c r="AA52" s="53" t="e">
        <f ca="1">_xll.ESHistD($Q52,_xll.ESFldID(AA$2,"D"),"D",$AC$1)</f>
        <v>#NAME?</v>
      </c>
      <c r="AB52" s="53" t="e">
        <f ca="1">_xll.ESHistD($Q52,_xll.ESFldID(AB$2,"D"),"D",$AC$1)</f>
        <v>#NAME?</v>
      </c>
      <c r="AC52" s="53" t="e">
        <f ca="1">_xll.ESHistD($Q52,_xll.ESFldID(AC$2,"D"),"D",$AC$1)</f>
        <v>#NAME?</v>
      </c>
      <c r="AD52" s="22" t="e">
        <f ca="1">_xll.ESHistD($Q52,_xll.ESFldID(AD$2,"D"),"D",$AC$1)</f>
        <v>#NAME?</v>
      </c>
    </row>
    <row r="53" spans="1:30" x14ac:dyDescent="0.25">
      <c r="B53" s="17" t="str">
        <f>IF(ISBLANK(Reporting!$B53), "", Reporting!$B53)</f>
        <v/>
      </c>
      <c r="C53" s="53" t="e">
        <f ca="1">_xll.ESQuote($B53,_xll.ESFldID(C$2))</f>
        <v>#NAME?</v>
      </c>
      <c r="D53" s="17" t="e">
        <f ca="1">_xll.ESQuote($B53,_xll.ESFldID(D$2))</f>
        <v>#NAME?</v>
      </c>
      <c r="E53" s="54" t="e">
        <f ca="1">_xll.ESQuote($B53,_xll.ESFldID(E$2))</f>
        <v>#NAME?</v>
      </c>
      <c r="L53" s="17" t="str">
        <f>IF(ISBLANK(Monitoring!$B53), "",Monitoring!$B53)</f>
        <v/>
      </c>
      <c r="M53" s="53" t="e">
        <f ca="1">_xll.ESQuote($L53,_xll.ESFldID(M$2))</f>
        <v>#NAME?</v>
      </c>
      <c r="N53" s="17" t="e">
        <f ca="1">_xll.ESQuote($L53,_xll.ESFldID(N$2))</f>
        <v>#NAME?</v>
      </c>
      <c r="O53" s="54" t="e">
        <f ca="1">_xll.ESQuote($L53,_xll.ESFldID(O$2))</f>
        <v>#NAME?</v>
      </c>
      <c r="P53" s="52" t="str">
        <f>IF(OR(ISBLANK(Q53), Q53=""),"", MAX(P$2:P52)+1)</f>
        <v/>
      </c>
      <c r="S53" s="16"/>
      <c r="T53" s="53" t="e">
        <f ca="1">_xll.ESHistD($Q53,_xll.ESFldID(T$2,"D"),"D",$S53)</f>
        <v>#NAME?</v>
      </c>
      <c r="U53" s="53" t="e">
        <f ca="1">_xll.ESHistD($Q53,_xll.ESFldID(U$2,"D"),"D",$S53)</f>
        <v>#NAME?</v>
      </c>
      <c r="V53" s="53" t="e">
        <f ca="1">_xll.ESHistD($Q53,_xll.ESFldID(V$2,"D"),"D",$S53)</f>
        <v>#NAME?</v>
      </c>
      <c r="W53" s="53" t="e">
        <f ca="1">_xll.ESHistD($Q53,_xll.ESFldID(W$2,"D"),"D",$S53)</f>
        <v>#NAME?</v>
      </c>
      <c r="X53" s="22" t="e">
        <f ca="1">_xll.ESHistD($Q53,_xll.ESFldID(X$2,"D"),"D",$S53)</f>
        <v>#NAME?</v>
      </c>
      <c r="Y53" s="55" t="str">
        <f t="shared" si="0"/>
        <v/>
      </c>
      <c r="Z53" s="53" t="e">
        <f ca="1">_xll.ESHistD($Q53,_xll.ESFldID(Z$2,"D"),"D",$AC$1)</f>
        <v>#NAME?</v>
      </c>
      <c r="AA53" s="53" t="e">
        <f ca="1">_xll.ESHistD($Q53,_xll.ESFldID(AA$2,"D"),"D",$AC$1)</f>
        <v>#NAME?</v>
      </c>
      <c r="AB53" s="53" t="e">
        <f ca="1">_xll.ESHistD($Q53,_xll.ESFldID(AB$2,"D"),"D",$AC$1)</f>
        <v>#NAME?</v>
      </c>
      <c r="AC53" s="53" t="e">
        <f ca="1">_xll.ESHistD($Q53,_xll.ESFldID(AC$2,"D"),"D",$AC$1)</f>
        <v>#NAME?</v>
      </c>
      <c r="AD53" s="22" t="e">
        <f ca="1">_xll.ESHistD($Q53,_xll.ESFldID(AD$2,"D"),"D",$AC$1)</f>
        <v>#NAME?</v>
      </c>
    </row>
    <row r="54" spans="1:30" x14ac:dyDescent="0.25">
      <c r="B54" s="17" t="str">
        <f>IF(ISBLANK(Reporting!$B54), "", Reporting!$B54)</f>
        <v/>
      </c>
      <c r="C54" s="53" t="e">
        <f ca="1">_xll.ESQuote($B54,_xll.ESFldID(C$2))</f>
        <v>#NAME?</v>
      </c>
      <c r="D54" s="17" t="e">
        <f ca="1">_xll.ESQuote($B54,_xll.ESFldID(D$2))</f>
        <v>#NAME?</v>
      </c>
      <c r="E54" s="54" t="e">
        <f ca="1">_xll.ESQuote($B54,_xll.ESFldID(E$2))</f>
        <v>#NAME?</v>
      </c>
      <c r="L54" s="17" t="str">
        <f>IF(ISBLANK(Monitoring!$B54), "",Monitoring!$B54)</f>
        <v/>
      </c>
      <c r="M54" s="53" t="e">
        <f ca="1">_xll.ESQuote($L54,_xll.ESFldID(M$2))</f>
        <v>#NAME?</v>
      </c>
      <c r="N54" s="17" t="e">
        <f ca="1">_xll.ESQuote($L54,_xll.ESFldID(N$2))</f>
        <v>#NAME?</v>
      </c>
      <c r="O54" s="54" t="e">
        <f ca="1">_xll.ESQuote($L54,_xll.ESFldID(O$2))</f>
        <v>#NAME?</v>
      </c>
      <c r="P54" s="52" t="str">
        <f>IF(OR(ISBLANK(Q54), Q54=""),"", MAX(P$2:P53)+1)</f>
        <v/>
      </c>
      <c r="S54" s="16"/>
      <c r="T54" s="53" t="e">
        <f ca="1">_xll.ESHistD($Q54,_xll.ESFldID(T$2,"D"),"D",$S54)</f>
        <v>#NAME?</v>
      </c>
      <c r="U54" s="53" t="e">
        <f ca="1">_xll.ESHistD($Q54,_xll.ESFldID(U$2,"D"),"D",$S54)</f>
        <v>#NAME?</v>
      </c>
      <c r="V54" s="53" t="e">
        <f ca="1">_xll.ESHistD($Q54,_xll.ESFldID(V$2,"D"),"D",$S54)</f>
        <v>#NAME?</v>
      </c>
      <c r="W54" s="53" t="e">
        <f ca="1">_xll.ESHistD($Q54,_xll.ESFldID(W$2,"D"),"D",$S54)</f>
        <v>#NAME?</v>
      </c>
      <c r="X54" s="22" t="e">
        <f ca="1">_xll.ESHistD($Q54,_xll.ESFldID(X$2,"D"),"D",$S54)</f>
        <v>#NAME?</v>
      </c>
      <c r="Y54" s="55" t="str">
        <f t="shared" si="0"/>
        <v/>
      </c>
      <c r="Z54" s="53" t="e">
        <f ca="1">_xll.ESHistD($Q54,_xll.ESFldID(Z$2,"D"),"D",$AC$1)</f>
        <v>#NAME?</v>
      </c>
      <c r="AA54" s="53" t="e">
        <f ca="1">_xll.ESHistD($Q54,_xll.ESFldID(AA$2,"D"),"D",$AC$1)</f>
        <v>#NAME?</v>
      </c>
      <c r="AB54" s="53" t="e">
        <f ca="1">_xll.ESHistD($Q54,_xll.ESFldID(AB$2,"D"),"D",$AC$1)</f>
        <v>#NAME?</v>
      </c>
      <c r="AC54" s="53" t="e">
        <f ca="1">_xll.ESHistD($Q54,_xll.ESFldID(AC$2,"D"),"D",$AC$1)</f>
        <v>#NAME?</v>
      </c>
      <c r="AD54" s="22" t="e">
        <f ca="1">_xll.ESHistD($Q54,_xll.ESFldID(AD$2,"D"),"D",$AC$1)</f>
        <v>#NAME?</v>
      </c>
    </row>
    <row r="55" spans="1:30" x14ac:dyDescent="0.25">
      <c r="B55" s="17" t="str">
        <f>IF(ISBLANK(Reporting!$B55), "", Reporting!$B55)</f>
        <v/>
      </c>
      <c r="C55" s="53" t="e">
        <f ca="1">_xll.ESQuote($B55,_xll.ESFldID(C$2))</f>
        <v>#NAME?</v>
      </c>
      <c r="D55" s="17" t="e">
        <f ca="1">_xll.ESQuote($B55,_xll.ESFldID(D$2))</f>
        <v>#NAME?</v>
      </c>
      <c r="E55" s="54" t="e">
        <f ca="1">_xll.ESQuote($B55,_xll.ESFldID(E$2))</f>
        <v>#NAME?</v>
      </c>
      <c r="L55" s="17" t="str">
        <f>IF(ISBLANK(Monitoring!$B55), "",Monitoring!$B55)</f>
        <v/>
      </c>
      <c r="M55" s="53" t="e">
        <f ca="1">_xll.ESQuote($L55,_xll.ESFldID(M$2))</f>
        <v>#NAME?</v>
      </c>
      <c r="N55" s="17" t="e">
        <f ca="1">_xll.ESQuote($L55,_xll.ESFldID(N$2))</f>
        <v>#NAME?</v>
      </c>
      <c r="O55" s="54" t="e">
        <f ca="1">_xll.ESQuote($L55,_xll.ESFldID(O$2))</f>
        <v>#NAME?</v>
      </c>
      <c r="P55" s="52" t="str">
        <f>IF(OR(ISBLANK(Q55), Q55=""),"", MAX(P$2:P54)+1)</f>
        <v/>
      </c>
      <c r="S55" s="16"/>
      <c r="T55" s="53" t="e">
        <f ca="1">_xll.ESHistD($Q55,_xll.ESFldID(T$2,"D"),"D",$S55)</f>
        <v>#NAME?</v>
      </c>
      <c r="U55" s="53" t="e">
        <f ca="1">_xll.ESHistD($Q55,_xll.ESFldID(U$2,"D"),"D",$S55)</f>
        <v>#NAME?</v>
      </c>
      <c r="V55" s="53" t="e">
        <f ca="1">_xll.ESHistD($Q55,_xll.ESFldID(V$2,"D"),"D",$S55)</f>
        <v>#NAME?</v>
      </c>
      <c r="W55" s="53" t="e">
        <f ca="1">_xll.ESHistD($Q55,_xll.ESFldID(W$2,"D"),"D",$S55)</f>
        <v>#NAME?</v>
      </c>
      <c r="X55" s="22" t="e">
        <f ca="1">_xll.ESHistD($Q55,_xll.ESFldID(X$2,"D"),"D",$S55)</f>
        <v>#NAME?</v>
      </c>
      <c r="Y55" s="55" t="str">
        <f t="shared" si="0"/>
        <v/>
      </c>
      <c r="Z55" s="53" t="e">
        <f ca="1">_xll.ESHistD($Q55,_xll.ESFldID(Z$2,"D"),"D",$AC$1)</f>
        <v>#NAME?</v>
      </c>
      <c r="AA55" s="53" t="e">
        <f ca="1">_xll.ESHistD($Q55,_xll.ESFldID(AA$2,"D"),"D",$AC$1)</f>
        <v>#NAME?</v>
      </c>
      <c r="AB55" s="53" t="e">
        <f ca="1">_xll.ESHistD($Q55,_xll.ESFldID(AB$2,"D"),"D",$AC$1)</f>
        <v>#NAME?</v>
      </c>
      <c r="AC55" s="53" t="e">
        <f ca="1">_xll.ESHistD($Q55,_xll.ESFldID(AC$2,"D"),"D",$AC$1)</f>
        <v>#NAME?</v>
      </c>
      <c r="AD55" s="22" t="e">
        <f ca="1">_xll.ESHistD($Q55,_xll.ESFldID(AD$2,"D"),"D",$AC$1)</f>
        <v>#NAME?</v>
      </c>
    </row>
    <row r="56" spans="1:30" x14ac:dyDescent="0.25">
      <c r="B56" s="17" t="str">
        <f>IF(ISBLANK(Reporting!$B56), "", Reporting!$B56)</f>
        <v/>
      </c>
      <c r="C56" s="53" t="e">
        <f ca="1">_xll.ESQuote($B56,_xll.ESFldID(C$2))</f>
        <v>#NAME?</v>
      </c>
      <c r="D56" s="17" t="e">
        <f ca="1">_xll.ESQuote($B56,_xll.ESFldID(D$2))</f>
        <v>#NAME?</v>
      </c>
      <c r="E56" s="54" t="e">
        <f ca="1">_xll.ESQuote($B56,_xll.ESFldID(E$2))</f>
        <v>#NAME?</v>
      </c>
      <c r="L56" s="17" t="str">
        <f>IF(ISBLANK(Monitoring!$B56), "",Monitoring!$B56)</f>
        <v/>
      </c>
      <c r="M56" s="53" t="e">
        <f ca="1">_xll.ESQuote($L56,_xll.ESFldID(M$2))</f>
        <v>#NAME?</v>
      </c>
      <c r="N56" s="17" t="e">
        <f ca="1">_xll.ESQuote($L56,_xll.ESFldID(N$2))</f>
        <v>#NAME?</v>
      </c>
      <c r="O56" s="54" t="e">
        <f ca="1">_xll.ESQuote($L56,_xll.ESFldID(O$2))</f>
        <v>#NAME?</v>
      </c>
      <c r="P56" s="52" t="str">
        <f>IF(OR(ISBLANK(Q56), Q56=""),"", MAX(P$2:P55)+1)</f>
        <v/>
      </c>
      <c r="S56" s="16"/>
      <c r="T56" s="53" t="e">
        <f ca="1">_xll.ESHistD($Q56,_xll.ESFldID(T$2,"D"),"D",$S56)</f>
        <v>#NAME?</v>
      </c>
      <c r="U56" s="53" t="e">
        <f ca="1">_xll.ESHistD($Q56,_xll.ESFldID(U$2,"D"),"D",$S56)</f>
        <v>#NAME?</v>
      </c>
      <c r="V56" s="53" t="e">
        <f ca="1">_xll.ESHistD($Q56,_xll.ESFldID(V$2,"D"),"D",$S56)</f>
        <v>#NAME?</v>
      </c>
      <c r="W56" s="53" t="e">
        <f ca="1">_xll.ESHistD($Q56,_xll.ESFldID(W$2,"D"),"D",$S56)</f>
        <v>#NAME?</v>
      </c>
      <c r="X56" s="22" t="e">
        <f ca="1">_xll.ESHistD($Q56,_xll.ESFldID(X$2,"D"),"D",$S56)</f>
        <v>#NAME?</v>
      </c>
      <c r="Y56" s="55" t="str">
        <f t="shared" si="0"/>
        <v/>
      </c>
      <c r="Z56" s="53" t="e">
        <f ca="1">_xll.ESHistD($Q56,_xll.ESFldID(Z$2,"D"),"D",$AC$1)</f>
        <v>#NAME?</v>
      </c>
      <c r="AA56" s="53" t="e">
        <f ca="1">_xll.ESHistD($Q56,_xll.ESFldID(AA$2,"D"),"D",$AC$1)</f>
        <v>#NAME?</v>
      </c>
      <c r="AB56" s="53" t="e">
        <f ca="1">_xll.ESHistD($Q56,_xll.ESFldID(AB$2,"D"),"D",$AC$1)</f>
        <v>#NAME?</v>
      </c>
      <c r="AC56" s="53" t="e">
        <f ca="1">_xll.ESHistD($Q56,_xll.ESFldID(AC$2,"D"),"D",$AC$1)</f>
        <v>#NAME?</v>
      </c>
      <c r="AD56" s="22" t="e">
        <f ca="1">_xll.ESHistD($Q56,_xll.ESFldID(AD$2,"D"),"D",$AC$1)</f>
        <v>#NAME?</v>
      </c>
    </row>
    <row r="57" spans="1:30" x14ac:dyDescent="0.25">
      <c r="P57" s="52" t="str">
        <f>IF(OR(ISBLANK(Q57), Q57=""),"", MAX(P$2:P56)+1)</f>
        <v/>
      </c>
      <c r="S57" s="16"/>
      <c r="T57" s="53" t="e">
        <f ca="1">_xll.ESHistD($Q57,_xll.ESFldID(T$2,"D"),"D",$S57)</f>
        <v>#NAME?</v>
      </c>
      <c r="U57" s="53" t="e">
        <f ca="1">_xll.ESHistD($Q57,_xll.ESFldID(U$2,"D"),"D",$S57)</f>
        <v>#NAME?</v>
      </c>
      <c r="V57" s="53" t="e">
        <f ca="1">_xll.ESHistD($Q57,_xll.ESFldID(V$2,"D"),"D",$S57)</f>
        <v>#NAME?</v>
      </c>
      <c r="W57" s="53" t="e">
        <f ca="1">_xll.ESHistD($Q57,_xll.ESFldID(W$2,"D"),"D",$S57)</f>
        <v>#NAME?</v>
      </c>
      <c r="X57" s="22" t="e">
        <f ca="1">_xll.ESHistD($Q57,_xll.ESFldID(X$2,"D"),"D",$S57)</f>
        <v>#NAME?</v>
      </c>
      <c r="Y57" s="55" t="str">
        <f t="shared" si="0"/>
        <v/>
      </c>
      <c r="Z57" s="53" t="e">
        <f ca="1">_xll.ESHistD($Q57,_xll.ESFldID(Z$2,"D"),"D",$AC$1)</f>
        <v>#NAME?</v>
      </c>
      <c r="AA57" s="53" t="e">
        <f ca="1">_xll.ESHistD($Q57,_xll.ESFldID(AA$2,"D"),"D",$AC$1)</f>
        <v>#NAME?</v>
      </c>
      <c r="AB57" s="53" t="e">
        <f ca="1">_xll.ESHistD($Q57,_xll.ESFldID(AB$2,"D"),"D",$AC$1)</f>
        <v>#NAME?</v>
      </c>
      <c r="AC57" s="53" t="e">
        <f ca="1">_xll.ESHistD($Q57,_xll.ESFldID(AC$2,"D"),"D",$AC$1)</f>
        <v>#NAME?</v>
      </c>
      <c r="AD57" s="22" t="e">
        <f ca="1">_xll.ESHistD($Q57,_xll.ESFldID(AD$2,"D"),"D",$AC$1)</f>
        <v>#NAME?</v>
      </c>
    </row>
    <row r="58" spans="1:30" x14ac:dyDescent="0.25">
      <c r="P58" s="52" t="str">
        <f>IF(OR(ISBLANK(Q58), Q58=""),"", MAX(P$2:P57)+1)</f>
        <v/>
      </c>
      <c r="S58" s="16"/>
      <c r="T58" s="53" t="e">
        <f ca="1">_xll.ESHistD($Q58,_xll.ESFldID(T$2,"D"),"D",$S58)</f>
        <v>#NAME?</v>
      </c>
      <c r="U58" s="53" t="e">
        <f ca="1">_xll.ESHistD($Q58,_xll.ESFldID(U$2,"D"),"D",$S58)</f>
        <v>#NAME?</v>
      </c>
      <c r="V58" s="53" t="e">
        <f ca="1">_xll.ESHistD($Q58,_xll.ESFldID(V$2,"D"),"D",$S58)</f>
        <v>#NAME?</v>
      </c>
      <c r="W58" s="53" t="e">
        <f ca="1">_xll.ESHistD($Q58,_xll.ESFldID(W$2,"D"),"D",$S58)</f>
        <v>#NAME?</v>
      </c>
      <c r="X58" s="22" t="e">
        <f ca="1">_xll.ESHistD($Q58,_xll.ESFldID(X$2,"D"),"D",$S58)</f>
        <v>#NAME?</v>
      </c>
      <c r="Y58" s="55" t="str">
        <f t="shared" si="0"/>
        <v/>
      </c>
      <c r="Z58" s="53" t="e">
        <f ca="1">_xll.ESHistD($Q58,_xll.ESFldID(Z$2,"D"),"D",$AC$1)</f>
        <v>#NAME?</v>
      </c>
      <c r="AA58" s="53" t="e">
        <f ca="1">_xll.ESHistD($Q58,_xll.ESFldID(AA$2,"D"),"D",$AC$1)</f>
        <v>#NAME?</v>
      </c>
      <c r="AB58" s="53" t="e">
        <f ca="1">_xll.ESHistD($Q58,_xll.ESFldID(AB$2,"D"),"D",$AC$1)</f>
        <v>#NAME?</v>
      </c>
      <c r="AC58" s="53" t="e">
        <f ca="1">_xll.ESHistD($Q58,_xll.ESFldID(AC$2,"D"),"D",$AC$1)</f>
        <v>#NAME?</v>
      </c>
      <c r="AD58" s="22" t="e">
        <f ca="1">_xll.ESHistD($Q58,_xll.ESFldID(AD$2,"D"),"D",$AC$1)</f>
        <v>#NAME?</v>
      </c>
    </row>
    <row r="59" spans="1:30" x14ac:dyDescent="0.25">
      <c r="P59" s="52" t="str">
        <f>IF(OR(ISBLANK(Q59), Q59=""),"", MAX(P$2:P58)+1)</f>
        <v/>
      </c>
      <c r="S59" s="16"/>
      <c r="T59" s="53" t="e">
        <f ca="1">_xll.ESHistD($Q59,_xll.ESFldID(T$2,"D"),"D",$S59)</f>
        <v>#NAME?</v>
      </c>
      <c r="U59" s="53" t="e">
        <f ca="1">_xll.ESHistD($Q59,_xll.ESFldID(U$2,"D"),"D",$S59)</f>
        <v>#NAME?</v>
      </c>
      <c r="V59" s="53" t="e">
        <f ca="1">_xll.ESHistD($Q59,_xll.ESFldID(V$2,"D"),"D",$S59)</f>
        <v>#NAME?</v>
      </c>
      <c r="W59" s="53" t="e">
        <f ca="1">_xll.ESHistD($Q59,_xll.ESFldID(W$2,"D"),"D",$S59)</f>
        <v>#NAME?</v>
      </c>
      <c r="X59" s="22" t="e">
        <f ca="1">_xll.ESHistD($Q59,_xll.ESFldID(X$2,"D"),"D",$S59)</f>
        <v>#NAME?</v>
      </c>
      <c r="Y59" s="55" t="str">
        <f t="shared" si="0"/>
        <v/>
      </c>
      <c r="Z59" s="53" t="e">
        <f ca="1">_xll.ESHistD($Q59,_xll.ESFldID(Z$2,"D"),"D",$AC$1)</f>
        <v>#NAME?</v>
      </c>
      <c r="AA59" s="53" t="e">
        <f ca="1">_xll.ESHistD($Q59,_xll.ESFldID(AA$2,"D"),"D",$AC$1)</f>
        <v>#NAME?</v>
      </c>
      <c r="AB59" s="53" t="e">
        <f ca="1">_xll.ESHistD($Q59,_xll.ESFldID(AB$2,"D"),"D",$AC$1)</f>
        <v>#NAME?</v>
      </c>
      <c r="AC59" s="53" t="e">
        <f ca="1">_xll.ESHistD($Q59,_xll.ESFldID(AC$2,"D"),"D",$AC$1)</f>
        <v>#NAME?</v>
      </c>
      <c r="AD59" s="22" t="e">
        <f ca="1">_xll.ESHistD($Q59,_xll.ESFldID(AD$2,"D"),"D",$AC$1)</f>
        <v>#NAME?</v>
      </c>
    </row>
    <row r="60" spans="1:30" x14ac:dyDescent="0.25">
      <c r="P60" s="52" t="str">
        <f>IF(OR(ISBLANK(Q60), Q60=""),"", MAX(P$2:P59)+1)</f>
        <v/>
      </c>
      <c r="S60" s="16"/>
      <c r="T60" s="53" t="e">
        <f ca="1">_xll.ESHistD($Q60,_xll.ESFldID(T$2,"D"),"D",$S60)</f>
        <v>#NAME?</v>
      </c>
      <c r="U60" s="53" t="e">
        <f ca="1">_xll.ESHistD($Q60,_xll.ESFldID(U$2,"D"),"D",$S60)</f>
        <v>#NAME?</v>
      </c>
      <c r="V60" s="53" t="e">
        <f ca="1">_xll.ESHistD($Q60,_xll.ESFldID(V$2,"D"),"D",$S60)</f>
        <v>#NAME?</v>
      </c>
      <c r="W60" s="53" t="e">
        <f ca="1">_xll.ESHistD($Q60,_xll.ESFldID(W$2,"D"),"D",$S60)</f>
        <v>#NAME?</v>
      </c>
      <c r="X60" s="22" t="e">
        <f ca="1">_xll.ESHistD($Q60,_xll.ESFldID(X$2,"D"),"D",$S60)</f>
        <v>#NAME?</v>
      </c>
      <c r="Y60" s="55" t="str">
        <f t="shared" si="0"/>
        <v/>
      </c>
      <c r="Z60" s="53" t="e">
        <f ca="1">_xll.ESHistD($Q60,_xll.ESFldID(Z$2,"D"),"D",$AC$1)</f>
        <v>#NAME?</v>
      </c>
      <c r="AA60" s="53" t="e">
        <f ca="1">_xll.ESHistD($Q60,_xll.ESFldID(AA$2,"D"),"D",$AC$1)</f>
        <v>#NAME?</v>
      </c>
      <c r="AB60" s="53" t="e">
        <f ca="1">_xll.ESHistD($Q60,_xll.ESFldID(AB$2,"D"),"D",$AC$1)</f>
        <v>#NAME?</v>
      </c>
      <c r="AC60" s="53" t="e">
        <f ca="1">_xll.ESHistD($Q60,_xll.ESFldID(AC$2,"D"),"D",$AC$1)</f>
        <v>#NAME?</v>
      </c>
      <c r="AD60" s="22" t="e">
        <f ca="1">_xll.ESHistD($Q60,_xll.ESFldID(AD$2,"D"),"D",$AC$1)</f>
        <v>#NAME?</v>
      </c>
    </row>
    <row r="61" spans="1:30" x14ac:dyDescent="0.25">
      <c r="P61" s="52" t="str">
        <f>IF(OR(ISBLANK(Q61), Q61=""),"", MAX(P$2:P60)+1)</f>
        <v/>
      </c>
      <c r="S61" s="16"/>
      <c r="T61" s="53" t="e">
        <f ca="1">_xll.ESHistD($Q61,_xll.ESFldID(T$2,"D"),"D",$S61)</f>
        <v>#NAME?</v>
      </c>
      <c r="U61" s="53" t="e">
        <f ca="1">_xll.ESHistD($Q61,_xll.ESFldID(U$2,"D"),"D",$S61)</f>
        <v>#NAME?</v>
      </c>
      <c r="V61" s="53" t="e">
        <f ca="1">_xll.ESHistD($Q61,_xll.ESFldID(V$2,"D"),"D",$S61)</f>
        <v>#NAME?</v>
      </c>
      <c r="W61" s="53" t="e">
        <f ca="1">_xll.ESHistD($Q61,_xll.ESFldID(W$2,"D"),"D",$S61)</f>
        <v>#NAME?</v>
      </c>
      <c r="X61" s="22" t="e">
        <f ca="1">_xll.ESHistD($Q61,_xll.ESFldID(X$2,"D"),"D",$S61)</f>
        <v>#NAME?</v>
      </c>
      <c r="Y61" s="55" t="str">
        <f t="shared" si="0"/>
        <v/>
      </c>
      <c r="Z61" s="53" t="e">
        <f ca="1">_xll.ESHistD($Q61,_xll.ESFldID(Z$2,"D"),"D",$AC$1)</f>
        <v>#NAME?</v>
      </c>
      <c r="AA61" s="53" t="e">
        <f ca="1">_xll.ESHistD($Q61,_xll.ESFldID(AA$2,"D"),"D",$AC$1)</f>
        <v>#NAME?</v>
      </c>
      <c r="AB61" s="53" t="e">
        <f ca="1">_xll.ESHistD($Q61,_xll.ESFldID(AB$2,"D"),"D",$AC$1)</f>
        <v>#NAME?</v>
      </c>
      <c r="AC61" s="53" t="e">
        <f ca="1">_xll.ESHistD($Q61,_xll.ESFldID(AC$2,"D"),"D",$AC$1)</f>
        <v>#NAME?</v>
      </c>
      <c r="AD61" s="22" t="e">
        <f ca="1">_xll.ESHistD($Q61,_xll.ESFldID(AD$2,"D"),"D",$AC$1)</f>
        <v>#NAME?</v>
      </c>
    </row>
    <row r="62" spans="1:30" x14ac:dyDescent="0.25">
      <c r="P62" s="52" t="str">
        <f>IF(OR(ISBLANK(Q62), Q62=""),"", MAX(P$2:P61)+1)</f>
        <v/>
      </c>
      <c r="S62" s="16"/>
      <c r="T62" s="53" t="e">
        <f ca="1">_xll.ESHistD($Q62,_xll.ESFldID(T$2,"D"),"D",$S62)</f>
        <v>#NAME?</v>
      </c>
      <c r="U62" s="53" t="e">
        <f ca="1">_xll.ESHistD($Q62,_xll.ESFldID(U$2,"D"),"D",$S62)</f>
        <v>#NAME?</v>
      </c>
      <c r="V62" s="53" t="e">
        <f ca="1">_xll.ESHistD($Q62,_xll.ESFldID(V$2,"D"),"D",$S62)</f>
        <v>#NAME?</v>
      </c>
      <c r="W62" s="53" t="e">
        <f ca="1">_xll.ESHistD($Q62,_xll.ESFldID(W$2,"D"),"D",$S62)</f>
        <v>#NAME?</v>
      </c>
      <c r="X62" s="22" t="e">
        <f ca="1">_xll.ESHistD($Q62,_xll.ESFldID(X$2,"D"),"D",$S62)</f>
        <v>#NAME?</v>
      </c>
      <c r="Y62" s="55" t="str">
        <f t="shared" si="0"/>
        <v/>
      </c>
      <c r="Z62" s="53" t="e">
        <f ca="1">_xll.ESHistD($Q62,_xll.ESFldID(Z$2,"D"),"D",$AC$1)</f>
        <v>#NAME?</v>
      </c>
      <c r="AA62" s="53" t="e">
        <f ca="1">_xll.ESHistD($Q62,_xll.ESFldID(AA$2,"D"),"D",$AC$1)</f>
        <v>#NAME?</v>
      </c>
      <c r="AB62" s="53" t="e">
        <f ca="1">_xll.ESHistD($Q62,_xll.ESFldID(AB$2,"D"),"D",$AC$1)</f>
        <v>#NAME?</v>
      </c>
      <c r="AC62" s="53" t="e">
        <f ca="1">_xll.ESHistD($Q62,_xll.ESFldID(AC$2,"D"),"D",$AC$1)</f>
        <v>#NAME?</v>
      </c>
      <c r="AD62" s="22" t="e">
        <f ca="1">_xll.ESHistD($Q62,_xll.ESFldID(AD$2,"D"),"D",$AC$1)</f>
        <v>#NAME?</v>
      </c>
    </row>
    <row r="63" spans="1:30" x14ac:dyDescent="0.25">
      <c r="P63" s="52" t="str">
        <f>IF(OR(ISBLANK(Q63), Q63=""),"", MAX(P$2:P62)+1)</f>
        <v/>
      </c>
      <c r="S63" s="16"/>
      <c r="T63" s="53" t="e">
        <f ca="1">_xll.ESHistD($Q63,_xll.ESFldID(T$2,"D"),"D",$S63)</f>
        <v>#NAME?</v>
      </c>
      <c r="U63" s="53" t="e">
        <f ca="1">_xll.ESHistD($Q63,_xll.ESFldID(U$2,"D"),"D",$S63)</f>
        <v>#NAME?</v>
      </c>
      <c r="V63" s="53" t="e">
        <f ca="1">_xll.ESHistD($Q63,_xll.ESFldID(V$2,"D"),"D",$S63)</f>
        <v>#NAME?</v>
      </c>
      <c r="W63" s="53" t="e">
        <f ca="1">_xll.ESHistD($Q63,_xll.ESFldID(W$2,"D"),"D",$S63)</f>
        <v>#NAME?</v>
      </c>
      <c r="X63" s="22" t="e">
        <f ca="1">_xll.ESHistD($Q63,_xll.ESFldID(X$2,"D"),"D",$S63)</f>
        <v>#NAME?</v>
      </c>
      <c r="Y63" s="55" t="str">
        <f t="shared" si="0"/>
        <v/>
      </c>
      <c r="Z63" s="53" t="e">
        <f ca="1">_xll.ESHistD($Q63,_xll.ESFldID(Z$2,"D"),"D",$AC$1)</f>
        <v>#NAME?</v>
      </c>
      <c r="AA63" s="53" t="e">
        <f ca="1">_xll.ESHistD($Q63,_xll.ESFldID(AA$2,"D"),"D",$AC$1)</f>
        <v>#NAME?</v>
      </c>
      <c r="AB63" s="53" t="e">
        <f ca="1">_xll.ESHistD($Q63,_xll.ESFldID(AB$2,"D"),"D",$AC$1)</f>
        <v>#NAME?</v>
      </c>
      <c r="AC63" s="53" t="e">
        <f ca="1">_xll.ESHistD($Q63,_xll.ESFldID(AC$2,"D"),"D",$AC$1)</f>
        <v>#NAME?</v>
      </c>
      <c r="AD63" s="22" t="e">
        <f ca="1">_xll.ESHistD($Q63,_xll.ESFldID(AD$2,"D"),"D",$AC$1)</f>
        <v>#NAME?</v>
      </c>
    </row>
    <row r="64" spans="1:30" x14ac:dyDescent="0.25">
      <c r="P64" s="52" t="str">
        <f>IF(OR(ISBLANK(Q64), Q64=""),"", MAX(P$2:P63)+1)</f>
        <v/>
      </c>
      <c r="S64" s="16"/>
      <c r="T64" s="53" t="e">
        <f ca="1">_xll.ESHistD($Q64,_xll.ESFldID(T$2,"D"),"D",$S64)</f>
        <v>#NAME?</v>
      </c>
      <c r="U64" s="53" t="e">
        <f ca="1">_xll.ESHistD($Q64,_xll.ESFldID(U$2,"D"),"D",$S64)</f>
        <v>#NAME?</v>
      </c>
      <c r="V64" s="53" t="e">
        <f ca="1">_xll.ESHistD($Q64,_xll.ESFldID(V$2,"D"),"D",$S64)</f>
        <v>#NAME?</v>
      </c>
      <c r="W64" s="53" t="e">
        <f ca="1">_xll.ESHistD($Q64,_xll.ESFldID(W$2,"D"),"D",$S64)</f>
        <v>#NAME?</v>
      </c>
      <c r="X64" s="22" t="e">
        <f ca="1">_xll.ESHistD($Q64,_xll.ESFldID(X$2,"D"),"D",$S64)</f>
        <v>#NAME?</v>
      </c>
      <c r="Y64" s="55" t="str">
        <f t="shared" si="0"/>
        <v/>
      </c>
      <c r="Z64" s="53" t="e">
        <f ca="1">_xll.ESHistD($Q64,_xll.ESFldID(Z$2,"D"),"D",$AC$1)</f>
        <v>#NAME?</v>
      </c>
      <c r="AA64" s="53" t="e">
        <f ca="1">_xll.ESHistD($Q64,_xll.ESFldID(AA$2,"D"),"D",$AC$1)</f>
        <v>#NAME?</v>
      </c>
      <c r="AB64" s="53" t="e">
        <f ca="1">_xll.ESHistD($Q64,_xll.ESFldID(AB$2,"D"),"D",$AC$1)</f>
        <v>#NAME?</v>
      </c>
      <c r="AC64" s="53" t="e">
        <f ca="1">_xll.ESHistD($Q64,_xll.ESFldID(AC$2,"D"),"D",$AC$1)</f>
        <v>#NAME?</v>
      </c>
      <c r="AD64" s="22" t="e">
        <f ca="1">_xll.ESHistD($Q64,_xll.ESFldID(AD$2,"D"),"D",$AC$1)</f>
        <v>#NAME?</v>
      </c>
    </row>
    <row r="65" spans="16:30" x14ac:dyDescent="0.25">
      <c r="P65" s="52" t="str">
        <f>IF(OR(ISBLANK(Q65), Q65=""),"", MAX(P$2:P64)+1)</f>
        <v/>
      </c>
      <c r="S65" s="16"/>
      <c r="T65" s="53" t="e">
        <f ca="1">_xll.ESHistD($Q65,_xll.ESFldID(T$2,"D"),"D",$S65)</f>
        <v>#NAME?</v>
      </c>
      <c r="U65" s="53" t="e">
        <f ca="1">_xll.ESHistD($Q65,_xll.ESFldID(U$2,"D"),"D",$S65)</f>
        <v>#NAME?</v>
      </c>
      <c r="V65" s="53" t="e">
        <f ca="1">_xll.ESHistD($Q65,_xll.ESFldID(V$2,"D"),"D",$S65)</f>
        <v>#NAME?</v>
      </c>
      <c r="W65" s="53" t="e">
        <f ca="1">_xll.ESHistD($Q65,_xll.ESFldID(W$2,"D"),"D",$S65)</f>
        <v>#NAME?</v>
      </c>
      <c r="X65" s="22" t="e">
        <f ca="1">_xll.ESHistD($Q65,_xll.ESFldID(X$2,"D"),"D",$S65)</f>
        <v>#NAME?</v>
      </c>
      <c r="Y65" s="55" t="str">
        <f t="shared" si="0"/>
        <v/>
      </c>
      <c r="Z65" s="53" t="e">
        <f ca="1">_xll.ESHistD($Q65,_xll.ESFldID(Z$2,"D"),"D",$AC$1)</f>
        <v>#NAME?</v>
      </c>
      <c r="AA65" s="53" t="e">
        <f ca="1">_xll.ESHistD($Q65,_xll.ESFldID(AA$2,"D"),"D",$AC$1)</f>
        <v>#NAME?</v>
      </c>
      <c r="AB65" s="53" t="e">
        <f ca="1">_xll.ESHistD($Q65,_xll.ESFldID(AB$2,"D"),"D",$AC$1)</f>
        <v>#NAME?</v>
      </c>
      <c r="AC65" s="53" t="e">
        <f ca="1">_xll.ESHistD($Q65,_xll.ESFldID(AC$2,"D"),"D",$AC$1)</f>
        <v>#NAME?</v>
      </c>
      <c r="AD65" s="22" t="e">
        <f ca="1">_xll.ESHistD($Q65,_xll.ESFldID(AD$2,"D"),"D",$AC$1)</f>
        <v>#NAME?</v>
      </c>
    </row>
    <row r="66" spans="16:30" x14ac:dyDescent="0.25">
      <c r="P66" s="52" t="str">
        <f>IF(OR(ISBLANK(Q66), Q66=""),"", MAX(P$2:P65)+1)</f>
        <v/>
      </c>
      <c r="S66" s="16"/>
      <c r="T66" s="53" t="e">
        <f ca="1">_xll.ESHistD($Q66,_xll.ESFldID(T$2,"D"),"D",$S66)</f>
        <v>#NAME?</v>
      </c>
      <c r="U66" s="53" t="e">
        <f ca="1">_xll.ESHistD($Q66,_xll.ESFldID(U$2,"D"),"D",$S66)</f>
        <v>#NAME?</v>
      </c>
      <c r="V66" s="53" t="e">
        <f ca="1">_xll.ESHistD($Q66,_xll.ESFldID(V$2,"D"),"D",$S66)</f>
        <v>#NAME?</v>
      </c>
      <c r="W66" s="53" t="e">
        <f ca="1">_xll.ESHistD($Q66,_xll.ESFldID(W$2,"D"),"D",$S66)</f>
        <v>#NAME?</v>
      </c>
      <c r="X66" s="22" t="e">
        <f ca="1">_xll.ESHistD($Q66,_xll.ESFldID(X$2,"D"),"D",$S66)</f>
        <v>#NAME?</v>
      </c>
      <c r="Y66" s="55" t="str">
        <f t="shared" si="0"/>
        <v/>
      </c>
      <c r="Z66" s="53" t="e">
        <f ca="1">_xll.ESHistD($Q66,_xll.ESFldID(Z$2,"D"),"D",$AC$1)</f>
        <v>#NAME?</v>
      </c>
      <c r="AA66" s="53" t="e">
        <f ca="1">_xll.ESHistD($Q66,_xll.ESFldID(AA$2,"D"),"D",$AC$1)</f>
        <v>#NAME?</v>
      </c>
      <c r="AB66" s="53" t="e">
        <f ca="1">_xll.ESHistD($Q66,_xll.ESFldID(AB$2,"D"),"D",$AC$1)</f>
        <v>#NAME?</v>
      </c>
      <c r="AC66" s="53" t="e">
        <f ca="1">_xll.ESHistD($Q66,_xll.ESFldID(AC$2,"D"),"D",$AC$1)</f>
        <v>#NAME?</v>
      </c>
      <c r="AD66" s="22" t="e">
        <f ca="1">_xll.ESHistD($Q66,_xll.ESFldID(AD$2,"D"),"D",$AC$1)</f>
        <v>#NAME?</v>
      </c>
    </row>
    <row r="67" spans="16:30" x14ac:dyDescent="0.25">
      <c r="P67" s="52" t="str">
        <f>IF(OR(ISBLANK(Q67), Q67=""),"", MAX(P$2:P66)+1)</f>
        <v/>
      </c>
      <c r="S67" s="16"/>
      <c r="T67" s="53" t="e">
        <f ca="1">_xll.ESHistD($Q67,_xll.ESFldID(T$2,"D"),"D",$S67)</f>
        <v>#NAME?</v>
      </c>
      <c r="U67" s="53" t="e">
        <f ca="1">_xll.ESHistD($Q67,_xll.ESFldID(U$2,"D"),"D",$S67)</f>
        <v>#NAME?</v>
      </c>
      <c r="V67" s="53" t="e">
        <f ca="1">_xll.ESHistD($Q67,_xll.ESFldID(V$2,"D"),"D",$S67)</f>
        <v>#NAME?</v>
      </c>
      <c r="W67" s="53" t="e">
        <f ca="1">_xll.ESHistD($Q67,_xll.ESFldID(W$2,"D"),"D",$S67)</f>
        <v>#NAME?</v>
      </c>
      <c r="X67" s="22" t="e">
        <f ca="1">_xll.ESHistD($Q67,_xll.ESFldID(X$2,"D"),"D",$S67)</f>
        <v>#NAME?</v>
      </c>
      <c r="Y67" s="55" t="str">
        <f t="shared" si="0"/>
        <v/>
      </c>
      <c r="Z67" s="53" t="e">
        <f ca="1">_xll.ESHistD($Q67,_xll.ESFldID(Z$2,"D"),"D",$AC$1)</f>
        <v>#NAME?</v>
      </c>
      <c r="AA67" s="53" t="e">
        <f ca="1">_xll.ESHistD($Q67,_xll.ESFldID(AA$2,"D"),"D",$AC$1)</f>
        <v>#NAME?</v>
      </c>
      <c r="AB67" s="53" t="e">
        <f ca="1">_xll.ESHistD($Q67,_xll.ESFldID(AB$2,"D"),"D",$AC$1)</f>
        <v>#NAME?</v>
      </c>
      <c r="AC67" s="53" t="e">
        <f ca="1">_xll.ESHistD($Q67,_xll.ESFldID(AC$2,"D"),"D",$AC$1)</f>
        <v>#NAME?</v>
      </c>
      <c r="AD67" s="22" t="e">
        <f ca="1">_xll.ESHistD($Q67,_xll.ESFldID(AD$2,"D"),"D",$AC$1)</f>
        <v>#NAME?</v>
      </c>
    </row>
    <row r="68" spans="16:30" x14ac:dyDescent="0.25">
      <c r="P68" s="52" t="str">
        <f>IF(OR(ISBLANK(Q68), Q68=""),"", MAX(P$2:P67)+1)</f>
        <v/>
      </c>
      <c r="S68" s="16"/>
      <c r="T68" s="53" t="e">
        <f ca="1">_xll.ESHistD($Q68,_xll.ESFldID(T$2,"D"),"D",$S68)</f>
        <v>#NAME?</v>
      </c>
      <c r="U68" s="53" t="e">
        <f ca="1">_xll.ESHistD($Q68,_xll.ESFldID(U$2,"D"),"D",$S68)</f>
        <v>#NAME?</v>
      </c>
      <c r="V68" s="53" t="e">
        <f ca="1">_xll.ESHistD($Q68,_xll.ESFldID(V$2,"D"),"D",$S68)</f>
        <v>#NAME?</v>
      </c>
      <c r="W68" s="53" t="e">
        <f ca="1">_xll.ESHistD($Q68,_xll.ESFldID(W$2,"D"),"D",$S68)</f>
        <v>#NAME?</v>
      </c>
      <c r="X68" s="22" t="e">
        <f ca="1">_xll.ESHistD($Q68,_xll.ESFldID(X$2,"D"),"D",$S68)</f>
        <v>#NAME?</v>
      </c>
      <c r="Y68" s="55" t="str">
        <f t="shared" ref="Y68:Y131" si="1">IF(ISBLANK(Q68), "", Q68)</f>
        <v/>
      </c>
      <c r="Z68" s="53" t="e">
        <f ca="1">_xll.ESHistD($Q68,_xll.ESFldID(Z$2,"D"),"D",$AC$1)</f>
        <v>#NAME?</v>
      </c>
      <c r="AA68" s="53" t="e">
        <f ca="1">_xll.ESHistD($Q68,_xll.ESFldID(AA$2,"D"),"D",$AC$1)</f>
        <v>#NAME?</v>
      </c>
      <c r="AB68" s="53" t="e">
        <f ca="1">_xll.ESHistD($Q68,_xll.ESFldID(AB$2,"D"),"D",$AC$1)</f>
        <v>#NAME?</v>
      </c>
      <c r="AC68" s="53" t="e">
        <f ca="1">_xll.ESHistD($Q68,_xll.ESFldID(AC$2,"D"),"D",$AC$1)</f>
        <v>#NAME?</v>
      </c>
      <c r="AD68" s="22" t="e">
        <f ca="1">_xll.ESHistD($Q68,_xll.ESFldID(AD$2,"D"),"D",$AC$1)</f>
        <v>#NAME?</v>
      </c>
    </row>
    <row r="69" spans="16:30" x14ac:dyDescent="0.25">
      <c r="P69" s="52" t="str">
        <f>IF(OR(ISBLANK(Q69), Q69=""),"", MAX(P$2:P68)+1)</f>
        <v/>
      </c>
      <c r="S69" s="16"/>
      <c r="T69" s="53" t="e">
        <f ca="1">_xll.ESHistD($Q69,_xll.ESFldID(T$2,"D"),"D",$S69)</f>
        <v>#NAME?</v>
      </c>
      <c r="U69" s="53" t="e">
        <f ca="1">_xll.ESHistD($Q69,_xll.ESFldID(U$2,"D"),"D",$S69)</f>
        <v>#NAME?</v>
      </c>
      <c r="V69" s="53" t="e">
        <f ca="1">_xll.ESHistD($Q69,_xll.ESFldID(V$2,"D"),"D",$S69)</f>
        <v>#NAME?</v>
      </c>
      <c r="W69" s="53" t="e">
        <f ca="1">_xll.ESHistD($Q69,_xll.ESFldID(W$2,"D"),"D",$S69)</f>
        <v>#NAME?</v>
      </c>
      <c r="X69" s="22" t="e">
        <f ca="1">_xll.ESHistD($Q69,_xll.ESFldID(X$2,"D"),"D",$S69)</f>
        <v>#NAME?</v>
      </c>
      <c r="Y69" s="55" t="str">
        <f t="shared" si="1"/>
        <v/>
      </c>
      <c r="Z69" s="53" t="e">
        <f ca="1">_xll.ESHistD($Q69,_xll.ESFldID(Z$2,"D"),"D",$AC$1)</f>
        <v>#NAME?</v>
      </c>
      <c r="AA69" s="53" t="e">
        <f ca="1">_xll.ESHistD($Q69,_xll.ESFldID(AA$2,"D"),"D",$AC$1)</f>
        <v>#NAME?</v>
      </c>
      <c r="AB69" s="53" t="e">
        <f ca="1">_xll.ESHistD($Q69,_xll.ESFldID(AB$2,"D"),"D",$AC$1)</f>
        <v>#NAME?</v>
      </c>
      <c r="AC69" s="53" t="e">
        <f ca="1">_xll.ESHistD($Q69,_xll.ESFldID(AC$2,"D"),"D",$AC$1)</f>
        <v>#NAME?</v>
      </c>
      <c r="AD69" s="22" t="e">
        <f ca="1">_xll.ESHistD($Q69,_xll.ESFldID(AD$2,"D"),"D",$AC$1)</f>
        <v>#NAME?</v>
      </c>
    </row>
    <row r="70" spans="16:30" x14ac:dyDescent="0.25">
      <c r="P70" s="52" t="str">
        <f>IF(OR(ISBLANK(Q70), Q70=""),"", MAX(P$2:P69)+1)</f>
        <v/>
      </c>
      <c r="S70" s="16"/>
      <c r="T70" s="53" t="e">
        <f ca="1">_xll.ESHistD($Q70,_xll.ESFldID(T$2,"D"),"D",$S70)</f>
        <v>#NAME?</v>
      </c>
      <c r="U70" s="53" t="e">
        <f ca="1">_xll.ESHistD($Q70,_xll.ESFldID(U$2,"D"),"D",$S70)</f>
        <v>#NAME?</v>
      </c>
      <c r="V70" s="53" t="e">
        <f ca="1">_xll.ESHistD($Q70,_xll.ESFldID(V$2,"D"),"D",$S70)</f>
        <v>#NAME?</v>
      </c>
      <c r="W70" s="53" t="e">
        <f ca="1">_xll.ESHistD($Q70,_xll.ESFldID(W$2,"D"),"D",$S70)</f>
        <v>#NAME?</v>
      </c>
      <c r="X70" s="22" t="e">
        <f ca="1">_xll.ESHistD($Q70,_xll.ESFldID(X$2,"D"),"D",$S70)</f>
        <v>#NAME?</v>
      </c>
      <c r="Y70" s="55" t="str">
        <f t="shared" si="1"/>
        <v/>
      </c>
      <c r="Z70" s="53" t="e">
        <f ca="1">_xll.ESHistD($Q70,_xll.ESFldID(Z$2,"D"),"D",$AC$1)</f>
        <v>#NAME?</v>
      </c>
      <c r="AA70" s="53" t="e">
        <f ca="1">_xll.ESHistD($Q70,_xll.ESFldID(AA$2,"D"),"D",$AC$1)</f>
        <v>#NAME?</v>
      </c>
      <c r="AB70" s="53" t="e">
        <f ca="1">_xll.ESHistD($Q70,_xll.ESFldID(AB$2,"D"),"D",$AC$1)</f>
        <v>#NAME?</v>
      </c>
      <c r="AC70" s="53" t="e">
        <f ca="1">_xll.ESHistD($Q70,_xll.ESFldID(AC$2,"D"),"D",$AC$1)</f>
        <v>#NAME?</v>
      </c>
      <c r="AD70" s="22" t="e">
        <f ca="1">_xll.ESHistD($Q70,_xll.ESFldID(AD$2,"D"),"D",$AC$1)</f>
        <v>#NAME?</v>
      </c>
    </row>
    <row r="71" spans="16:30" x14ac:dyDescent="0.25">
      <c r="P71" s="52" t="str">
        <f>IF(OR(ISBLANK(Q71), Q71=""),"", MAX(P$2:P70)+1)</f>
        <v/>
      </c>
      <c r="S71" s="16"/>
      <c r="T71" s="53" t="e">
        <f ca="1">_xll.ESHistD($Q71,_xll.ESFldID(T$2,"D"),"D",$S71)</f>
        <v>#NAME?</v>
      </c>
      <c r="U71" s="53" t="e">
        <f ca="1">_xll.ESHistD($Q71,_xll.ESFldID(U$2,"D"),"D",$S71)</f>
        <v>#NAME?</v>
      </c>
      <c r="V71" s="53" t="e">
        <f ca="1">_xll.ESHistD($Q71,_xll.ESFldID(V$2,"D"),"D",$S71)</f>
        <v>#NAME?</v>
      </c>
      <c r="W71" s="53" t="e">
        <f ca="1">_xll.ESHistD($Q71,_xll.ESFldID(W$2,"D"),"D",$S71)</f>
        <v>#NAME?</v>
      </c>
      <c r="X71" s="22" t="e">
        <f ca="1">_xll.ESHistD($Q71,_xll.ESFldID(X$2,"D"),"D",$S71)</f>
        <v>#NAME?</v>
      </c>
      <c r="Y71" s="55" t="str">
        <f t="shared" si="1"/>
        <v/>
      </c>
      <c r="Z71" s="53" t="e">
        <f ca="1">_xll.ESHistD($Q71,_xll.ESFldID(Z$2,"D"),"D",$AC$1)</f>
        <v>#NAME?</v>
      </c>
      <c r="AA71" s="53" t="e">
        <f ca="1">_xll.ESHistD($Q71,_xll.ESFldID(AA$2,"D"),"D",$AC$1)</f>
        <v>#NAME?</v>
      </c>
      <c r="AB71" s="53" t="e">
        <f ca="1">_xll.ESHistD($Q71,_xll.ESFldID(AB$2,"D"),"D",$AC$1)</f>
        <v>#NAME?</v>
      </c>
      <c r="AC71" s="53" t="e">
        <f ca="1">_xll.ESHistD($Q71,_xll.ESFldID(AC$2,"D"),"D",$AC$1)</f>
        <v>#NAME?</v>
      </c>
      <c r="AD71" s="22" t="e">
        <f ca="1">_xll.ESHistD($Q71,_xll.ESFldID(AD$2,"D"),"D",$AC$1)</f>
        <v>#NAME?</v>
      </c>
    </row>
    <row r="72" spans="16:30" x14ac:dyDescent="0.25">
      <c r="P72" s="52" t="str">
        <f>IF(OR(ISBLANK(Q72), Q72=""),"", MAX(P$2:P71)+1)</f>
        <v/>
      </c>
      <c r="S72" s="16"/>
      <c r="T72" s="53" t="e">
        <f ca="1">_xll.ESHistD($Q72,_xll.ESFldID(T$2,"D"),"D",$S72)</f>
        <v>#NAME?</v>
      </c>
      <c r="U72" s="53" t="e">
        <f ca="1">_xll.ESHistD($Q72,_xll.ESFldID(U$2,"D"),"D",$S72)</f>
        <v>#NAME?</v>
      </c>
      <c r="V72" s="53" t="e">
        <f ca="1">_xll.ESHistD($Q72,_xll.ESFldID(V$2,"D"),"D",$S72)</f>
        <v>#NAME?</v>
      </c>
      <c r="W72" s="53" t="e">
        <f ca="1">_xll.ESHistD($Q72,_xll.ESFldID(W$2,"D"),"D",$S72)</f>
        <v>#NAME?</v>
      </c>
      <c r="X72" s="22" t="e">
        <f ca="1">_xll.ESHistD($Q72,_xll.ESFldID(X$2,"D"),"D",$S72)</f>
        <v>#NAME?</v>
      </c>
      <c r="Y72" s="55" t="str">
        <f t="shared" si="1"/>
        <v/>
      </c>
      <c r="Z72" s="53" t="e">
        <f ca="1">_xll.ESHistD($Q72,_xll.ESFldID(Z$2,"D"),"D",$AC$1)</f>
        <v>#NAME?</v>
      </c>
      <c r="AA72" s="53" t="e">
        <f ca="1">_xll.ESHistD($Q72,_xll.ESFldID(AA$2,"D"),"D",$AC$1)</f>
        <v>#NAME?</v>
      </c>
      <c r="AB72" s="53" t="e">
        <f ca="1">_xll.ESHistD($Q72,_xll.ESFldID(AB$2,"D"),"D",$AC$1)</f>
        <v>#NAME?</v>
      </c>
      <c r="AC72" s="53" t="e">
        <f ca="1">_xll.ESHistD($Q72,_xll.ESFldID(AC$2,"D"),"D",$AC$1)</f>
        <v>#NAME?</v>
      </c>
      <c r="AD72" s="22" t="e">
        <f ca="1">_xll.ESHistD($Q72,_xll.ESFldID(AD$2,"D"),"D",$AC$1)</f>
        <v>#NAME?</v>
      </c>
    </row>
    <row r="73" spans="16:30" x14ac:dyDescent="0.25">
      <c r="P73" s="52" t="str">
        <f>IF(OR(ISBLANK(Q73), Q73=""),"", MAX(P$2:P72)+1)</f>
        <v/>
      </c>
      <c r="S73" s="16"/>
      <c r="T73" s="53" t="e">
        <f ca="1">_xll.ESHistD($Q73,_xll.ESFldID(T$2,"D"),"D",$S73)</f>
        <v>#NAME?</v>
      </c>
      <c r="U73" s="53" t="e">
        <f ca="1">_xll.ESHistD($Q73,_xll.ESFldID(U$2,"D"),"D",$S73)</f>
        <v>#NAME?</v>
      </c>
      <c r="V73" s="53" t="e">
        <f ca="1">_xll.ESHistD($Q73,_xll.ESFldID(V$2,"D"),"D",$S73)</f>
        <v>#NAME?</v>
      </c>
      <c r="W73" s="53" t="e">
        <f ca="1">_xll.ESHistD($Q73,_xll.ESFldID(W$2,"D"),"D",$S73)</f>
        <v>#NAME?</v>
      </c>
      <c r="X73" s="22" t="e">
        <f ca="1">_xll.ESHistD($Q73,_xll.ESFldID(X$2,"D"),"D",$S73)</f>
        <v>#NAME?</v>
      </c>
      <c r="Y73" s="55" t="str">
        <f t="shared" si="1"/>
        <v/>
      </c>
      <c r="Z73" s="53" t="e">
        <f ca="1">_xll.ESHistD($Q73,_xll.ESFldID(Z$2,"D"),"D",$AC$1)</f>
        <v>#NAME?</v>
      </c>
      <c r="AA73" s="53" t="e">
        <f ca="1">_xll.ESHistD($Q73,_xll.ESFldID(AA$2,"D"),"D",$AC$1)</f>
        <v>#NAME?</v>
      </c>
      <c r="AB73" s="53" t="e">
        <f ca="1">_xll.ESHistD($Q73,_xll.ESFldID(AB$2,"D"),"D",$AC$1)</f>
        <v>#NAME?</v>
      </c>
      <c r="AC73" s="53" t="e">
        <f ca="1">_xll.ESHistD($Q73,_xll.ESFldID(AC$2,"D"),"D",$AC$1)</f>
        <v>#NAME?</v>
      </c>
      <c r="AD73" s="22" t="e">
        <f ca="1">_xll.ESHistD($Q73,_xll.ESFldID(AD$2,"D"),"D",$AC$1)</f>
        <v>#NAME?</v>
      </c>
    </row>
    <row r="74" spans="16:30" x14ac:dyDescent="0.25">
      <c r="P74" s="52" t="str">
        <f>IF(OR(ISBLANK(Q74), Q74=""),"", MAX(P$2:P73)+1)</f>
        <v/>
      </c>
      <c r="S74" s="16"/>
      <c r="T74" s="53" t="e">
        <f ca="1">_xll.ESHistD($Q74,_xll.ESFldID(T$2,"D"),"D",$S74)</f>
        <v>#NAME?</v>
      </c>
      <c r="U74" s="53" t="e">
        <f ca="1">_xll.ESHistD($Q74,_xll.ESFldID(U$2,"D"),"D",$S74)</f>
        <v>#NAME?</v>
      </c>
      <c r="V74" s="53" t="e">
        <f ca="1">_xll.ESHistD($Q74,_xll.ESFldID(V$2,"D"),"D",$S74)</f>
        <v>#NAME?</v>
      </c>
      <c r="W74" s="53" t="e">
        <f ca="1">_xll.ESHistD($Q74,_xll.ESFldID(W$2,"D"),"D",$S74)</f>
        <v>#NAME?</v>
      </c>
      <c r="X74" s="22" t="e">
        <f ca="1">_xll.ESHistD($Q74,_xll.ESFldID(X$2,"D"),"D",$S74)</f>
        <v>#NAME?</v>
      </c>
      <c r="Y74" s="55" t="str">
        <f t="shared" si="1"/>
        <v/>
      </c>
      <c r="Z74" s="53" t="e">
        <f ca="1">_xll.ESHistD($Q74,_xll.ESFldID(Z$2,"D"),"D",$AC$1)</f>
        <v>#NAME?</v>
      </c>
      <c r="AA74" s="53" t="e">
        <f ca="1">_xll.ESHistD($Q74,_xll.ESFldID(AA$2,"D"),"D",$AC$1)</f>
        <v>#NAME?</v>
      </c>
      <c r="AB74" s="53" t="e">
        <f ca="1">_xll.ESHistD($Q74,_xll.ESFldID(AB$2,"D"),"D",$AC$1)</f>
        <v>#NAME?</v>
      </c>
      <c r="AC74" s="53" t="e">
        <f ca="1">_xll.ESHistD($Q74,_xll.ESFldID(AC$2,"D"),"D",$AC$1)</f>
        <v>#NAME?</v>
      </c>
      <c r="AD74" s="22" t="e">
        <f ca="1">_xll.ESHistD($Q74,_xll.ESFldID(AD$2,"D"),"D",$AC$1)</f>
        <v>#NAME?</v>
      </c>
    </row>
    <row r="75" spans="16:30" x14ac:dyDescent="0.25">
      <c r="P75" s="52" t="str">
        <f>IF(OR(ISBLANK(Q75), Q75=""),"", MAX(P$2:P74)+1)</f>
        <v/>
      </c>
      <c r="S75" s="16"/>
      <c r="T75" s="53" t="e">
        <f ca="1">_xll.ESHistD($Q75,_xll.ESFldID(T$2,"D"),"D",$S75)</f>
        <v>#NAME?</v>
      </c>
      <c r="U75" s="53" t="e">
        <f ca="1">_xll.ESHistD($Q75,_xll.ESFldID(U$2,"D"),"D",$S75)</f>
        <v>#NAME?</v>
      </c>
      <c r="V75" s="53" t="e">
        <f ca="1">_xll.ESHistD($Q75,_xll.ESFldID(V$2,"D"),"D",$S75)</f>
        <v>#NAME?</v>
      </c>
      <c r="W75" s="53" t="e">
        <f ca="1">_xll.ESHistD($Q75,_xll.ESFldID(W$2,"D"),"D",$S75)</f>
        <v>#NAME?</v>
      </c>
      <c r="X75" s="22" t="e">
        <f ca="1">_xll.ESHistD($Q75,_xll.ESFldID(X$2,"D"),"D",$S75)</f>
        <v>#NAME?</v>
      </c>
      <c r="Y75" s="55" t="str">
        <f t="shared" si="1"/>
        <v/>
      </c>
      <c r="Z75" s="53" t="e">
        <f ca="1">_xll.ESHistD($Q75,_xll.ESFldID(Z$2,"D"),"D",$AC$1)</f>
        <v>#NAME?</v>
      </c>
      <c r="AA75" s="53" t="e">
        <f ca="1">_xll.ESHistD($Q75,_xll.ESFldID(AA$2,"D"),"D",$AC$1)</f>
        <v>#NAME?</v>
      </c>
      <c r="AB75" s="53" t="e">
        <f ca="1">_xll.ESHistD($Q75,_xll.ESFldID(AB$2,"D"),"D",$AC$1)</f>
        <v>#NAME?</v>
      </c>
      <c r="AC75" s="53" t="e">
        <f ca="1">_xll.ESHistD($Q75,_xll.ESFldID(AC$2,"D"),"D",$AC$1)</f>
        <v>#NAME?</v>
      </c>
      <c r="AD75" s="22" t="e">
        <f ca="1">_xll.ESHistD($Q75,_xll.ESFldID(AD$2,"D"),"D",$AC$1)</f>
        <v>#NAME?</v>
      </c>
    </row>
    <row r="76" spans="16:30" x14ac:dyDescent="0.25">
      <c r="P76" s="52" t="str">
        <f>IF(OR(ISBLANK(Q76), Q76=""),"", MAX(P$2:P75)+1)</f>
        <v/>
      </c>
      <c r="S76" s="16"/>
      <c r="T76" s="53" t="e">
        <f ca="1">_xll.ESHistD($Q76,_xll.ESFldID(T$2,"D"),"D",$S76)</f>
        <v>#NAME?</v>
      </c>
      <c r="U76" s="53" t="e">
        <f ca="1">_xll.ESHistD($Q76,_xll.ESFldID(U$2,"D"),"D",$S76)</f>
        <v>#NAME?</v>
      </c>
      <c r="V76" s="53" t="e">
        <f ca="1">_xll.ESHistD($Q76,_xll.ESFldID(V$2,"D"),"D",$S76)</f>
        <v>#NAME?</v>
      </c>
      <c r="W76" s="53" t="e">
        <f ca="1">_xll.ESHistD($Q76,_xll.ESFldID(W$2,"D"),"D",$S76)</f>
        <v>#NAME?</v>
      </c>
      <c r="X76" s="22" t="e">
        <f ca="1">_xll.ESHistD($Q76,_xll.ESFldID(X$2,"D"),"D",$S76)</f>
        <v>#NAME?</v>
      </c>
      <c r="Y76" s="55" t="str">
        <f t="shared" si="1"/>
        <v/>
      </c>
      <c r="Z76" s="53" t="e">
        <f ca="1">_xll.ESHistD($Q76,_xll.ESFldID(Z$2,"D"),"D",$AC$1)</f>
        <v>#NAME?</v>
      </c>
      <c r="AA76" s="53" t="e">
        <f ca="1">_xll.ESHistD($Q76,_xll.ESFldID(AA$2,"D"),"D",$AC$1)</f>
        <v>#NAME?</v>
      </c>
      <c r="AB76" s="53" t="e">
        <f ca="1">_xll.ESHistD($Q76,_xll.ESFldID(AB$2,"D"),"D",$AC$1)</f>
        <v>#NAME?</v>
      </c>
      <c r="AC76" s="53" t="e">
        <f ca="1">_xll.ESHistD($Q76,_xll.ESFldID(AC$2,"D"),"D",$AC$1)</f>
        <v>#NAME?</v>
      </c>
      <c r="AD76" s="22" t="e">
        <f ca="1">_xll.ESHistD($Q76,_xll.ESFldID(AD$2,"D"),"D",$AC$1)</f>
        <v>#NAME?</v>
      </c>
    </row>
    <row r="77" spans="16:30" x14ac:dyDescent="0.25">
      <c r="P77" s="52" t="str">
        <f>IF(OR(ISBLANK(Q77), Q77=""),"", MAX(P$2:P76)+1)</f>
        <v/>
      </c>
      <c r="S77" s="16"/>
      <c r="T77" s="53" t="e">
        <f ca="1">_xll.ESHistD($Q77,_xll.ESFldID(T$2,"D"),"D",$S77)</f>
        <v>#NAME?</v>
      </c>
      <c r="U77" s="53" t="e">
        <f ca="1">_xll.ESHistD($Q77,_xll.ESFldID(U$2,"D"),"D",$S77)</f>
        <v>#NAME?</v>
      </c>
      <c r="V77" s="53" t="e">
        <f ca="1">_xll.ESHistD($Q77,_xll.ESFldID(V$2,"D"),"D",$S77)</f>
        <v>#NAME?</v>
      </c>
      <c r="W77" s="53" t="e">
        <f ca="1">_xll.ESHistD($Q77,_xll.ESFldID(W$2,"D"),"D",$S77)</f>
        <v>#NAME?</v>
      </c>
      <c r="X77" s="22" t="e">
        <f ca="1">_xll.ESHistD($Q77,_xll.ESFldID(X$2,"D"),"D",$S77)</f>
        <v>#NAME?</v>
      </c>
      <c r="Y77" s="55" t="str">
        <f t="shared" si="1"/>
        <v/>
      </c>
      <c r="Z77" s="53" t="e">
        <f ca="1">_xll.ESHistD($Q77,_xll.ESFldID(Z$2,"D"),"D",$AC$1)</f>
        <v>#NAME?</v>
      </c>
      <c r="AA77" s="53" t="e">
        <f ca="1">_xll.ESHistD($Q77,_xll.ESFldID(AA$2,"D"),"D",$AC$1)</f>
        <v>#NAME?</v>
      </c>
      <c r="AB77" s="53" t="e">
        <f ca="1">_xll.ESHistD($Q77,_xll.ESFldID(AB$2,"D"),"D",$AC$1)</f>
        <v>#NAME?</v>
      </c>
      <c r="AC77" s="53" t="e">
        <f ca="1">_xll.ESHistD($Q77,_xll.ESFldID(AC$2,"D"),"D",$AC$1)</f>
        <v>#NAME?</v>
      </c>
      <c r="AD77" s="22" t="e">
        <f ca="1">_xll.ESHistD($Q77,_xll.ESFldID(AD$2,"D"),"D",$AC$1)</f>
        <v>#NAME?</v>
      </c>
    </row>
    <row r="78" spans="16:30" x14ac:dyDescent="0.25">
      <c r="P78" s="52" t="str">
        <f>IF(OR(ISBLANK(Q78), Q78=""),"", MAX(P$2:P77)+1)</f>
        <v/>
      </c>
      <c r="S78" s="16"/>
      <c r="T78" s="53" t="e">
        <f ca="1">_xll.ESHistD($Q78,_xll.ESFldID(T$2,"D"),"D",$S78)</f>
        <v>#NAME?</v>
      </c>
      <c r="U78" s="53" t="e">
        <f ca="1">_xll.ESHistD($Q78,_xll.ESFldID(U$2,"D"),"D",$S78)</f>
        <v>#NAME?</v>
      </c>
      <c r="V78" s="53" t="e">
        <f ca="1">_xll.ESHistD($Q78,_xll.ESFldID(V$2,"D"),"D",$S78)</f>
        <v>#NAME?</v>
      </c>
      <c r="W78" s="53" t="e">
        <f ca="1">_xll.ESHistD($Q78,_xll.ESFldID(W$2,"D"),"D",$S78)</f>
        <v>#NAME?</v>
      </c>
      <c r="X78" s="22" t="e">
        <f ca="1">_xll.ESHistD($Q78,_xll.ESFldID(X$2,"D"),"D",$S78)</f>
        <v>#NAME?</v>
      </c>
      <c r="Y78" s="55" t="str">
        <f t="shared" si="1"/>
        <v/>
      </c>
      <c r="Z78" s="53" t="e">
        <f ca="1">_xll.ESHistD($Q78,_xll.ESFldID(Z$2,"D"),"D",$AC$1)</f>
        <v>#NAME?</v>
      </c>
      <c r="AA78" s="53" t="e">
        <f ca="1">_xll.ESHistD($Q78,_xll.ESFldID(AA$2,"D"),"D",$AC$1)</f>
        <v>#NAME?</v>
      </c>
      <c r="AB78" s="53" t="e">
        <f ca="1">_xll.ESHistD($Q78,_xll.ESFldID(AB$2,"D"),"D",$AC$1)</f>
        <v>#NAME?</v>
      </c>
      <c r="AC78" s="53" t="e">
        <f ca="1">_xll.ESHistD($Q78,_xll.ESFldID(AC$2,"D"),"D",$AC$1)</f>
        <v>#NAME?</v>
      </c>
      <c r="AD78" s="22" t="e">
        <f ca="1">_xll.ESHistD($Q78,_xll.ESFldID(AD$2,"D"),"D",$AC$1)</f>
        <v>#NAME?</v>
      </c>
    </row>
    <row r="79" spans="16:30" x14ac:dyDescent="0.25">
      <c r="P79" s="52" t="str">
        <f>IF(OR(ISBLANK(Q79), Q79=""),"", MAX(P$2:P78)+1)</f>
        <v/>
      </c>
      <c r="S79" s="16"/>
      <c r="T79" s="53" t="e">
        <f ca="1">_xll.ESHistD($Q79,_xll.ESFldID(T$2,"D"),"D",$S79)</f>
        <v>#NAME?</v>
      </c>
      <c r="U79" s="53" t="e">
        <f ca="1">_xll.ESHistD($Q79,_xll.ESFldID(U$2,"D"),"D",$S79)</f>
        <v>#NAME?</v>
      </c>
      <c r="V79" s="53" t="e">
        <f ca="1">_xll.ESHistD($Q79,_xll.ESFldID(V$2,"D"),"D",$S79)</f>
        <v>#NAME?</v>
      </c>
      <c r="W79" s="53" t="e">
        <f ca="1">_xll.ESHistD($Q79,_xll.ESFldID(W$2,"D"),"D",$S79)</f>
        <v>#NAME?</v>
      </c>
      <c r="X79" s="22" t="e">
        <f ca="1">_xll.ESHistD($Q79,_xll.ESFldID(X$2,"D"),"D",$S79)</f>
        <v>#NAME?</v>
      </c>
      <c r="Y79" s="55" t="str">
        <f t="shared" si="1"/>
        <v/>
      </c>
      <c r="Z79" s="53" t="e">
        <f ca="1">_xll.ESHistD($Q79,_xll.ESFldID(Z$2,"D"),"D",$AC$1)</f>
        <v>#NAME?</v>
      </c>
      <c r="AA79" s="53" t="e">
        <f ca="1">_xll.ESHistD($Q79,_xll.ESFldID(AA$2,"D"),"D",$AC$1)</f>
        <v>#NAME?</v>
      </c>
      <c r="AB79" s="53" t="e">
        <f ca="1">_xll.ESHistD($Q79,_xll.ESFldID(AB$2,"D"),"D",$AC$1)</f>
        <v>#NAME?</v>
      </c>
      <c r="AC79" s="53" t="e">
        <f ca="1">_xll.ESHistD($Q79,_xll.ESFldID(AC$2,"D"),"D",$AC$1)</f>
        <v>#NAME?</v>
      </c>
      <c r="AD79" s="22" t="e">
        <f ca="1">_xll.ESHistD($Q79,_xll.ESFldID(AD$2,"D"),"D",$AC$1)</f>
        <v>#NAME?</v>
      </c>
    </row>
    <row r="80" spans="16:30" x14ac:dyDescent="0.25">
      <c r="P80" s="52" t="str">
        <f>IF(OR(ISBLANK(Q80), Q80=""),"", MAX(P$2:P79)+1)</f>
        <v/>
      </c>
      <c r="S80" s="16"/>
      <c r="T80" s="53" t="e">
        <f ca="1">_xll.ESHistD($Q80,_xll.ESFldID(T$2,"D"),"D",$S80)</f>
        <v>#NAME?</v>
      </c>
      <c r="U80" s="53" t="e">
        <f ca="1">_xll.ESHistD($Q80,_xll.ESFldID(U$2,"D"),"D",$S80)</f>
        <v>#NAME?</v>
      </c>
      <c r="V80" s="53" t="e">
        <f ca="1">_xll.ESHistD($Q80,_xll.ESFldID(V$2,"D"),"D",$S80)</f>
        <v>#NAME?</v>
      </c>
      <c r="W80" s="53" t="e">
        <f ca="1">_xll.ESHistD($Q80,_xll.ESFldID(W$2,"D"),"D",$S80)</f>
        <v>#NAME?</v>
      </c>
      <c r="X80" s="22" t="e">
        <f ca="1">_xll.ESHistD($Q80,_xll.ESFldID(X$2,"D"),"D",$S80)</f>
        <v>#NAME?</v>
      </c>
      <c r="Y80" s="55" t="str">
        <f t="shared" si="1"/>
        <v/>
      </c>
      <c r="Z80" s="53" t="e">
        <f ca="1">_xll.ESHistD($Q80,_xll.ESFldID(Z$2,"D"),"D",$AC$1)</f>
        <v>#NAME?</v>
      </c>
      <c r="AA80" s="53" t="e">
        <f ca="1">_xll.ESHistD($Q80,_xll.ESFldID(AA$2,"D"),"D",$AC$1)</f>
        <v>#NAME?</v>
      </c>
      <c r="AB80" s="53" t="e">
        <f ca="1">_xll.ESHistD($Q80,_xll.ESFldID(AB$2,"D"),"D",$AC$1)</f>
        <v>#NAME?</v>
      </c>
      <c r="AC80" s="53" t="e">
        <f ca="1">_xll.ESHistD($Q80,_xll.ESFldID(AC$2,"D"),"D",$AC$1)</f>
        <v>#NAME?</v>
      </c>
      <c r="AD80" s="22" t="e">
        <f ca="1">_xll.ESHistD($Q80,_xll.ESFldID(AD$2,"D"),"D",$AC$1)</f>
        <v>#NAME?</v>
      </c>
    </row>
    <row r="81" spans="16:30" x14ac:dyDescent="0.25">
      <c r="P81" s="52" t="str">
        <f>IF(OR(ISBLANK(Q81), Q81=""),"", MAX(P$2:P80)+1)</f>
        <v/>
      </c>
      <c r="S81" s="16"/>
      <c r="T81" s="53" t="e">
        <f ca="1">_xll.ESHistD($Q81,_xll.ESFldID(T$2,"D"),"D",$S81)</f>
        <v>#NAME?</v>
      </c>
      <c r="U81" s="53" t="e">
        <f ca="1">_xll.ESHistD($Q81,_xll.ESFldID(U$2,"D"),"D",$S81)</f>
        <v>#NAME?</v>
      </c>
      <c r="V81" s="53" t="e">
        <f ca="1">_xll.ESHistD($Q81,_xll.ESFldID(V$2,"D"),"D",$S81)</f>
        <v>#NAME?</v>
      </c>
      <c r="W81" s="53" t="e">
        <f ca="1">_xll.ESHistD($Q81,_xll.ESFldID(W$2,"D"),"D",$S81)</f>
        <v>#NAME?</v>
      </c>
      <c r="X81" s="22" t="e">
        <f ca="1">_xll.ESHistD($Q81,_xll.ESFldID(X$2,"D"),"D",$S81)</f>
        <v>#NAME?</v>
      </c>
      <c r="Y81" s="55" t="str">
        <f t="shared" si="1"/>
        <v/>
      </c>
      <c r="Z81" s="53" t="e">
        <f ca="1">_xll.ESHistD($Q81,_xll.ESFldID(Z$2,"D"),"D",$AC$1)</f>
        <v>#NAME?</v>
      </c>
      <c r="AA81" s="53" t="e">
        <f ca="1">_xll.ESHistD($Q81,_xll.ESFldID(AA$2,"D"),"D",$AC$1)</f>
        <v>#NAME?</v>
      </c>
      <c r="AB81" s="53" t="e">
        <f ca="1">_xll.ESHistD($Q81,_xll.ESFldID(AB$2,"D"),"D",$AC$1)</f>
        <v>#NAME?</v>
      </c>
      <c r="AC81" s="53" t="e">
        <f ca="1">_xll.ESHistD($Q81,_xll.ESFldID(AC$2,"D"),"D",$AC$1)</f>
        <v>#NAME?</v>
      </c>
      <c r="AD81" s="22" t="e">
        <f ca="1">_xll.ESHistD($Q81,_xll.ESFldID(AD$2,"D"),"D",$AC$1)</f>
        <v>#NAME?</v>
      </c>
    </row>
    <row r="82" spans="16:30" x14ac:dyDescent="0.25">
      <c r="P82" s="52" t="str">
        <f>IF(OR(ISBLANK(Q82), Q82=""),"", MAX(P$2:P81)+1)</f>
        <v/>
      </c>
      <c r="S82" s="16"/>
      <c r="T82" s="53" t="e">
        <f ca="1">_xll.ESHistD($Q82,_xll.ESFldID(T$2,"D"),"D",$S82)</f>
        <v>#NAME?</v>
      </c>
      <c r="U82" s="53" t="e">
        <f ca="1">_xll.ESHistD($Q82,_xll.ESFldID(U$2,"D"),"D",$S82)</f>
        <v>#NAME?</v>
      </c>
      <c r="V82" s="53" t="e">
        <f ca="1">_xll.ESHistD($Q82,_xll.ESFldID(V$2,"D"),"D",$S82)</f>
        <v>#NAME?</v>
      </c>
      <c r="W82" s="53" t="e">
        <f ca="1">_xll.ESHistD($Q82,_xll.ESFldID(W$2,"D"),"D",$S82)</f>
        <v>#NAME?</v>
      </c>
      <c r="X82" s="22" t="e">
        <f ca="1">_xll.ESHistD($Q82,_xll.ESFldID(X$2,"D"),"D",$S82)</f>
        <v>#NAME?</v>
      </c>
      <c r="Y82" s="55" t="str">
        <f t="shared" si="1"/>
        <v/>
      </c>
      <c r="Z82" s="53" t="e">
        <f ca="1">_xll.ESHistD($Q82,_xll.ESFldID(Z$2,"D"),"D",$AC$1)</f>
        <v>#NAME?</v>
      </c>
      <c r="AA82" s="53" t="e">
        <f ca="1">_xll.ESHistD($Q82,_xll.ESFldID(AA$2,"D"),"D",$AC$1)</f>
        <v>#NAME?</v>
      </c>
      <c r="AB82" s="53" t="e">
        <f ca="1">_xll.ESHistD($Q82,_xll.ESFldID(AB$2,"D"),"D",$AC$1)</f>
        <v>#NAME?</v>
      </c>
      <c r="AC82" s="53" t="e">
        <f ca="1">_xll.ESHistD($Q82,_xll.ESFldID(AC$2,"D"),"D",$AC$1)</f>
        <v>#NAME?</v>
      </c>
      <c r="AD82" s="22" t="e">
        <f ca="1">_xll.ESHistD($Q82,_xll.ESFldID(AD$2,"D"),"D",$AC$1)</f>
        <v>#NAME?</v>
      </c>
    </row>
    <row r="83" spans="16:30" x14ac:dyDescent="0.25">
      <c r="P83" s="52" t="str">
        <f>IF(OR(ISBLANK(Q83), Q83=""),"", MAX(P$2:P82)+1)</f>
        <v/>
      </c>
      <c r="S83" s="16"/>
      <c r="T83" s="53" t="e">
        <f ca="1">_xll.ESHistD($Q83,_xll.ESFldID(T$2,"D"),"D",$S83)</f>
        <v>#NAME?</v>
      </c>
      <c r="U83" s="53" t="e">
        <f ca="1">_xll.ESHistD($Q83,_xll.ESFldID(U$2,"D"),"D",$S83)</f>
        <v>#NAME?</v>
      </c>
      <c r="V83" s="53" t="e">
        <f ca="1">_xll.ESHistD($Q83,_xll.ESFldID(V$2,"D"),"D",$S83)</f>
        <v>#NAME?</v>
      </c>
      <c r="W83" s="53" t="e">
        <f ca="1">_xll.ESHistD($Q83,_xll.ESFldID(W$2,"D"),"D",$S83)</f>
        <v>#NAME?</v>
      </c>
      <c r="X83" s="22" t="e">
        <f ca="1">_xll.ESHistD($Q83,_xll.ESFldID(X$2,"D"),"D",$S83)</f>
        <v>#NAME?</v>
      </c>
      <c r="Y83" s="55" t="str">
        <f t="shared" si="1"/>
        <v/>
      </c>
      <c r="Z83" s="53" t="e">
        <f ca="1">_xll.ESHistD($Q83,_xll.ESFldID(Z$2,"D"),"D",$AC$1)</f>
        <v>#NAME?</v>
      </c>
      <c r="AA83" s="53" t="e">
        <f ca="1">_xll.ESHistD($Q83,_xll.ESFldID(AA$2,"D"),"D",$AC$1)</f>
        <v>#NAME?</v>
      </c>
      <c r="AB83" s="53" t="e">
        <f ca="1">_xll.ESHistD($Q83,_xll.ESFldID(AB$2,"D"),"D",$AC$1)</f>
        <v>#NAME?</v>
      </c>
      <c r="AC83" s="53" t="e">
        <f ca="1">_xll.ESHistD($Q83,_xll.ESFldID(AC$2,"D"),"D",$AC$1)</f>
        <v>#NAME?</v>
      </c>
      <c r="AD83" s="22" t="e">
        <f ca="1">_xll.ESHistD($Q83,_xll.ESFldID(AD$2,"D"),"D",$AC$1)</f>
        <v>#NAME?</v>
      </c>
    </row>
    <row r="84" spans="16:30" x14ac:dyDescent="0.25">
      <c r="P84" s="52" t="str">
        <f>IF(OR(ISBLANK(Q84), Q84=""),"", MAX(P$2:P83)+1)</f>
        <v/>
      </c>
      <c r="S84" s="16"/>
      <c r="T84" s="53" t="e">
        <f ca="1">_xll.ESHistD($Q84,_xll.ESFldID(T$2,"D"),"D",$S84)</f>
        <v>#NAME?</v>
      </c>
      <c r="U84" s="53" t="e">
        <f ca="1">_xll.ESHistD($Q84,_xll.ESFldID(U$2,"D"),"D",$S84)</f>
        <v>#NAME?</v>
      </c>
      <c r="V84" s="53" t="e">
        <f ca="1">_xll.ESHistD($Q84,_xll.ESFldID(V$2,"D"),"D",$S84)</f>
        <v>#NAME?</v>
      </c>
      <c r="W84" s="53" t="e">
        <f ca="1">_xll.ESHistD($Q84,_xll.ESFldID(W$2,"D"),"D",$S84)</f>
        <v>#NAME?</v>
      </c>
      <c r="X84" s="22" t="e">
        <f ca="1">_xll.ESHistD($Q84,_xll.ESFldID(X$2,"D"),"D",$S84)</f>
        <v>#NAME?</v>
      </c>
      <c r="Y84" s="55" t="str">
        <f t="shared" si="1"/>
        <v/>
      </c>
      <c r="Z84" s="53" t="e">
        <f ca="1">_xll.ESHistD($Q84,_xll.ESFldID(Z$2,"D"),"D",$AC$1)</f>
        <v>#NAME?</v>
      </c>
      <c r="AA84" s="53" t="e">
        <f ca="1">_xll.ESHistD($Q84,_xll.ESFldID(AA$2,"D"),"D",$AC$1)</f>
        <v>#NAME?</v>
      </c>
      <c r="AB84" s="53" t="e">
        <f ca="1">_xll.ESHistD($Q84,_xll.ESFldID(AB$2,"D"),"D",$AC$1)</f>
        <v>#NAME?</v>
      </c>
      <c r="AC84" s="53" t="e">
        <f ca="1">_xll.ESHistD($Q84,_xll.ESFldID(AC$2,"D"),"D",$AC$1)</f>
        <v>#NAME?</v>
      </c>
      <c r="AD84" s="22" t="e">
        <f ca="1">_xll.ESHistD($Q84,_xll.ESFldID(AD$2,"D"),"D",$AC$1)</f>
        <v>#NAME?</v>
      </c>
    </row>
    <row r="85" spans="16:30" x14ac:dyDescent="0.25">
      <c r="P85" s="52" t="str">
        <f>IF(OR(ISBLANK(Q85), Q85=""),"", MAX(P$2:P84)+1)</f>
        <v/>
      </c>
      <c r="S85" s="16"/>
      <c r="T85" s="53" t="e">
        <f ca="1">_xll.ESHistD($Q85,_xll.ESFldID(T$2,"D"),"D",$S85)</f>
        <v>#NAME?</v>
      </c>
      <c r="U85" s="53" t="e">
        <f ca="1">_xll.ESHistD($Q85,_xll.ESFldID(U$2,"D"),"D",$S85)</f>
        <v>#NAME?</v>
      </c>
      <c r="V85" s="53" t="e">
        <f ca="1">_xll.ESHistD($Q85,_xll.ESFldID(V$2,"D"),"D",$S85)</f>
        <v>#NAME?</v>
      </c>
      <c r="W85" s="53" t="e">
        <f ca="1">_xll.ESHistD($Q85,_xll.ESFldID(W$2,"D"),"D",$S85)</f>
        <v>#NAME?</v>
      </c>
      <c r="X85" s="22" t="e">
        <f ca="1">_xll.ESHistD($Q85,_xll.ESFldID(X$2,"D"),"D",$S85)</f>
        <v>#NAME?</v>
      </c>
      <c r="Y85" s="55" t="str">
        <f t="shared" si="1"/>
        <v/>
      </c>
      <c r="Z85" s="53" t="e">
        <f ca="1">_xll.ESHistD($Q85,_xll.ESFldID(Z$2,"D"),"D",$AC$1)</f>
        <v>#NAME?</v>
      </c>
      <c r="AA85" s="53" t="e">
        <f ca="1">_xll.ESHistD($Q85,_xll.ESFldID(AA$2,"D"),"D",$AC$1)</f>
        <v>#NAME?</v>
      </c>
      <c r="AB85" s="53" t="e">
        <f ca="1">_xll.ESHistD($Q85,_xll.ESFldID(AB$2,"D"),"D",$AC$1)</f>
        <v>#NAME?</v>
      </c>
      <c r="AC85" s="53" t="e">
        <f ca="1">_xll.ESHistD($Q85,_xll.ESFldID(AC$2,"D"),"D",$AC$1)</f>
        <v>#NAME?</v>
      </c>
      <c r="AD85" s="22" t="e">
        <f ca="1">_xll.ESHistD($Q85,_xll.ESFldID(AD$2,"D"),"D",$AC$1)</f>
        <v>#NAME?</v>
      </c>
    </row>
    <row r="86" spans="16:30" x14ac:dyDescent="0.25">
      <c r="P86" s="52" t="str">
        <f>IF(OR(ISBLANK(Q86), Q86=""),"", MAX(P$2:P85)+1)</f>
        <v/>
      </c>
      <c r="S86" s="16"/>
      <c r="T86" s="53" t="e">
        <f ca="1">_xll.ESHistD($Q86,_xll.ESFldID(T$2,"D"),"D",$S86)</f>
        <v>#NAME?</v>
      </c>
      <c r="U86" s="53" t="e">
        <f ca="1">_xll.ESHistD($Q86,_xll.ESFldID(U$2,"D"),"D",$S86)</f>
        <v>#NAME?</v>
      </c>
      <c r="V86" s="53" t="e">
        <f ca="1">_xll.ESHistD($Q86,_xll.ESFldID(V$2,"D"),"D",$S86)</f>
        <v>#NAME?</v>
      </c>
      <c r="W86" s="53" t="e">
        <f ca="1">_xll.ESHistD($Q86,_xll.ESFldID(W$2,"D"),"D",$S86)</f>
        <v>#NAME?</v>
      </c>
      <c r="X86" s="22" t="e">
        <f ca="1">_xll.ESHistD($Q86,_xll.ESFldID(X$2,"D"),"D",$S86)</f>
        <v>#NAME?</v>
      </c>
      <c r="Y86" s="55" t="str">
        <f t="shared" si="1"/>
        <v/>
      </c>
      <c r="Z86" s="53" t="e">
        <f ca="1">_xll.ESHistD($Q86,_xll.ESFldID(Z$2,"D"),"D",$AC$1)</f>
        <v>#NAME?</v>
      </c>
      <c r="AA86" s="53" t="e">
        <f ca="1">_xll.ESHistD($Q86,_xll.ESFldID(AA$2,"D"),"D",$AC$1)</f>
        <v>#NAME?</v>
      </c>
      <c r="AB86" s="53" t="e">
        <f ca="1">_xll.ESHistD($Q86,_xll.ESFldID(AB$2,"D"),"D",$AC$1)</f>
        <v>#NAME?</v>
      </c>
      <c r="AC86" s="53" t="e">
        <f ca="1">_xll.ESHistD($Q86,_xll.ESFldID(AC$2,"D"),"D",$AC$1)</f>
        <v>#NAME?</v>
      </c>
      <c r="AD86" s="22" t="e">
        <f ca="1">_xll.ESHistD($Q86,_xll.ESFldID(AD$2,"D"),"D",$AC$1)</f>
        <v>#NAME?</v>
      </c>
    </row>
    <row r="87" spans="16:30" x14ac:dyDescent="0.25">
      <c r="P87" s="52" t="str">
        <f>IF(OR(ISBLANK(Q87), Q87=""),"", MAX(P$2:P86)+1)</f>
        <v/>
      </c>
      <c r="S87" s="16"/>
      <c r="T87" s="53" t="e">
        <f ca="1">_xll.ESHistD($Q87,_xll.ESFldID(T$2,"D"),"D",$S87)</f>
        <v>#NAME?</v>
      </c>
      <c r="U87" s="53" t="e">
        <f ca="1">_xll.ESHistD($Q87,_xll.ESFldID(U$2,"D"),"D",$S87)</f>
        <v>#NAME?</v>
      </c>
      <c r="V87" s="53" t="e">
        <f ca="1">_xll.ESHistD($Q87,_xll.ESFldID(V$2,"D"),"D",$S87)</f>
        <v>#NAME?</v>
      </c>
      <c r="W87" s="53" t="e">
        <f ca="1">_xll.ESHistD($Q87,_xll.ESFldID(W$2,"D"),"D",$S87)</f>
        <v>#NAME?</v>
      </c>
      <c r="X87" s="22" t="e">
        <f ca="1">_xll.ESHistD($Q87,_xll.ESFldID(X$2,"D"),"D",$S87)</f>
        <v>#NAME?</v>
      </c>
      <c r="Y87" s="55" t="str">
        <f t="shared" si="1"/>
        <v/>
      </c>
      <c r="Z87" s="53" t="e">
        <f ca="1">_xll.ESHistD($Q87,_xll.ESFldID(Z$2,"D"),"D",$AC$1)</f>
        <v>#NAME?</v>
      </c>
      <c r="AA87" s="53" t="e">
        <f ca="1">_xll.ESHistD($Q87,_xll.ESFldID(AA$2,"D"),"D",$AC$1)</f>
        <v>#NAME?</v>
      </c>
      <c r="AB87" s="53" t="e">
        <f ca="1">_xll.ESHistD($Q87,_xll.ESFldID(AB$2,"D"),"D",$AC$1)</f>
        <v>#NAME?</v>
      </c>
      <c r="AC87" s="53" t="e">
        <f ca="1">_xll.ESHistD($Q87,_xll.ESFldID(AC$2,"D"),"D",$AC$1)</f>
        <v>#NAME?</v>
      </c>
      <c r="AD87" s="22" t="e">
        <f ca="1">_xll.ESHistD($Q87,_xll.ESFldID(AD$2,"D"),"D",$AC$1)</f>
        <v>#NAME?</v>
      </c>
    </row>
    <row r="88" spans="16:30" x14ac:dyDescent="0.25">
      <c r="P88" s="52" t="str">
        <f>IF(OR(ISBLANK(Q88), Q88=""),"", MAX(P$2:P87)+1)</f>
        <v/>
      </c>
      <c r="S88" s="16"/>
      <c r="T88" s="53" t="e">
        <f ca="1">_xll.ESHistD($Q88,_xll.ESFldID(T$2,"D"),"D",$S88)</f>
        <v>#NAME?</v>
      </c>
      <c r="U88" s="53" t="e">
        <f ca="1">_xll.ESHistD($Q88,_xll.ESFldID(U$2,"D"),"D",$S88)</f>
        <v>#NAME?</v>
      </c>
      <c r="V88" s="53" t="e">
        <f ca="1">_xll.ESHistD($Q88,_xll.ESFldID(V$2,"D"),"D",$S88)</f>
        <v>#NAME?</v>
      </c>
      <c r="W88" s="53" t="e">
        <f ca="1">_xll.ESHistD($Q88,_xll.ESFldID(W$2,"D"),"D",$S88)</f>
        <v>#NAME?</v>
      </c>
      <c r="X88" s="22" t="e">
        <f ca="1">_xll.ESHistD($Q88,_xll.ESFldID(X$2,"D"),"D",$S88)</f>
        <v>#NAME?</v>
      </c>
      <c r="Y88" s="55" t="str">
        <f t="shared" si="1"/>
        <v/>
      </c>
      <c r="Z88" s="53" t="e">
        <f ca="1">_xll.ESHistD($Q88,_xll.ESFldID(Z$2,"D"),"D",$AC$1)</f>
        <v>#NAME?</v>
      </c>
      <c r="AA88" s="53" t="e">
        <f ca="1">_xll.ESHistD($Q88,_xll.ESFldID(AA$2,"D"),"D",$AC$1)</f>
        <v>#NAME?</v>
      </c>
      <c r="AB88" s="53" t="e">
        <f ca="1">_xll.ESHistD($Q88,_xll.ESFldID(AB$2,"D"),"D",$AC$1)</f>
        <v>#NAME?</v>
      </c>
      <c r="AC88" s="53" t="e">
        <f ca="1">_xll.ESHistD($Q88,_xll.ESFldID(AC$2,"D"),"D",$AC$1)</f>
        <v>#NAME?</v>
      </c>
      <c r="AD88" s="22" t="e">
        <f ca="1">_xll.ESHistD($Q88,_xll.ESFldID(AD$2,"D"),"D",$AC$1)</f>
        <v>#NAME?</v>
      </c>
    </row>
    <row r="89" spans="16:30" x14ac:dyDescent="0.25">
      <c r="P89" s="52" t="str">
        <f>IF(OR(ISBLANK(Q89), Q89=""),"", MAX(P$2:P88)+1)</f>
        <v/>
      </c>
      <c r="S89" s="16"/>
      <c r="T89" s="53" t="e">
        <f ca="1">_xll.ESHistD($Q89,_xll.ESFldID(T$2,"D"),"D",$S89)</f>
        <v>#NAME?</v>
      </c>
      <c r="U89" s="53" t="e">
        <f ca="1">_xll.ESHistD($Q89,_xll.ESFldID(U$2,"D"),"D",$S89)</f>
        <v>#NAME?</v>
      </c>
      <c r="V89" s="53" t="e">
        <f ca="1">_xll.ESHistD($Q89,_xll.ESFldID(V$2,"D"),"D",$S89)</f>
        <v>#NAME?</v>
      </c>
      <c r="W89" s="53" t="e">
        <f ca="1">_xll.ESHistD($Q89,_xll.ESFldID(W$2,"D"),"D",$S89)</f>
        <v>#NAME?</v>
      </c>
      <c r="X89" s="22" t="e">
        <f ca="1">_xll.ESHistD($Q89,_xll.ESFldID(X$2,"D"),"D",$S89)</f>
        <v>#NAME?</v>
      </c>
      <c r="Y89" s="55" t="str">
        <f t="shared" si="1"/>
        <v/>
      </c>
      <c r="Z89" s="53" t="e">
        <f ca="1">_xll.ESHistD($Q89,_xll.ESFldID(Z$2,"D"),"D",$AC$1)</f>
        <v>#NAME?</v>
      </c>
      <c r="AA89" s="53" t="e">
        <f ca="1">_xll.ESHistD($Q89,_xll.ESFldID(AA$2,"D"),"D",$AC$1)</f>
        <v>#NAME?</v>
      </c>
      <c r="AB89" s="53" t="e">
        <f ca="1">_xll.ESHistD($Q89,_xll.ESFldID(AB$2,"D"),"D",$AC$1)</f>
        <v>#NAME?</v>
      </c>
      <c r="AC89" s="53" t="e">
        <f ca="1">_xll.ESHistD($Q89,_xll.ESFldID(AC$2,"D"),"D",$AC$1)</f>
        <v>#NAME?</v>
      </c>
      <c r="AD89" s="22" t="e">
        <f ca="1">_xll.ESHistD($Q89,_xll.ESFldID(AD$2,"D"),"D",$AC$1)</f>
        <v>#NAME?</v>
      </c>
    </row>
    <row r="90" spans="16:30" x14ac:dyDescent="0.25">
      <c r="P90" s="52" t="str">
        <f>IF(OR(ISBLANK(Q90), Q90=""),"", MAX(P$2:P89)+1)</f>
        <v/>
      </c>
      <c r="S90" s="16"/>
      <c r="T90" s="53" t="e">
        <f ca="1">_xll.ESHistD($Q90,_xll.ESFldID(T$2,"D"),"D",$S90)</f>
        <v>#NAME?</v>
      </c>
      <c r="U90" s="53" t="e">
        <f ca="1">_xll.ESHistD($Q90,_xll.ESFldID(U$2,"D"),"D",$S90)</f>
        <v>#NAME?</v>
      </c>
      <c r="V90" s="53" t="e">
        <f ca="1">_xll.ESHistD($Q90,_xll.ESFldID(V$2,"D"),"D",$S90)</f>
        <v>#NAME?</v>
      </c>
      <c r="W90" s="53" t="e">
        <f ca="1">_xll.ESHistD($Q90,_xll.ESFldID(W$2,"D"),"D",$S90)</f>
        <v>#NAME?</v>
      </c>
      <c r="X90" s="22" t="e">
        <f ca="1">_xll.ESHistD($Q90,_xll.ESFldID(X$2,"D"),"D",$S90)</f>
        <v>#NAME?</v>
      </c>
      <c r="Y90" s="55" t="str">
        <f t="shared" si="1"/>
        <v/>
      </c>
      <c r="Z90" s="53" t="e">
        <f ca="1">_xll.ESHistD($Q90,_xll.ESFldID(Z$2,"D"),"D",$AC$1)</f>
        <v>#NAME?</v>
      </c>
      <c r="AA90" s="53" t="e">
        <f ca="1">_xll.ESHistD($Q90,_xll.ESFldID(AA$2,"D"),"D",$AC$1)</f>
        <v>#NAME?</v>
      </c>
      <c r="AB90" s="53" t="e">
        <f ca="1">_xll.ESHistD($Q90,_xll.ESFldID(AB$2,"D"),"D",$AC$1)</f>
        <v>#NAME?</v>
      </c>
      <c r="AC90" s="53" t="e">
        <f ca="1">_xll.ESHistD($Q90,_xll.ESFldID(AC$2,"D"),"D",$AC$1)</f>
        <v>#NAME?</v>
      </c>
      <c r="AD90" s="22" t="e">
        <f ca="1">_xll.ESHistD($Q90,_xll.ESFldID(AD$2,"D"),"D",$AC$1)</f>
        <v>#NAME?</v>
      </c>
    </row>
    <row r="91" spans="16:30" x14ac:dyDescent="0.25">
      <c r="P91" s="52" t="str">
        <f>IF(OR(ISBLANK(Q91), Q91=""),"", MAX(P$2:P90)+1)</f>
        <v/>
      </c>
      <c r="S91" s="16"/>
      <c r="T91" s="53" t="e">
        <f ca="1">_xll.ESHistD($Q91,_xll.ESFldID(T$2,"D"),"D",$S91)</f>
        <v>#NAME?</v>
      </c>
      <c r="U91" s="53" t="e">
        <f ca="1">_xll.ESHistD($Q91,_xll.ESFldID(U$2,"D"),"D",$S91)</f>
        <v>#NAME?</v>
      </c>
      <c r="V91" s="53" t="e">
        <f ca="1">_xll.ESHistD($Q91,_xll.ESFldID(V$2,"D"),"D",$S91)</f>
        <v>#NAME?</v>
      </c>
      <c r="W91" s="53" t="e">
        <f ca="1">_xll.ESHistD($Q91,_xll.ESFldID(W$2,"D"),"D",$S91)</f>
        <v>#NAME?</v>
      </c>
      <c r="X91" s="22" t="e">
        <f ca="1">_xll.ESHistD($Q91,_xll.ESFldID(X$2,"D"),"D",$S91)</f>
        <v>#NAME?</v>
      </c>
      <c r="Y91" s="55" t="str">
        <f t="shared" si="1"/>
        <v/>
      </c>
      <c r="Z91" s="53" t="e">
        <f ca="1">_xll.ESHistD($Q91,_xll.ESFldID(Z$2,"D"),"D",$AC$1)</f>
        <v>#NAME?</v>
      </c>
      <c r="AA91" s="53" t="e">
        <f ca="1">_xll.ESHistD($Q91,_xll.ESFldID(AA$2,"D"),"D",$AC$1)</f>
        <v>#NAME?</v>
      </c>
      <c r="AB91" s="53" t="e">
        <f ca="1">_xll.ESHistD($Q91,_xll.ESFldID(AB$2,"D"),"D",$AC$1)</f>
        <v>#NAME?</v>
      </c>
      <c r="AC91" s="53" t="e">
        <f ca="1">_xll.ESHistD($Q91,_xll.ESFldID(AC$2,"D"),"D",$AC$1)</f>
        <v>#NAME?</v>
      </c>
      <c r="AD91" s="22" t="e">
        <f ca="1">_xll.ESHistD($Q91,_xll.ESFldID(AD$2,"D"),"D",$AC$1)</f>
        <v>#NAME?</v>
      </c>
    </row>
    <row r="92" spans="16:30" x14ac:dyDescent="0.25">
      <c r="P92" s="52" t="str">
        <f>IF(OR(ISBLANK(Q92), Q92=""),"", MAX(P$2:P91)+1)</f>
        <v/>
      </c>
      <c r="S92" s="16"/>
      <c r="T92" s="53" t="e">
        <f ca="1">_xll.ESHistD($Q92,_xll.ESFldID(T$2,"D"),"D",$S92)</f>
        <v>#NAME?</v>
      </c>
      <c r="U92" s="53" t="e">
        <f ca="1">_xll.ESHistD($Q92,_xll.ESFldID(U$2,"D"),"D",$S92)</f>
        <v>#NAME?</v>
      </c>
      <c r="V92" s="53" t="e">
        <f ca="1">_xll.ESHistD($Q92,_xll.ESFldID(V$2,"D"),"D",$S92)</f>
        <v>#NAME?</v>
      </c>
      <c r="W92" s="53" t="e">
        <f ca="1">_xll.ESHistD($Q92,_xll.ESFldID(W$2,"D"),"D",$S92)</f>
        <v>#NAME?</v>
      </c>
      <c r="X92" s="22" t="e">
        <f ca="1">_xll.ESHistD($Q92,_xll.ESFldID(X$2,"D"),"D",$S92)</f>
        <v>#NAME?</v>
      </c>
      <c r="Y92" s="55" t="str">
        <f t="shared" si="1"/>
        <v/>
      </c>
      <c r="Z92" s="53" t="e">
        <f ca="1">_xll.ESHistD($Q92,_xll.ESFldID(Z$2,"D"),"D",$AC$1)</f>
        <v>#NAME?</v>
      </c>
      <c r="AA92" s="53" t="e">
        <f ca="1">_xll.ESHistD($Q92,_xll.ESFldID(AA$2,"D"),"D",$AC$1)</f>
        <v>#NAME?</v>
      </c>
      <c r="AB92" s="53" t="e">
        <f ca="1">_xll.ESHistD($Q92,_xll.ESFldID(AB$2,"D"),"D",$AC$1)</f>
        <v>#NAME?</v>
      </c>
      <c r="AC92" s="53" t="e">
        <f ca="1">_xll.ESHistD($Q92,_xll.ESFldID(AC$2,"D"),"D",$AC$1)</f>
        <v>#NAME?</v>
      </c>
      <c r="AD92" s="22" t="e">
        <f ca="1">_xll.ESHistD($Q92,_xll.ESFldID(AD$2,"D"),"D",$AC$1)</f>
        <v>#NAME?</v>
      </c>
    </row>
    <row r="93" spans="16:30" x14ac:dyDescent="0.25">
      <c r="P93" s="52" t="str">
        <f>IF(OR(ISBLANK(Q93), Q93=""),"", MAX(P$2:P92)+1)</f>
        <v/>
      </c>
      <c r="S93" s="16"/>
      <c r="T93" s="53" t="e">
        <f ca="1">_xll.ESHistD($Q93,_xll.ESFldID(T$2,"D"),"D",$S93)</f>
        <v>#NAME?</v>
      </c>
      <c r="U93" s="53" t="e">
        <f ca="1">_xll.ESHistD($Q93,_xll.ESFldID(U$2,"D"),"D",$S93)</f>
        <v>#NAME?</v>
      </c>
      <c r="V93" s="53" t="e">
        <f ca="1">_xll.ESHistD($Q93,_xll.ESFldID(V$2,"D"),"D",$S93)</f>
        <v>#NAME?</v>
      </c>
      <c r="W93" s="53" t="e">
        <f ca="1">_xll.ESHistD($Q93,_xll.ESFldID(W$2,"D"),"D",$S93)</f>
        <v>#NAME?</v>
      </c>
      <c r="X93" s="22" t="e">
        <f ca="1">_xll.ESHistD($Q93,_xll.ESFldID(X$2,"D"),"D",$S93)</f>
        <v>#NAME?</v>
      </c>
      <c r="Y93" s="55" t="str">
        <f t="shared" si="1"/>
        <v/>
      </c>
      <c r="Z93" s="53" t="e">
        <f ca="1">_xll.ESHistD($Q93,_xll.ESFldID(Z$2,"D"),"D",$AC$1)</f>
        <v>#NAME?</v>
      </c>
      <c r="AA93" s="53" t="e">
        <f ca="1">_xll.ESHistD($Q93,_xll.ESFldID(AA$2,"D"),"D",$AC$1)</f>
        <v>#NAME?</v>
      </c>
      <c r="AB93" s="53" t="e">
        <f ca="1">_xll.ESHistD($Q93,_xll.ESFldID(AB$2,"D"),"D",$AC$1)</f>
        <v>#NAME?</v>
      </c>
      <c r="AC93" s="53" t="e">
        <f ca="1">_xll.ESHistD($Q93,_xll.ESFldID(AC$2,"D"),"D",$AC$1)</f>
        <v>#NAME?</v>
      </c>
      <c r="AD93" s="22" t="e">
        <f ca="1">_xll.ESHistD($Q93,_xll.ESFldID(AD$2,"D"),"D",$AC$1)</f>
        <v>#NAME?</v>
      </c>
    </row>
    <row r="94" spans="16:30" x14ac:dyDescent="0.25">
      <c r="P94" s="52" t="str">
        <f>IF(OR(ISBLANK(Q94), Q94=""),"", MAX(P$2:P93)+1)</f>
        <v/>
      </c>
      <c r="S94" s="16"/>
      <c r="T94" s="53" t="e">
        <f ca="1">_xll.ESHistD($Q94,_xll.ESFldID(T$2,"D"),"D",$S94)</f>
        <v>#NAME?</v>
      </c>
      <c r="U94" s="53" t="e">
        <f ca="1">_xll.ESHistD($Q94,_xll.ESFldID(U$2,"D"),"D",$S94)</f>
        <v>#NAME?</v>
      </c>
      <c r="V94" s="53" t="e">
        <f ca="1">_xll.ESHistD($Q94,_xll.ESFldID(V$2,"D"),"D",$S94)</f>
        <v>#NAME?</v>
      </c>
      <c r="W94" s="53" t="e">
        <f ca="1">_xll.ESHistD($Q94,_xll.ESFldID(W$2,"D"),"D",$S94)</f>
        <v>#NAME?</v>
      </c>
      <c r="X94" s="22" t="e">
        <f ca="1">_xll.ESHistD($Q94,_xll.ESFldID(X$2,"D"),"D",$S94)</f>
        <v>#NAME?</v>
      </c>
      <c r="Y94" s="55" t="str">
        <f t="shared" si="1"/>
        <v/>
      </c>
      <c r="Z94" s="53" t="e">
        <f ca="1">_xll.ESHistD($Q94,_xll.ESFldID(Z$2,"D"),"D",$AC$1)</f>
        <v>#NAME?</v>
      </c>
      <c r="AA94" s="53" t="e">
        <f ca="1">_xll.ESHistD($Q94,_xll.ESFldID(AA$2,"D"),"D",$AC$1)</f>
        <v>#NAME?</v>
      </c>
      <c r="AB94" s="53" t="e">
        <f ca="1">_xll.ESHistD($Q94,_xll.ESFldID(AB$2,"D"),"D",$AC$1)</f>
        <v>#NAME?</v>
      </c>
      <c r="AC94" s="53" t="e">
        <f ca="1">_xll.ESHistD($Q94,_xll.ESFldID(AC$2,"D"),"D",$AC$1)</f>
        <v>#NAME?</v>
      </c>
      <c r="AD94" s="22" t="e">
        <f ca="1">_xll.ESHistD($Q94,_xll.ESFldID(AD$2,"D"),"D",$AC$1)</f>
        <v>#NAME?</v>
      </c>
    </row>
    <row r="95" spans="16:30" x14ac:dyDescent="0.25">
      <c r="P95" s="52" t="str">
        <f>IF(OR(ISBLANK(Q95), Q95=""),"", MAX(P$2:P94)+1)</f>
        <v/>
      </c>
      <c r="S95" s="16"/>
      <c r="T95" s="53" t="e">
        <f ca="1">_xll.ESHistD($Q95,_xll.ESFldID(T$2,"D"),"D",$S95)</f>
        <v>#NAME?</v>
      </c>
      <c r="U95" s="53" t="e">
        <f ca="1">_xll.ESHistD($Q95,_xll.ESFldID(U$2,"D"),"D",$S95)</f>
        <v>#NAME?</v>
      </c>
      <c r="V95" s="53" t="e">
        <f ca="1">_xll.ESHistD($Q95,_xll.ESFldID(V$2,"D"),"D",$S95)</f>
        <v>#NAME?</v>
      </c>
      <c r="W95" s="53" t="e">
        <f ca="1">_xll.ESHistD($Q95,_xll.ESFldID(W$2,"D"),"D",$S95)</f>
        <v>#NAME?</v>
      </c>
      <c r="X95" s="22" t="e">
        <f ca="1">_xll.ESHistD($Q95,_xll.ESFldID(X$2,"D"),"D",$S95)</f>
        <v>#NAME?</v>
      </c>
      <c r="Y95" s="55" t="str">
        <f t="shared" si="1"/>
        <v/>
      </c>
      <c r="Z95" s="53" t="e">
        <f ca="1">_xll.ESHistD($Q95,_xll.ESFldID(Z$2,"D"),"D",$AC$1)</f>
        <v>#NAME?</v>
      </c>
      <c r="AA95" s="53" t="e">
        <f ca="1">_xll.ESHistD($Q95,_xll.ESFldID(AA$2,"D"),"D",$AC$1)</f>
        <v>#NAME?</v>
      </c>
      <c r="AB95" s="53" t="e">
        <f ca="1">_xll.ESHistD($Q95,_xll.ESFldID(AB$2,"D"),"D",$AC$1)</f>
        <v>#NAME?</v>
      </c>
      <c r="AC95" s="53" t="e">
        <f ca="1">_xll.ESHistD($Q95,_xll.ESFldID(AC$2,"D"),"D",$AC$1)</f>
        <v>#NAME?</v>
      </c>
      <c r="AD95" s="22" t="e">
        <f ca="1">_xll.ESHistD($Q95,_xll.ESFldID(AD$2,"D"),"D",$AC$1)</f>
        <v>#NAME?</v>
      </c>
    </row>
    <row r="96" spans="16:30" x14ac:dyDescent="0.25">
      <c r="P96" s="52" t="str">
        <f>IF(OR(ISBLANK(Q96), Q96=""),"", MAX(P$2:P95)+1)</f>
        <v/>
      </c>
      <c r="S96" s="16"/>
      <c r="T96" s="53" t="e">
        <f ca="1">_xll.ESHistD($Q96,_xll.ESFldID(T$2,"D"),"D",$S96)</f>
        <v>#NAME?</v>
      </c>
      <c r="U96" s="53" t="e">
        <f ca="1">_xll.ESHistD($Q96,_xll.ESFldID(U$2,"D"),"D",$S96)</f>
        <v>#NAME?</v>
      </c>
      <c r="V96" s="53" t="e">
        <f ca="1">_xll.ESHistD($Q96,_xll.ESFldID(V$2,"D"),"D",$S96)</f>
        <v>#NAME?</v>
      </c>
      <c r="W96" s="53" t="e">
        <f ca="1">_xll.ESHistD($Q96,_xll.ESFldID(W$2,"D"),"D",$S96)</f>
        <v>#NAME?</v>
      </c>
      <c r="X96" s="22" t="e">
        <f ca="1">_xll.ESHistD($Q96,_xll.ESFldID(X$2,"D"),"D",$S96)</f>
        <v>#NAME?</v>
      </c>
      <c r="Y96" s="55" t="str">
        <f t="shared" si="1"/>
        <v/>
      </c>
      <c r="Z96" s="53" t="e">
        <f ca="1">_xll.ESHistD($Q96,_xll.ESFldID(Z$2,"D"),"D",$AC$1)</f>
        <v>#NAME?</v>
      </c>
      <c r="AA96" s="53" t="e">
        <f ca="1">_xll.ESHistD($Q96,_xll.ESFldID(AA$2,"D"),"D",$AC$1)</f>
        <v>#NAME?</v>
      </c>
      <c r="AB96" s="53" t="e">
        <f ca="1">_xll.ESHistD($Q96,_xll.ESFldID(AB$2,"D"),"D",$AC$1)</f>
        <v>#NAME?</v>
      </c>
      <c r="AC96" s="53" t="e">
        <f ca="1">_xll.ESHistD($Q96,_xll.ESFldID(AC$2,"D"),"D",$AC$1)</f>
        <v>#NAME?</v>
      </c>
      <c r="AD96" s="22" t="e">
        <f ca="1">_xll.ESHistD($Q96,_xll.ESFldID(AD$2,"D"),"D",$AC$1)</f>
        <v>#NAME?</v>
      </c>
    </row>
    <row r="97" spans="16:30" x14ac:dyDescent="0.25">
      <c r="P97" s="52" t="str">
        <f>IF(OR(ISBLANK(Q97), Q97=""),"", MAX(P$2:P96)+1)</f>
        <v/>
      </c>
      <c r="S97" s="16"/>
      <c r="T97" s="53" t="e">
        <f ca="1">_xll.ESHistD($Q97,_xll.ESFldID(T$2,"D"),"D",$S97)</f>
        <v>#NAME?</v>
      </c>
      <c r="U97" s="53" t="e">
        <f ca="1">_xll.ESHistD($Q97,_xll.ESFldID(U$2,"D"),"D",$S97)</f>
        <v>#NAME?</v>
      </c>
      <c r="V97" s="53" t="e">
        <f ca="1">_xll.ESHistD($Q97,_xll.ESFldID(V$2,"D"),"D",$S97)</f>
        <v>#NAME?</v>
      </c>
      <c r="W97" s="53" t="e">
        <f ca="1">_xll.ESHistD($Q97,_xll.ESFldID(W$2,"D"),"D",$S97)</f>
        <v>#NAME?</v>
      </c>
      <c r="X97" s="22" t="e">
        <f ca="1">_xll.ESHistD($Q97,_xll.ESFldID(X$2,"D"),"D",$S97)</f>
        <v>#NAME?</v>
      </c>
      <c r="Y97" s="55" t="str">
        <f t="shared" si="1"/>
        <v/>
      </c>
      <c r="Z97" s="53" t="e">
        <f ca="1">_xll.ESHistD($Q97,_xll.ESFldID(Z$2,"D"),"D",$AC$1)</f>
        <v>#NAME?</v>
      </c>
      <c r="AA97" s="53" t="e">
        <f ca="1">_xll.ESHistD($Q97,_xll.ESFldID(AA$2,"D"),"D",$AC$1)</f>
        <v>#NAME?</v>
      </c>
      <c r="AB97" s="53" t="e">
        <f ca="1">_xll.ESHistD($Q97,_xll.ESFldID(AB$2,"D"),"D",$AC$1)</f>
        <v>#NAME?</v>
      </c>
      <c r="AC97" s="53" t="e">
        <f ca="1">_xll.ESHistD($Q97,_xll.ESFldID(AC$2,"D"),"D",$AC$1)</f>
        <v>#NAME?</v>
      </c>
      <c r="AD97" s="22" t="e">
        <f ca="1">_xll.ESHistD($Q97,_xll.ESFldID(AD$2,"D"),"D",$AC$1)</f>
        <v>#NAME?</v>
      </c>
    </row>
    <row r="98" spans="16:30" x14ac:dyDescent="0.25">
      <c r="P98" s="52" t="str">
        <f>IF(OR(ISBLANK(Q98), Q98=""),"", MAX(P$2:P97)+1)</f>
        <v/>
      </c>
      <c r="S98" s="16"/>
      <c r="T98" s="53" t="e">
        <f ca="1">_xll.ESHistD($Q98,_xll.ESFldID(T$2,"D"),"D",$S98)</f>
        <v>#NAME?</v>
      </c>
      <c r="U98" s="53" t="e">
        <f ca="1">_xll.ESHistD($Q98,_xll.ESFldID(U$2,"D"),"D",$S98)</f>
        <v>#NAME?</v>
      </c>
      <c r="V98" s="53" t="e">
        <f ca="1">_xll.ESHistD($Q98,_xll.ESFldID(V$2,"D"),"D",$S98)</f>
        <v>#NAME?</v>
      </c>
      <c r="W98" s="53" t="e">
        <f ca="1">_xll.ESHistD($Q98,_xll.ESFldID(W$2,"D"),"D",$S98)</f>
        <v>#NAME?</v>
      </c>
      <c r="X98" s="22" t="e">
        <f ca="1">_xll.ESHistD($Q98,_xll.ESFldID(X$2,"D"),"D",$S98)</f>
        <v>#NAME?</v>
      </c>
      <c r="Y98" s="55" t="str">
        <f t="shared" si="1"/>
        <v/>
      </c>
      <c r="Z98" s="53" t="e">
        <f ca="1">_xll.ESHistD($Q98,_xll.ESFldID(Z$2,"D"),"D",$AC$1)</f>
        <v>#NAME?</v>
      </c>
      <c r="AA98" s="53" t="e">
        <f ca="1">_xll.ESHistD($Q98,_xll.ESFldID(AA$2,"D"),"D",$AC$1)</f>
        <v>#NAME?</v>
      </c>
      <c r="AB98" s="53" t="e">
        <f ca="1">_xll.ESHistD($Q98,_xll.ESFldID(AB$2,"D"),"D",$AC$1)</f>
        <v>#NAME?</v>
      </c>
      <c r="AC98" s="53" t="e">
        <f ca="1">_xll.ESHistD($Q98,_xll.ESFldID(AC$2,"D"),"D",$AC$1)</f>
        <v>#NAME?</v>
      </c>
      <c r="AD98" s="22" t="e">
        <f ca="1">_xll.ESHistD($Q98,_xll.ESFldID(AD$2,"D"),"D",$AC$1)</f>
        <v>#NAME?</v>
      </c>
    </row>
    <row r="99" spans="16:30" x14ac:dyDescent="0.25">
      <c r="P99" s="52" t="str">
        <f>IF(OR(ISBLANK(Q99), Q99=""),"", MAX(P$2:P98)+1)</f>
        <v/>
      </c>
      <c r="S99" s="16"/>
      <c r="T99" s="53" t="e">
        <f ca="1">_xll.ESHistD($Q99,_xll.ESFldID(T$2,"D"),"D",$S99)</f>
        <v>#NAME?</v>
      </c>
      <c r="U99" s="53" t="e">
        <f ca="1">_xll.ESHistD($Q99,_xll.ESFldID(U$2,"D"),"D",$S99)</f>
        <v>#NAME?</v>
      </c>
      <c r="V99" s="53" t="e">
        <f ca="1">_xll.ESHistD($Q99,_xll.ESFldID(V$2,"D"),"D",$S99)</f>
        <v>#NAME?</v>
      </c>
      <c r="W99" s="53" t="e">
        <f ca="1">_xll.ESHistD($Q99,_xll.ESFldID(W$2,"D"),"D",$S99)</f>
        <v>#NAME?</v>
      </c>
      <c r="X99" s="22" t="e">
        <f ca="1">_xll.ESHistD($Q99,_xll.ESFldID(X$2,"D"),"D",$S99)</f>
        <v>#NAME?</v>
      </c>
      <c r="Y99" s="55" t="str">
        <f t="shared" si="1"/>
        <v/>
      </c>
      <c r="Z99" s="53" t="e">
        <f ca="1">_xll.ESHistD($Q99,_xll.ESFldID(Z$2,"D"),"D",$AC$1)</f>
        <v>#NAME?</v>
      </c>
      <c r="AA99" s="53" t="e">
        <f ca="1">_xll.ESHistD($Q99,_xll.ESFldID(AA$2,"D"),"D",$AC$1)</f>
        <v>#NAME?</v>
      </c>
      <c r="AB99" s="53" t="e">
        <f ca="1">_xll.ESHistD($Q99,_xll.ESFldID(AB$2,"D"),"D",$AC$1)</f>
        <v>#NAME?</v>
      </c>
      <c r="AC99" s="53" t="e">
        <f ca="1">_xll.ESHistD($Q99,_xll.ESFldID(AC$2,"D"),"D",$AC$1)</f>
        <v>#NAME?</v>
      </c>
      <c r="AD99" s="22" t="e">
        <f ca="1">_xll.ESHistD($Q99,_xll.ESFldID(AD$2,"D"),"D",$AC$1)</f>
        <v>#NAME?</v>
      </c>
    </row>
    <row r="100" spans="16:30" x14ac:dyDescent="0.25">
      <c r="P100" s="52" t="str">
        <f>IF(OR(ISBLANK(Q100), Q100=""),"", MAX(P$2:P99)+1)</f>
        <v/>
      </c>
      <c r="S100" s="16"/>
      <c r="T100" s="53" t="e">
        <f ca="1">_xll.ESHistD($Q100,_xll.ESFldID(T$2,"D"),"D",$S100)</f>
        <v>#NAME?</v>
      </c>
      <c r="U100" s="53" t="e">
        <f ca="1">_xll.ESHistD($Q100,_xll.ESFldID(U$2,"D"),"D",$S100)</f>
        <v>#NAME?</v>
      </c>
      <c r="V100" s="53" t="e">
        <f ca="1">_xll.ESHistD($Q100,_xll.ESFldID(V$2,"D"),"D",$S100)</f>
        <v>#NAME?</v>
      </c>
      <c r="W100" s="53" t="e">
        <f ca="1">_xll.ESHistD($Q100,_xll.ESFldID(W$2,"D"),"D",$S100)</f>
        <v>#NAME?</v>
      </c>
      <c r="X100" s="22" t="e">
        <f ca="1">_xll.ESHistD($Q100,_xll.ESFldID(X$2,"D"),"D",$S100)</f>
        <v>#NAME?</v>
      </c>
      <c r="Y100" s="55" t="str">
        <f t="shared" si="1"/>
        <v/>
      </c>
      <c r="Z100" s="53" t="e">
        <f ca="1">_xll.ESHistD($Q100,_xll.ESFldID(Z$2,"D"),"D",$AC$1)</f>
        <v>#NAME?</v>
      </c>
      <c r="AA100" s="53" t="e">
        <f ca="1">_xll.ESHistD($Q100,_xll.ESFldID(AA$2,"D"),"D",$AC$1)</f>
        <v>#NAME?</v>
      </c>
      <c r="AB100" s="53" t="e">
        <f ca="1">_xll.ESHistD($Q100,_xll.ESFldID(AB$2,"D"),"D",$AC$1)</f>
        <v>#NAME?</v>
      </c>
      <c r="AC100" s="53" t="e">
        <f ca="1">_xll.ESHistD($Q100,_xll.ESFldID(AC$2,"D"),"D",$AC$1)</f>
        <v>#NAME?</v>
      </c>
      <c r="AD100" s="22" t="e">
        <f ca="1">_xll.ESHistD($Q100,_xll.ESFldID(AD$2,"D"),"D",$AC$1)</f>
        <v>#NAME?</v>
      </c>
    </row>
    <row r="101" spans="16:30" x14ac:dyDescent="0.25">
      <c r="P101" s="52" t="str">
        <f>IF(OR(ISBLANK(Q101), Q101=""),"", MAX(P$2:P100)+1)</f>
        <v/>
      </c>
      <c r="S101" s="16"/>
      <c r="T101" s="53" t="e">
        <f ca="1">_xll.ESHistD($Q101,_xll.ESFldID(T$2,"D"),"D",$S101)</f>
        <v>#NAME?</v>
      </c>
      <c r="U101" s="53" t="e">
        <f ca="1">_xll.ESHistD($Q101,_xll.ESFldID(U$2,"D"),"D",$S101)</f>
        <v>#NAME?</v>
      </c>
      <c r="V101" s="53" t="e">
        <f ca="1">_xll.ESHistD($Q101,_xll.ESFldID(V$2,"D"),"D",$S101)</f>
        <v>#NAME?</v>
      </c>
      <c r="W101" s="53" t="e">
        <f ca="1">_xll.ESHistD($Q101,_xll.ESFldID(W$2,"D"),"D",$S101)</f>
        <v>#NAME?</v>
      </c>
      <c r="X101" s="22" t="e">
        <f ca="1">_xll.ESHistD($Q101,_xll.ESFldID(X$2,"D"),"D",$S101)</f>
        <v>#NAME?</v>
      </c>
      <c r="Y101" s="55" t="str">
        <f t="shared" si="1"/>
        <v/>
      </c>
      <c r="Z101" s="53" t="e">
        <f ca="1">_xll.ESHistD($Q101,_xll.ESFldID(Z$2,"D"),"D",$AC$1)</f>
        <v>#NAME?</v>
      </c>
      <c r="AA101" s="53" t="e">
        <f ca="1">_xll.ESHistD($Q101,_xll.ESFldID(AA$2,"D"),"D",$AC$1)</f>
        <v>#NAME?</v>
      </c>
      <c r="AB101" s="53" t="e">
        <f ca="1">_xll.ESHistD($Q101,_xll.ESFldID(AB$2,"D"),"D",$AC$1)</f>
        <v>#NAME?</v>
      </c>
      <c r="AC101" s="53" t="e">
        <f ca="1">_xll.ESHistD($Q101,_xll.ESFldID(AC$2,"D"),"D",$AC$1)</f>
        <v>#NAME?</v>
      </c>
      <c r="AD101" s="22" t="e">
        <f ca="1">_xll.ESHistD($Q101,_xll.ESFldID(AD$2,"D"),"D",$AC$1)</f>
        <v>#NAME?</v>
      </c>
    </row>
    <row r="102" spans="16:30" x14ac:dyDescent="0.25">
      <c r="P102" s="52" t="str">
        <f>IF(OR(ISBLANK(Q102), Q102=""),"", MAX(P$2:P101)+1)</f>
        <v/>
      </c>
      <c r="S102" s="16"/>
      <c r="T102" s="53" t="e">
        <f ca="1">_xll.ESHistD($Q102,_xll.ESFldID(T$2,"D"),"D",$S102)</f>
        <v>#NAME?</v>
      </c>
      <c r="U102" s="53" t="e">
        <f ca="1">_xll.ESHistD($Q102,_xll.ESFldID(U$2,"D"),"D",$S102)</f>
        <v>#NAME?</v>
      </c>
      <c r="V102" s="53" t="e">
        <f ca="1">_xll.ESHistD($Q102,_xll.ESFldID(V$2,"D"),"D",$S102)</f>
        <v>#NAME?</v>
      </c>
      <c r="W102" s="53" t="e">
        <f ca="1">_xll.ESHistD($Q102,_xll.ESFldID(W$2,"D"),"D",$S102)</f>
        <v>#NAME?</v>
      </c>
      <c r="X102" s="22" t="e">
        <f ca="1">_xll.ESHistD($Q102,_xll.ESFldID(X$2,"D"),"D",$S102)</f>
        <v>#NAME?</v>
      </c>
      <c r="Y102" s="55" t="str">
        <f t="shared" si="1"/>
        <v/>
      </c>
      <c r="Z102" s="53" t="e">
        <f ca="1">_xll.ESHistD($Q102,_xll.ESFldID(Z$2,"D"),"D",$AC$1)</f>
        <v>#NAME?</v>
      </c>
      <c r="AA102" s="53" t="e">
        <f ca="1">_xll.ESHistD($Q102,_xll.ESFldID(AA$2,"D"),"D",$AC$1)</f>
        <v>#NAME?</v>
      </c>
      <c r="AB102" s="53" t="e">
        <f ca="1">_xll.ESHistD($Q102,_xll.ESFldID(AB$2,"D"),"D",$AC$1)</f>
        <v>#NAME?</v>
      </c>
      <c r="AC102" s="53" t="e">
        <f ca="1">_xll.ESHistD($Q102,_xll.ESFldID(AC$2,"D"),"D",$AC$1)</f>
        <v>#NAME?</v>
      </c>
      <c r="AD102" s="22" t="e">
        <f ca="1">_xll.ESHistD($Q102,_xll.ESFldID(AD$2,"D"),"D",$AC$1)</f>
        <v>#NAME?</v>
      </c>
    </row>
    <row r="103" spans="16:30" x14ac:dyDescent="0.25">
      <c r="P103" s="52" t="str">
        <f>IF(OR(ISBLANK(Q103), Q103=""),"", MAX(P$2:P102)+1)</f>
        <v/>
      </c>
      <c r="S103" s="16"/>
      <c r="T103" s="53" t="e">
        <f ca="1">_xll.ESHistD($Q103,_xll.ESFldID(T$2,"D"),"D",$S103)</f>
        <v>#NAME?</v>
      </c>
      <c r="U103" s="53" t="e">
        <f ca="1">_xll.ESHistD($Q103,_xll.ESFldID(U$2,"D"),"D",$S103)</f>
        <v>#NAME?</v>
      </c>
      <c r="V103" s="53" t="e">
        <f ca="1">_xll.ESHistD($Q103,_xll.ESFldID(V$2,"D"),"D",$S103)</f>
        <v>#NAME?</v>
      </c>
      <c r="W103" s="53" t="e">
        <f ca="1">_xll.ESHistD($Q103,_xll.ESFldID(W$2,"D"),"D",$S103)</f>
        <v>#NAME?</v>
      </c>
      <c r="X103" s="22" t="e">
        <f ca="1">_xll.ESHistD($Q103,_xll.ESFldID(X$2,"D"),"D",$S103)</f>
        <v>#NAME?</v>
      </c>
      <c r="Y103" s="55" t="str">
        <f t="shared" si="1"/>
        <v/>
      </c>
      <c r="Z103" s="53" t="e">
        <f ca="1">_xll.ESHistD($Q103,_xll.ESFldID(Z$2,"D"),"D",$AC$1)</f>
        <v>#NAME?</v>
      </c>
      <c r="AA103" s="53" t="e">
        <f ca="1">_xll.ESHistD($Q103,_xll.ESFldID(AA$2,"D"),"D",$AC$1)</f>
        <v>#NAME?</v>
      </c>
      <c r="AB103" s="53" t="e">
        <f ca="1">_xll.ESHistD($Q103,_xll.ESFldID(AB$2,"D"),"D",$AC$1)</f>
        <v>#NAME?</v>
      </c>
      <c r="AC103" s="53" t="e">
        <f ca="1">_xll.ESHistD($Q103,_xll.ESFldID(AC$2,"D"),"D",$AC$1)</f>
        <v>#NAME?</v>
      </c>
      <c r="AD103" s="22" t="e">
        <f ca="1">_xll.ESHistD($Q103,_xll.ESFldID(AD$2,"D"),"D",$AC$1)</f>
        <v>#NAME?</v>
      </c>
    </row>
    <row r="104" spans="16:30" x14ac:dyDescent="0.25">
      <c r="P104" s="52" t="str">
        <f>IF(OR(ISBLANK(Q104), Q104=""),"", MAX(P$2:P103)+1)</f>
        <v/>
      </c>
      <c r="S104" s="16"/>
      <c r="T104" s="53" t="e">
        <f ca="1">_xll.ESHistD($Q104,_xll.ESFldID(T$2,"D"),"D",$S104)</f>
        <v>#NAME?</v>
      </c>
      <c r="U104" s="53" t="e">
        <f ca="1">_xll.ESHistD($Q104,_xll.ESFldID(U$2,"D"),"D",$S104)</f>
        <v>#NAME?</v>
      </c>
      <c r="V104" s="53" t="e">
        <f ca="1">_xll.ESHistD($Q104,_xll.ESFldID(V$2,"D"),"D",$S104)</f>
        <v>#NAME?</v>
      </c>
      <c r="W104" s="53" t="e">
        <f ca="1">_xll.ESHistD($Q104,_xll.ESFldID(W$2,"D"),"D",$S104)</f>
        <v>#NAME?</v>
      </c>
      <c r="X104" s="22" t="e">
        <f ca="1">_xll.ESHistD($Q104,_xll.ESFldID(X$2,"D"),"D",$S104)</f>
        <v>#NAME?</v>
      </c>
      <c r="Y104" s="55" t="str">
        <f t="shared" si="1"/>
        <v/>
      </c>
      <c r="Z104" s="53" t="e">
        <f ca="1">_xll.ESHistD($Q104,_xll.ESFldID(Z$2,"D"),"D",$AC$1)</f>
        <v>#NAME?</v>
      </c>
      <c r="AA104" s="53" t="e">
        <f ca="1">_xll.ESHistD($Q104,_xll.ESFldID(AA$2,"D"),"D",$AC$1)</f>
        <v>#NAME?</v>
      </c>
      <c r="AB104" s="53" t="e">
        <f ca="1">_xll.ESHistD($Q104,_xll.ESFldID(AB$2,"D"),"D",$AC$1)</f>
        <v>#NAME?</v>
      </c>
      <c r="AC104" s="53" t="e">
        <f ca="1">_xll.ESHistD($Q104,_xll.ESFldID(AC$2,"D"),"D",$AC$1)</f>
        <v>#NAME?</v>
      </c>
      <c r="AD104" s="22" t="e">
        <f ca="1">_xll.ESHistD($Q104,_xll.ESFldID(AD$2,"D"),"D",$AC$1)</f>
        <v>#NAME?</v>
      </c>
    </row>
    <row r="105" spans="16:30" x14ac:dyDescent="0.25">
      <c r="P105" s="52" t="str">
        <f>IF(OR(ISBLANK(Q105), Q105=""),"", MAX(P$2:P104)+1)</f>
        <v/>
      </c>
      <c r="S105" s="16"/>
      <c r="T105" s="53" t="e">
        <f ca="1">_xll.ESHistD($Q105,_xll.ESFldID(T$2,"D"),"D",$S105)</f>
        <v>#NAME?</v>
      </c>
      <c r="U105" s="53" t="e">
        <f ca="1">_xll.ESHistD($Q105,_xll.ESFldID(U$2,"D"),"D",$S105)</f>
        <v>#NAME?</v>
      </c>
      <c r="V105" s="53" t="e">
        <f ca="1">_xll.ESHistD($Q105,_xll.ESFldID(V$2,"D"),"D",$S105)</f>
        <v>#NAME?</v>
      </c>
      <c r="W105" s="53" t="e">
        <f ca="1">_xll.ESHistD($Q105,_xll.ESFldID(W$2,"D"),"D",$S105)</f>
        <v>#NAME?</v>
      </c>
      <c r="X105" s="22" t="e">
        <f ca="1">_xll.ESHistD($Q105,_xll.ESFldID(X$2,"D"),"D",$S105)</f>
        <v>#NAME?</v>
      </c>
      <c r="Y105" s="55" t="str">
        <f t="shared" si="1"/>
        <v/>
      </c>
      <c r="Z105" s="53" t="e">
        <f ca="1">_xll.ESHistD($Q105,_xll.ESFldID(Z$2,"D"),"D",$AC$1)</f>
        <v>#NAME?</v>
      </c>
      <c r="AA105" s="53" t="e">
        <f ca="1">_xll.ESHistD($Q105,_xll.ESFldID(AA$2,"D"),"D",$AC$1)</f>
        <v>#NAME?</v>
      </c>
      <c r="AB105" s="53" t="e">
        <f ca="1">_xll.ESHistD($Q105,_xll.ESFldID(AB$2,"D"),"D",$AC$1)</f>
        <v>#NAME?</v>
      </c>
      <c r="AC105" s="53" t="e">
        <f ca="1">_xll.ESHistD($Q105,_xll.ESFldID(AC$2,"D"),"D",$AC$1)</f>
        <v>#NAME?</v>
      </c>
      <c r="AD105" s="22" t="e">
        <f ca="1">_xll.ESHistD($Q105,_xll.ESFldID(AD$2,"D"),"D",$AC$1)</f>
        <v>#NAME?</v>
      </c>
    </row>
    <row r="106" spans="16:30" x14ac:dyDescent="0.25">
      <c r="P106" s="52" t="str">
        <f>IF(OR(ISBLANK(Q106), Q106=""),"", MAX(P$2:P105)+1)</f>
        <v/>
      </c>
      <c r="S106" s="16"/>
      <c r="T106" s="53" t="e">
        <f ca="1">_xll.ESHistD($Q106,_xll.ESFldID(T$2,"D"),"D",$S106)</f>
        <v>#NAME?</v>
      </c>
      <c r="U106" s="53" t="e">
        <f ca="1">_xll.ESHistD($Q106,_xll.ESFldID(U$2,"D"),"D",$S106)</f>
        <v>#NAME?</v>
      </c>
      <c r="V106" s="53" t="e">
        <f ca="1">_xll.ESHistD($Q106,_xll.ESFldID(V$2,"D"),"D",$S106)</f>
        <v>#NAME?</v>
      </c>
      <c r="W106" s="53" t="e">
        <f ca="1">_xll.ESHistD($Q106,_xll.ESFldID(W$2,"D"),"D",$S106)</f>
        <v>#NAME?</v>
      </c>
      <c r="X106" s="22" t="e">
        <f ca="1">_xll.ESHistD($Q106,_xll.ESFldID(X$2,"D"),"D",$S106)</f>
        <v>#NAME?</v>
      </c>
      <c r="Y106" s="55" t="str">
        <f t="shared" si="1"/>
        <v/>
      </c>
      <c r="Z106" s="53" t="e">
        <f ca="1">_xll.ESHistD($Q106,_xll.ESFldID(Z$2,"D"),"D",$AC$1)</f>
        <v>#NAME?</v>
      </c>
      <c r="AA106" s="53" t="e">
        <f ca="1">_xll.ESHistD($Q106,_xll.ESFldID(AA$2,"D"),"D",$AC$1)</f>
        <v>#NAME?</v>
      </c>
      <c r="AB106" s="53" t="e">
        <f ca="1">_xll.ESHistD($Q106,_xll.ESFldID(AB$2,"D"),"D",$AC$1)</f>
        <v>#NAME?</v>
      </c>
      <c r="AC106" s="53" t="e">
        <f ca="1">_xll.ESHistD($Q106,_xll.ESFldID(AC$2,"D"),"D",$AC$1)</f>
        <v>#NAME?</v>
      </c>
      <c r="AD106" s="22" t="e">
        <f ca="1">_xll.ESHistD($Q106,_xll.ESFldID(AD$2,"D"),"D",$AC$1)</f>
        <v>#NAME?</v>
      </c>
    </row>
    <row r="107" spans="16:30" x14ac:dyDescent="0.25">
      <c r="P107" s="52" t="str">
        <f>IF(OR(ISBLANK(Q107), Q107=""),"", MAX(P$2:P106)+1)</f>
        <v/>
      </c>
      <c r="S107" s="16"/>
      <c r="T107" s="53" t="e">
        <f ca="1">_xll.ESHistD($Q107,_xll.ESFldID(T$2,"D"),"D",$S107)</f>
        <v>#NAME?</v>
      </c>
      <c r="U107" s="53" t="e">
        <f ca="1">_xll.ESHistD($Q107,_xll.ESFldID(U$2,"D"),"D",$S107)</f>
        <v>#NAME?</v>
      </c>
      <c r="V107" s="53" t="e">
        <f ca="1">_xll.ESHistD($Q107,_xll.ESFldID(V$2,"D"),"D",$S107)</f>
        <v>#NAME?</v>
      </c>
      <c r="W107" s="53" t="e">
        <f ca="1">_xll.ESHistD($Q107,_xll.ESFldID(W$2,"D"),"D",$S107)</f>
        <v>#NAME?</v>
      </c>
      <c r="X107" s="22" t="e">
        <f ca="1">_xll.ESHistD($Q107,_xll.ESFldID(X$2,"D"),"D",$S107)</f>
        <v>#NAME?</v>
      </c>
      <c r="Y107" s="55" t="str">
        <f t="shared" si="1"/>
        <v/>
      </c>
      <c r="Z107" s="53" t="e">
        <f ca="1">_xll.ESHistD($Q107,_xll.ESFldID(Z$2,"D"),"D",$AC$1)</f>
        <v>#NAME?</v>
      </c>
      <c r="AA107" s="53" t="e">
        <f ca="1">_xll.ESHistD($Q107,_xll.ESFldID(AA$2,"D"),"D",$AC$1)</f>
        <v>#NAME?</v>
      </c>
      <c r="AB107" s="53" t="e">
        <f ca="1">_xll.ESHistD($Q107,_xll.ESFldID(AB$2,"D"),"D",$AC$1)</f>
        <v>#NAME?</v>
      </c>
      <c r="AC107" s="53" t="e">
        <f ca="1">_xll.ESHistD($Q107,_xll.ESFldID(AC$2,"D"),"D",$AC$1)</f>
        <v>#NAME?</v>
      </c>
      <c r="AD107" s="22" t="e">
        <f ca="1">_xll.ESHistD($Q107,_xll.ESFldID(AD$2,"D"),"D",$AC$1)</f>
        <v>#NAME?</v>
      </c>
    </row>
    <row r="108" spans="16:30" x14ac:dyDescent="0.25">
      <c r="P108" s="52" t="str">
        <f>IF(OR(ISBLANK(Q108), Q108=""),"", MAX(P$2:P107)+1)</f>
        <v/>
      </c>
      <c r="S108" s="16"/>
      <c r="T108" s="53" t="e">
        <f ca="1">_xll.ESHistD($Q108,_xll.ESFldID(T$2,"D"),"D",$S108)</f>
        <v>#NAME?</v>
      </c>
      <c r="U108" s="53" t="e">
        <f ca="1">_xll.ESHistD($Q108,_xll.ESFldID(U$2,"D"),"D",$S108)</f>
        <v>#NAME?</v>
      </c>
      <c r="V108" s="53" t="e">
        <f ca="1">_xll.ESHistD($Q108,_xll.ESFldID(V$2,"D"),"D",$S108)</f>
        <v>#NAME?</v>
      </c>
      <c r="W108" s="53" t="e">
        <f ca="1">_xll.ESHistD($Q108,_xll.ESFldID(W$2,"D"),"D",$S108)</f>
        <v>#NAME?</v>
      </c>
      <c r="X108" s="22" t="e">
        <f ca="1">_xll.ESHistD($Q108,_xll.ESFldID(X$2,"D"),"D",$S108)</f>
        <v>#NAME?</v>
      </c>
      <c r="Y108" s="55" t="str">
        <f t="shared" si="1"/>
        <v/>
      </c>
      <c r="Z108" s="53" t="e">
        <f ca="1">_xll.ESHistD($Q108,_xll.ESFldID(Z$2,"D"),"D",$AC$1)</f>
        <v>#NAME?</v>
      </c>
      <c r="AA108" s="53" t="e">
        <f ca="1">_xll.ESHistD($Q108,_xll.ESFldID(AA$2,"D"),"D",$AC$1)</f>
        <v>#NAME?</v>
      </c>
      <c r="AB108" s="53" t="e">
        <f ca="1">_xll.ESHistD($Q108,_xll.ESFldID(AB$2,"D"),"D",$AC$1)</f>
        <v>#NAME?</v>
      </c>
      <c r="AC108" s="53" t="e">
        <f ca="1">_xll.ESHistD($Q108,_xll.ESFldID(AC$2,"D"),"D",$AC$1)</f>
        <v>#NAME?</v>
      </c>
      <c r="AD108" s="22" t="e">
        <f ca="1">_xll.ESHistD($Q108,_xll.ESFldID(AD$2,"D"),"D",$AC$1)</f>
        <v>#NAME?</v>
      </c>
    </row>
    <row r="109" spans="16:30" x14ac:dyDescent="0.25">
      <c r="P109" s="52" t="str">
        <f>IF(OR(ISBLANK(Q109), Q109=""),"", MAX(P$2:P108)+1)</f>
        <v/>
      </c>
      <c r="S109" s="16"/>
      <c r="T109" s="53" t="e">
        <f ca="1">_xll.ESHistD($Q109,_xll.ESFldID(T$2,"D"),"D",$S109)</f>
        <v>#NAME?</v>
      </c>
      <c r="U109" s="53" t="e">
        <f ca="1">_xll.ESHistD($Q109,_xll.ESFldID(U$2,"D"),"D",$S109)</f>
        <v>#NAME?</v>
      </c>
      <c r="V109" s="53" t="e">
        <f ca="1">_xll.ESHistD($Q109,_xll.ESFldID(V$2,"D"),"D",$S109)</f>
        <v>#NAME?</v>
      </c>
      <c r="W109" s="53" t="e">
        <f ca="1">_xll.ESHistD($Q109,_xll.ESFldID(W$2,"D"),"D",$S109)</f>
        <v>#NAME?</v>
      </c>
      <c r="X109" s="22" t="e">
        <f ca="1">_xll.ESHistD($Q109,_xll.ESFldID(X$2,"D"),"D",$S109)</f>
        <v>#NAME?</v>
      </c>
      <c r="Y109" s="55" t="str">
        <f t="shared" si="1"/>
        <v/>
      </c>
      <c r="Z109" s="53" t="e">
        <f ca="1">_xll.ESHistD($Q109,_xll.ESFldID(Z$2,"D"),"D",$AC$1)</f>
        <v>#NAME?</v>
      </c>
      <c r="AA109" s="53" t="e">
        <f ca="1">_xll.ESHistD($Q109,_xll.ESFldID(AA$2,"D"),"D",$AC$1)</f>
        <v>#NAME?</v>
      </c>
      <c r="AB109" s="53" t="e">
        <f ca="1">_xll.ESHistD($Q109,_xll.ESFldID(AB$2,"D"),"D",$AC$1)</f>
        <v>#NAME?</v>
      </c>
      <c r="AC109" s="53" t="e">
        <f ca="1">_xll.ESHistD($Q109,_xll.ESFldID(AC$2,"D"),"D",$AC$1)</f>
        <v>#NAME?</v>
      </c>
      <c r="AD109" s="22" t="e">
        <f ca="1">_xll.ESHistD($Q109,_xll.ESFldID(AD$2,"D"),"D",$AC$1)</f>
        <v>#NAME?</v>
      </c>
    </row>
    <row r="110" spans="16:30" x14ac:dyDescent="0.25">
      <c r="P110" s="52" t="str">
        <f>IF(OR(ISBLANK(Q110), Q110=""),"", MAX(P$2:P109)+1)</f>
        <v/>
      </c>
      <c r="S110" s="16"/>
      <c r="T110" s="53" t="e">
        <f ca="1">_xll.ESHistD($Q110,_xll.ESFldID(T$2,"D"),"D",$S110)</f>
        <v>#NAME?</v>
      </c>
      <c r="U110" s="53" t="e">
        <f ca="1">_xll.ESHistD($Q110,_xll.ESFldID(U$2,"D"),"D",$S110)</f>
        <v>#NAME?</v>
      </c>
      <c r="V110" s="53" t="e">
        <f ca="1">_xll.ESHistD($Q110,_xll.ESFldID(V$2,"D"),"D",$S110)</f>
        <v>#NAME?</v>
      </c>
      <c r="W110" s="53" t="e">
        <f ca="1">_xll.ESHistD($Q110,_xll.ESFldID(W$2,"D"),"D",$S110)</f>
        <v>#NAME?</v>
      </c>
      <c r="X110" s="22" t="e">
        <f ca="1">_xll.ESHistD($Q110,_xll.ESFldID(X$2,"D"),"D",$S110)</f>
        <v>#NAME?</v>
      </c>
      <c r="Y110" s="55" t="str">
        <f t="shared" si="1"/>
        <v/>
      </c>
      <c r="Z110" s="53" t="e">
        <f ca="1">_xll.ESHistD($Q110,_xll.ESFldID(Z$2,"D"),"D",$AC$1)</f>
        <v>#NAME?</v>
      </c>
      <c r="AA110" s="53" t="e">
        <f ca="1">_xll.ESHistD($Q110,_xll.ESFldID(AA$2,"D"),"D",$AC$1)</f>
        <v>#NAME?</v>
      </c>
      <c r="AB110" s="53" t="e">
        <f ca="1">_xll.ESHistD($Q110,_xll.ESFldID(AB$2,"D"),"D",$AC$1)</f>
        <v>#NAME?</v>
      </c>
      <c r="AC110" s="53" t="e">
        <f ca="1">_xll.ESHistD($Q110,_xll.ESFldID(AC$2,"D"),"D",$AC$1)</f>
        <v>#NAME?</v>
      </c>
      <c r="AD110" s="22" t="e">
        <f ca="1">_xll.ESHistD($Q110,_xll.ESFldID(AD$2,"D"),"D",$AC$1)</f>
        <v>#NAME?</v>
      </c>
    </row>
    <row r="111" spans="16:30" x14ac:dyDescent="0.25">
      <c r="P111" s="52" t="str">
        <f>IF(OR(ISBLANK(Q111), Q111=""),"", MAX(P$2:P110)+1)</f>
        <v/>
      </c>
      <c r="S111" s="16"/>
      <c r="T111" s="53" t="e">
        <f ca="1">_xll.ESHistD($Q111,_xll.ESFldID(T$2,"D"),"D",$S111)</f>
        <v>#NAME?</v>
      </c>
      <c r="U111" s="53" t="e">
        <f ca="1">_xll.ESHistD($Q111,_xll.ESFldID(U$2,"D"),"D",$S111)</f>
        <v>#NAME?</v>
      </c>
      <c r="V111" s="53" t="e">
        <f ca="1">_xll.ESHistD($Q111,_xll.ESFldID(V$2,"D"),"D",$S111)</f>
        <v>#NAME?</v>
      </c>
      <c r="W111" s="53" t="e">
        <f ca="1">_xll.ESHistD($Q111,_xll.ESFldID(W$2,"D"),"D",$S111)</f>
        <v>#NAME?</v>
      </c>
      <c r="X111" s="22" t="e">
        <f ca="1">_xll.ESHistD($Q111,_xll.ESFldID(X$2,"D"),"D",$S111)</f>
        <v>#NAME?</v>
      </c>
      <c r="Y111" s="55" t="str">
        <f t="shared" si="1"/>
        <v/>
      </c>
      <c r="Z111" s="53" t="e">
        <f ca="1">_xll.ESHistD($Q111,_xll.ESFldID(Z$2,"D"),"D",$AC$1)</f>
        <v>#NAME?</v>
      </c>
      <c r="AA111" s="53" t="e">
        <f ca="1">_xll.ESHistD($Q111,_xll.ESFldID(AA$2,"D"),"D",$AC$1)</f>
        <v>#NAME?</v>
      </c>
      <c r="AB111" s="53" t="e">
        <f ca="1">_xll.ESHistD($Q111,_xll.ESFldID(AB$2,"D"),"D",$AC$1)</f>
        <v>#NAME?</v>
      </c>
      <c r="AC111" s="53" t="e">
        <f ca="1">_xll.ESHistD($Q111,_xll.ESFldID(AC$2,"D"),"D",$AC$1)</f>
        <v>#NAME?</v>
      </c>
      <c r="AD111" s="22" t="e">
        <f ca="1">_xll.ESHistD($Q111,_xll.ESFldID(AD$2,"D"),"D",$AC$1)</f>
        <v>#NAME?</v>
      </c>
    </row>
    <row r="112" spans="16:30" x14ac:dyDescent="0.25">
      <c r="P112" s="52" t="str">
        <f>IF(OR(ISBLANK(Q112), Q112=""),"", MAX(P$2:P111)+1)</f>
        <v/>
      </c>
      <c r="S112" s="16"/>
      <c r="T112" s="53" t="e">
        <f ca="1">_xll.ESHistD($Q112,_xll.ESFldID(T$2,"D"),"D",$S112)</f>
        <v>#NAME?</v>
      </c>
      <c r="U112" s="53" t="e">
        <f ca="1">_xll.ESHistD($Q112,_xll.ESFldID(U$2,"D"),"D",$S112)</f>
        <v>#NAME?</v>
      </c>
      <c r="V112" s="53" t="e">
        <f ca="1">_xll.ESHistD($Q112,_xll.ESFldID(V$2,"D"),"D",$S112)</f>
        <v>#NAME?</v>
      </c>
      <c r="W112" s="53" t="e">
        <f ca="1">_xll.ESHistD($Q112,_xll.ESFldID(W$2,"D"),"D",$S112)</f>
        <v>#NAME?</v>
      </c>
      <c r="X112" s="22" t="e">
        <f ca="1">_xll.ESHistD($Q112,_xll.ESFldID(X$2,"D"),"D",$S112)</f>
        <v>#NAME?</v>
      </c>
      <c r="Y112" s="55" t="str">
        <f t="shared" si="1"/>
        <v/>
      </c>
      <c r="Z112" s="53" t="e">
        <f ca="1">_xll.ESHistD($Q112,_xll.ESFldID(Z$2,"D"),"D",$AC$1)</f>
        <v>#NAME?</v>
      </c>
      <c r="AA112" s="53" t="e">
        <f ca="1">_xll.ESHistD($Q112,_xll.ESFldID(AA$2,"D"),"D",$AC$1)</f>
        <v>#NAME?</v>
      </c>
      <c r="AB112" s="53" t="e">
        <f ca="1">_xll.ESHistD($Q112,_xll.ESFldID(AB$2,"D"),"D",$AC$1)</f>
        <v>#NAME?</v>
      </c>
      <c r="AC112" s="53" t="e">
        <f ca="1">_xll.ESHistD($Q112,_xll.ESFldID(AC$2,"D"),"D",$AC$1)</f>
        <v>#NAME?</v>
      </c>
      <c r="AD112" s="22" t="e">
        <f ca="1">_xll.ESHistD($Q112,_xll.ESFldID(AD$2,"D"),"D",$AC$1)</f>
        <v>#NAME?</v>
      </c>
    </row>
    <row r="113" spans="16:30" x14ac:dyDescent="0.25">
      <c r="P113" s="52" t="str">
        <f>IF(OR(ISBLANK(Q113), Q113=""),"", MAX(P$2:P112)+1)</f>
        <v/>
      </c>
      <c r="S113" s="16"/>
      <c r="T113" s="53" t="e">
        <f ca="1">_xll.ESHistD($Q113,_xll.ESFldID(T$2,"D"),"D",$S113)</f>
        <v>#NAME?</v>
      </c>
      <c r="U113" s="53" t="e">
        <f ca="1">_xll.ESHistD($Q113,_xll.ESFldID(U$2,"D"),"D",$S113)</f>
        <v>#NAME?</v>
      </c>
      <c r="V113" s="53" t="e">
        <f ca="1">_xll.ESHistD($Q113,_xll.ESFldID(V$2,"D"),"D",$S113)</f>
        <v>#NAME?</v>
      </c>
      <c r="W113" s="53" t="e">
        <f ca="1">_xll.ESHistD($Q113,_xll.ESFldID(W$2,"D"),"D",$S113)</f>
        <v>#NAME?</v>
      </c>
      <c r="X113" s="22" t="e">
        <f ca="1">_xll.ESHistD($Q113,_xll.ESFldID(X$2,"D"),"D",$S113)</f>
        <v>#NAME?</v>
      </c>
      <c r="Y113" s="55" t="str">
        <f t="shared" si="1"/>
        <v/>
      </c>
      <c r="Z113" s="53" t="e">
        <f ca="1">_xll.ESHistD($Q113,_xll.ESFldID(Z$2,"D"),"D",$AC$1)</f>
        <v>#NAME?</v>
      </c>
      <c r="AA113" s="53" t="e">
        <f ca="1">_xll.ESHistD($Q113,_xll.ESFldID(AA$2,"D"),"D",$AC$1)</f>
        <v>#NAME?</v>
      </c>
      <c r="AB113" s="53" t="e">
        <f ca="1">_xll.ESHistD($Q113,_xll.ESFldID(AB$2,"D"),"D",$AC$1)</f>
        <v>#NAME?</v>
      </c>
      <c r="AC113" s="53" t="e">
        <f ca="1">_xll.ESHistD($Q113,_xll.ESFldID(AC$2,"D"),"D",$AC$1)</f>
        <v>#NAME?</v>
      </c>
      <c r="AD113" s="22" t="e">
        <f ca="1">_xll.ESHistD($Q113,_xll.ESFldID(AD$2,"D"),"D",$AC$1)</f>
        <v>#NAME?</v>
      </c>
    </row>
    <row r="114" spans="16:30" x14ac:dyDescent="0.25">
      <c r="P114" s="52" t="str">
        <f>IF(OR(ISBLANK(Q114), Q114=""),"", MAX(P$2:P113)+1)</f>
        <v/>
      </c>
      <c r="S114" s="16"/>
      <c r="T114" s="53" t="e">
        <f ca="1">_xll.ESHistD($Q114,_xll.ESFldID(T$2,"D"),"D",$S114)</f>
        <v>#NAME?</v>
      </c>
      <c r="U114" s="53" t="e">
        <f ca="1">_xll.ESHistD($Q114,_xll.ESFldID(U$2,"D"),"D",$S114)</f>
        <v>#NAME?</v>
      </c>
      <c r="V114" s="53" t="e">
        <f ca="1">_xll.ESHistD($Q114,_xll.ESFldID(V$2,"D"),"D",$S114)</f>
        <v>#NAME?</v>
      </c>
      <c r="W114" s="53" t="e">
        <f ca="1">_xll.ESHistD($Q114,_xll.ESFldID(W$2,"D"),"D",$S114)</f>
        <v>#NAME?</v>
      </c>
      <c r="X114" s="22" t="e">
        <f ca="1">_xll.ESHistD($Q114,_xll.ESFldID(X$2,"D"),"D",$S114)</f>
        <v>#NAME?</v>
      </c>
      <c r="Y114" s="55" t="str">
        <f t="shared" si="1"/>
        <v/>
      </c>
      <c r="Z114" s="53" t="e">
        <f ca="1">_xll.ESHistD($Q114,_xll.ESFldID(Z$2,"D"),"D",$AC$1)</f>
        <v>#NAME?</v>
      </c>
      <c r="AA114" s="53" t="e">
        <f ca="1">_xll.ESHistD($Q114,_xll.ESFldID(AA$2,"D"),"D",$AC$1)</f>
        <v>#NAME?</v>
      </c>
      <c r="AB114" s="53" t="e">
        <f ca="1">_xll.ESHistD($Q114,_xll.ESFldID(AB$2,"D"),"D",$AC$1)</f>
        <v>#NAME?</v>
      </c>
      <c r="AC114" s="53" t="e">
        <f ca="1">_xll.ESHistD($Q114,_xll.ESFldID(AC$2,"D"),"D",$AC$1)</f>
        <v>#NAME?</v>
      </c>
      <c r="AD114" s="22" t="e">
        <f ca="1">_xll.ESHistD($Q114,_xll.ESFldID(AD$2,"D"),"D",$AC$1)</f>
        <v>#NAME?</v>
      </c>
    </row>
    <row r="115" spans="16:30" x14ac:dyDescent="0.25">
      <c r="P115" s="52" t="str">
        <f>IF(OR(ISBLANK(Q115), Q115=""),"", MAX(P$2:P114)+1)</f>
        <v/>
      </c>
      <c r="S115" s="16"/>
      <c r="T115" s="53" t="e">
        <f ca="1">_xll.ESHistD($Q115,_xll.ESFldID(T$2,"D"),"D",$S115)</f>
        <v>#NAME?</v>
      </c>
      <c r="U115" s="53" t="e">
        <f ca="1">_xll.ESHistD($Q115,_xll.ESFldID(U$2,"D"),"D",$S115)</f>
        <v>#NAME?</v>
      </c>
      <c r="V115" s="53" t="e">
        <f ca="1">_xll.ESHistD($Q115,_xll.ESFldID(V$2,"D"),"D",$S115)</f>
        <v>#NAME?</v>
      </c>
      <c r="W115" s="53" t="e">
        <f ca="1">_xll.ESHistD($Q115,_xll.ESFldID(W$2,"D"),"D",$S115)</f>
        <v>#NAME?</v>
      </c>
      <c r="X115" s="22" t="e">
        <f ca="1">_xll.ESHistD($Q115,_xll.ESFldID(X$2,"D"),"D",$S115)</f>
        <v>#NAME?</v>
      </c>
      <c r="Y115" s="55" t="str">
        <f t="shared" si="1"/>
        <v/>
      </c>
      <c r="Z115" s="53" t="e">
        <f ca="1">_xll.ESHistD($Q115,_xll.ESFldID(Z$2,"D"),"D",$AC$1)</f>
        <v>#NAME?</v>
      </c>
      <c r="AA115" s="53" t="e">
        <f ca="1">_xll.ESHistD($Q115,_xll.ESFldID(AA$2,"D"),"D",$AC$1)</f>
        <v>#NAME?</v>
      </c>
      <c r="AB115" s="53" t="e">
        <f ca="1">_xll.ESHistD($Q115,_xll.ESFldID(AB$2,"D"),"D",$AC$1)</f>
        <v>#NAME?</v>
      </c>
      <c r="AC115" s="53" t="e">
        <f ca="1">_xll.ESHistD($Q115,_xll.ESFldID(AC$2,"D"),"D",$AC$1)</f>
        <v>#NAME?</v>
      </c>
      <c r="AD115" s="22" t="e">
        <f ca="1">_xll.ESHistD($Q115,_xll.ESFldID(AD$2,"D"),"D",$AC$1)</f>
        <v>#NAME?</v>
      </c>
    </row>
    <row r="116" spans="16:30" x14ac:dyDescent="0.25">
      <c r="P116" s="52" t="str">
        <f>IF(OR(ISBLANK(Q116), Q116=""),"", MAX(P$2:P115)+1)</f>
        <v/>
      </c>
      <c r="S116" s="16"/>
      <c r="T116" s="53" t="e">
        <f ca="1">_xll.ESHistD($Q116,_xll.ESFldID(T$2,"D"),"D",$S116)</f>
        <v>#NAME?</v>
      </c>
      <c r="U116" s="53" t="e">
        <f ca="1">_xll.ESHistD($Q116,_xll.ESFldID(U$2,"D"),"D",$S116)</f>
        <v>#NAME?</v>
      </c>
      <c r="V116" s="53" t="e">
        <f ca="1">_xll.ESHistD($Q116,_xll.ESFldID(V$2,"D"),"D",$S116)</f>
        <v>#NAME?</v>
      </c>
      <c r="W116" s="53" t="e">
        <f ca="1">_xll.ESHistD($Q116,_xll.ESFldID(W$2,"D"),"D",$S116)</f>
        <v>#NAME?</v>
      </c>
      <c r="X116" s="22" t="e">
        <f ca="1">_xll.ESHistD($Q116,_xll.ESFldID(X$2,"D"),"D",$S116)</f>
        <v>#NAME?</v>
      </c>
      <c r="Y116" s="55" t="str">
        <f t="shared" si="1"/>
        <v/>
      </c>
      <c r="Z116" s="53" t="e">
        <f ca="1">_xll.ESHistD($Q116,_xll.ESFldID(Z$2,"D"),"D",$AC$1)</f>
        <v>#NAME?</v>
      </c>
      <c r="AA116" s="53" t="e">
        <f ca="1">_xll.ESHistD($Q116,_xll.ESFldID(AA$2,"D"),"D",$AC$1)</f>
        <v>#NAME?</v>
      </c>
      <c r="AB116" s="53" t="e">
        <f ca="1">_xll.ESHistD($Q116,_xll.ESFldID(AB$2,"D"),"D",$AC$1)</f>
        <v>#NAME?</v>
      </c>
      <c r="AC116" s="53" t="e">
        <f ca="1">_xll.ESHistD($Q116,_xll.ESFldID(AC$2,"D"),"D",$AC$1)</f>
        <v>#NAME?</v>
      </c>
      <c r="AD116" s="22" t="e">
        <f ca="1">_xll.ESHistD($Q116,_xll.ESFldID(AD$2,"D"),"D",$AC$1)</f>
        <v>#NAME?</v>
      </c>
    </row>
    <row r="117" spans="16:30" x14ac:dyDescent="0.25">
      <c r="P117" s="52" t="str">
        <f>IF(OR(ISBLANK(Q117), Q117=""),"", MAX(P$2:P116)+1)</f>
        <v/>
      </c>
      <c r="S117" s="16"/>
      <c r="T117" s="53" t="e">
        <f ca="1">_xll.ESHistD($Q117,_xll.ESFldID(T$2,"D"),"D",$S117)</f>
        <v>#NAME?</v>
      </c>
      <c r="U117" s="53" t="e">
        <f ca="1">_xll.ESHistD($Q117,_xll.ESFldID(U$2,"D"),"D",$S117)</f>
        <v>#NAME?</v>
      </c>
      <c r="V117" s="53" t="e">
        <f ca="1">_xll.ESHistD($Q117,_xll.ESFldID(V$2,"D"),"D",$S117)</f>
        <v>#NAME?</v>
      </c>
      <c r="W117" s="53" t="e">
        <f ca="1">_xll.ESHistD($Q117,_xll.ESFldID(W$2,"D"),"D",$S117)</f>
        <v>#NAME?</v>
      </c>
      <c r="X117" s="22" t="e">
        <f ca="1">_xll.ESHistD($Q117,_xll.ESFldID(X$2,"D"),"D",$S117)</f>
        <v>#NAME?</v>
      </c>
      <c r="Y117" s="55" t="str">
        <f t="shared" si="1"/>
        <v/>
      </c>
      <c r="Z117" s="53" t="e">
        <f ca="1">_xll.ESHistD($Q117,_xll.ESFldID(Z$2,"D"),"D",$AC$1)</f>
        <v>#NAME?</v>
      </c>
      <c r="AA117" s="53" t="e">
        <f ca="1">_xll.ESHistD($Q117,_xll.ESFldID(AA$2,"D"),"D",$AC$1)</f>
        <v>#NAME?</v>
      </c>
      <c r="AB117" s="53" t="e">
        <f ca="1">_xll.ESHistD($Q117,_xll.ESFldID(AB$2,"D"),"D",$AC$1)</f>
        <v>#NAME?</v>
      </c>
      <c r="AC117" s="53" t="e">
        <f ca="1">_xll.ESHistD($Q117,_xll.ESFldID(AC$2,"D"),"D",$AC$1)</f>
        <v>#NAME?</v>
      </c>
      <c r="AD117" s="22" t="e">
        <f ca="1">_xll.ESHistD($Q117,_xll.ESFldID(AD$2,"D"),"D",$AC$1)</f>
        <v>#NAME?</v>
      </c>
    </row>
    <row r="118" spans="16:30" x14ac:dyDescent="0.25">
      <c r="P118" s="52" t="str">
        <f>IF(OR(ISBLANK(Q118), Q118=""),"", MAX(P$2:P117)+1)</f>
        <v/>
      </c>
      <c r="S118" s="16"/>
      <c r="T118" s="53" t="e">
        <f ca="1">_xll.ESHistD($Q118,_xll.ESFldID(T$2,"D"),"D",$S118)</f>
        <v>#NAME?</v>
      </c>
      <c r="U118" s="53" t="e">
        <f ca="1">_xll.ESHistD($Q118,_xll.ESFldID(U$2,"D"),"D",$S118)</f>
        <v>#NAME?</v>
      </c>
      <c r="V118" s="53" t="e">
        <f ca="1">_xll.ESHistD($Q118,_xll.ESFldID(V$2,"D"),"D",$S118)</f>
        <v>#NAME?</v>
      </c>
      <c r="W118" s="53" t="e">
        <f ca="1">_xll.ESHistD($Q118,_xll.ESFldID(W$2,"D"),"D",$S118)</f>
        <v>#NAME?</v>
      </c>
      <c r="X118" s="22" t="e">
        <f ca="1">_xll.ESHistD($Q118,_xll.ESFldID(X$2,"D"),"D",$S118)</f>
        <v>#NAME?</v>
      </c>
      <c r="Y118" s="55" t="str">
        <f t="shared" si="1"/>
        <v/>
      </c>
      <c r="Z118" s="53" t="e">
        <f ca="1">_xll.ESHistD($Q118,_xll.ESFldID(Z$2,"D"),"D",$AC$1)</f>
        <v>#NAME?</v>
      </c>
      <c r="AA118" s="53" t="e">
        <f ca="1">_xll.ESHistD($Q118,_xll.ESFldID(AA$2,"D"),"D",$AC$1)</f>
        <v>#NAME?</v>
      </c>
      <c r="AB118" s="53" t="e">
        <f ca="1">_xll.ESHistD($Q118,_xll.ESFldID(AB$2,"D"),"D",$AC$1)</f>
        <v>#NAME?</v>
      </c>
      <c r="AC118" s="53" t="e">
        <f ca="1">_xll.ESHistD($Q118,_xll.ESFldID(AC$2,"D"),"D",$AC$1)</f>
        <v>#NAME?</v>
      </c>
      <c r="AD118" s="22" t="e">
        <f ca="1">_xll.ESHistD($Q118,_xll.ESFldID(AD$2,"D"),"D",$AC$1)</f>
        <v>#NAME?</v>
      </c>
    </row>
    <row r="119" spans="16:30" x14ac:dyDescent="0.25">
      <c r="P119" s="52" t="str">
        <f>IF(OR(ISBLANK(Q119), Q119=""),"", MAX(P$2:P118)+1)</f>
        <v/>
      </c>
      <c r="S119" s="16"/>
      <c r="T119" s="53" t="e">
        <f ca="1">_xll.ESHistD($Q119,_xll.ESFldID(T$2,"D"),"D",$S119)</f>
        <v>#NAME?</v>
      </c>
      <c r="U119" s="53" t="e">
        <f ca="1">_xll.ESHistD($Q119,_xll.ESFldID(U$2,"D"),"D",$S119)</f>
        <v>#NAME?</v>
      </c>
      <c r="V119" s="53" t="e">
        <f ca="1">_xll.ESHistD($Q119,_xll.ESFldID(V$2,"D"),"D",$S119)</f>
        <v>#NAME?</v>
      </c>
      <c r="W119" s="53" t="e">
        <f ca="1">_xll.ESHistD($Q119,_xll.ESFldID(W$2,"D"),"D",$S119)</f>
        <v>#NAME?</v>
      </c>
      <c r="X119" s="22" t="e">
        <f ca="1">_xll.ESHistD($Q119,_xll.ESFldID(X$2,"D"),"D",$S119)</f>
        <v>#NAME?</v>
      </c>
      <c r="Y119" s="55" t="str">
        <f t="shared" si="1"/>
        <v/>
      </c>
      <c r="Z119" s="53" t="e">
        <f ca="1">_xll.ESHistD($Q119,_xll.ESFldID(Z$2,"D"),"D",$AC$1)</f>
        <v>#NAME?</v>
      </c>
      <c r="AA119" s="53" t="e">
        <f ca="1">_xll.ESHistD($Q119,_xll.ESFldID(AA$2,"D"),"D",$AC$1)</f>
        <v>#NAME?</v>
      </c>
      <c r="AB119" s="53" t="e">
        <f ca="1">_xll.ESHistD($Q119,_xll.ESFldID(AB$2,"D"),"D",$AC$1)</f>
        <v>#NAME?</v>
      </c>
      <c r="AC119" s="53" t="e">
        <f ca="1">_xll.ESHistD($Q119,_xll.ESFldID(AC$2,"D"),"D",$AC$1)</f>
        <v>#NAME?</v>
      </c>
      <c r="AD119" s="22" t="e">
        <f ca="1">_xll.ESHistD($Q119,_xll.ESFldID(AD$2,"D"),"D",$AC$1)</f>
        <v>#NAME?</v>
      </c>
    </row>
    <row r="120" spans="16:30" x14ac:dyDescent="0.25">
      <c r="P120" s="52" t="str">
        <f>IF(OR(ISBLANK(Q120), Q120=""),"", MAX(P$2:P119)+1)</f>
        <v/>
      </c>
      <c r="S120" s="16"/>
      <c r="T120" s="53" t="e">
        <f ca="1">_xll.ESHistD($Q120,_xll.ESFldID(T$2,"D"),"D",$S120)</f>
        <v>#NAME?</v>
      </c>
      <c r="U120" s="53" t="e">
        <f ca="1">_xll.ESHistD($Q120,_xll.ESFldID(U$2,"D"),"D",$S120)</f>
        <v>#NAME?</v>
      </c>
      <c r="V120" s="53" t="e">
        <f ca="1">_xll.ESHistD($Q120,_xll.ESFldID(V$2,"D"),"D",$S120)</f>
        <v>#NAME?</v>
      </c>
      <c r="W120" s="53" t="e">
        <f ca="1">_xll.ESHistD($Q120,_xll.ESFldID(W$2,"D"),"D",$S120)</f>
        <v>#NAME?</v>
      </c>
      <c r="X120" s="22" t="e">
        <f ca="1">_xll.ESHistD($Q120,_xll.ESFldID(X$2,"D"),"D",$S120)</f>
        <v>#NAME?</v>
      </c>
      <c r="Y120" s="55" t="str">
        <f t="shared" si="1"/>
        <v/>
      </c>
      <c r="Z120" s="53" t="e">
        <f ca="1">_xll.ESHistD($Q120,_xll.ESFldID(Z$2,"D"),"D",$AC$1)</f>
        <v>#NAME?</v>
      </c>
      <c r="AA120" s="53" t="e">
        <f ca="1">_xll.ESHistD($Q120,_xll.ESFldID(AA$2,"D"),"D",$AC$1)</f>
        <v>#NAME?</v>
      </c>
      <c r="AB120" s="53" t="e">
        <f ca="1">_xll.ESHistD($Q120,_xll.ESFldID(AB$2,"D"),"D",$AC$1)</f>
        <v>#NAME?</v>
      </c>
      <c r="AC120" s="53" t="e">
        <f ca="1">_xll.ESHistD($Q120,_xll.ESFldID(AC$2,"D"),"D",$AC$1)</f>
        <v>#NAME?</v>
      </c>
      <c r="AD120" s="22" t="e">
        <f ca="1">_xll.ESHistD($Q120,_xll.ESFldID(AD$2,"D"),"D",$AC$1)</f>
        <v>#NAME?</v>
      </c>
    </row>
    <row r="121" spans="16:30" x14ac:dyDescent="0.25">
      <c r="P121" s="52" t="str">
        <f>IF(OR(ISBLANK(Q121), Q121=""),"", MAX(P$2:P120)+1)</f>
        <v/>
      </c>
      <c r="S121" s="16"/>
      <c r="T121" s="53" t="e">
        <f ca="1">_xll.ESHistD($Q121,_xll.ESFldID(T$2,"D"),"D",$S121)</f>
        <v>#NAME?</v>
      </c>
      <c r="U121" s="53" t="e">
        <f ca="1">_xll.ESHistD($Q121,_xll.ESFldID(U$2,"D"),"D",$S121)</f>
        <v>#NAME?</v>
      </c>
      <c r="V121" s="53" t="e">
        <f ca="1">_xll.ESHistD($Q121,_xll.ESFldID(V$2,"D"),"D",$S121)</f>
        <v>#NAME?</v>
      </c>
      <c r="W121" s="53" t="e">
        <f ca="1">_xll.ESHistD($Q121,_xll.ESFldID(W$2,"D"),"D",$S121)</f>
        <v>#NAME?</v>
      </c>
      <c r="X121" s="22" t="e">
        <f ca="1">_xll.ESHistD($Q121,_xll.ESFldID(X$2,"D"),"D",$S121)</f>
        <v>#NAME?</v>
      </c>
      <c r="Y121" s="55" t="str">
        <f t="shared" si="1"/>
        <v/>
      </c>
      <c r="Z121" s="53" t="e">
        <f ca="1">_xll.ESHistD($Q121,_xll.ESFldID(Z$2,"D"),"D",$AC$1)</f>
        <v>#NAME?</v>
      </c>
      <c r="AA121" s="53" t="e">
        <f ca="1">_xll.ESHistD($Q121,_xll.ESFldID(AA$2,"D"),"D",$AC$1)</f>
        <v>#NAME?</v>
      </c>
      <c r="AB121" s="53" t="e">
        <f ca="1">_xll.ESHistD($Q121,_xll.ESFldID(AB$2,"D"),"D",$AC$1)</f>
        <v>#NAME?</v>
      </c>
      <c r="AC121" s="53" t="e">
        <f ca="1">_xll.ESHistD($Q121,_xll.ESFldID(AC$2,"D"),"D",$AC$1)</f>
        <v>#NAME?</v>
      </c>
      <c r="AD121" s="22" t="e">
        <f ca="1">_xll.ESHistD($Q121,_xll.ESFldID(AD$2,"D"),"D",$AC$1)</f>
        <v>#NAME?</v>
      </c>
    </row>
    <row r="122" spans="16:30" x14ac:dyDescent="0.25">
      <c r="P122" s="52" t="str">
        <f>IF(OR(ISBLANK(Q122), Q122=""),"", MAX(P$2:P121)+1)</f>
        <v/>
      </c>
      <c r="S122" s="16"/>
      <c r="T122" s="53" t="e">
        <f ca="1">_xll.ESHistD($Q122,_xll.ESFldID(T$2,"D"),"D",$S122)</f>
        <v>#NAME?</v>
      </c>
      <c r="U122" s="53" t="e">
        <f ca="1">_xll.ESHistD($Q122,_xll.ESFldID(U$2,"D"),"D",$S122)</f>
        <v>#NAME?</v>
      </c>
      <c r="V122" s="53" t="e">
        <f ca="1">_xll.ESHistD($Q122,_xll.ESFldID(V$2,"D"),"D",$S122)</f>
        <v>#NAME?</v>
      </c>
      <c r="W122" s="53" t="e">
        <f ca="1">_xll.ESHistD($Q122,_xll.ESFldID(W$2,"D"),"D",$S122)</f>
        <v>#NAME?</v>
      </c>
      <c r="X122" s="22" t="e">
        <f ca="1">_xll.ESHistD($Q122,_xll.ESFldID(X$2,"D"),"D",$S122)</f>
        <v>#NAME?</v>
      </c>
      <c r="Y122" s="55" t="str">
        <f t="shared" si="1"/>
        <v/>
      </c>
      <c r="Z122" s="53" t="e">
        <f ca="1">_xll.ESHistD($Q122,_xll.ESFldID(Z$2,"D"),"D",$AC$1)</f>
        <v>#NAME?</v>
      </c>
      <c r="AA122" s="53" t="e">
        <f ca="1">_xll.ESHistD($Q122,_xll.ESFldID(AA$2,"D"),"D",$AC$1)</f>
        <v>#NAME?</v>
      </c>
      <c r="AB122" s="53" t="e">
        <f ca="1">_xll.ESHistD($Q122,_xll.ESFldID(AB$2,"D"),"D",$AC$1)</f>
        <v>#NAME?</v>
      </c>
      <c r="AC122" s="53" t="e">
        <f ca="1">_xll.ESHistD($Q122,_xll.ESFldID(AC$2,"D"),"D",$AC$1)</f>
        <v>#NAME?</v>
      </c>
      <c r="AD122" s="22" t="e">
        <f ca="1">_xll.ESHistD($Q122,_xll.ESFldID(AD$2,"D"),"D",$AC$1)</f>
        <v>#NAME?</v>
      </c>
    </row>
    <row r="123" spans="16:30" x14ac:dyDescent="0.25">
      <c r="P123" s="52" t="str">
        <f>IF(OR(ISBLANK(Q123), Q123=""),"", MAX(P$2:P122)+1)</f>
        <v/>
      </c>
      <c r="S123" s="16"/>
      <c r="T123" s="53" t="e">
        <f ca="1">_xll.ESHistD($Q123,_xll.ESFldID(T$2,"D"),"D",$S123)</f>
        <v>#NAME?</v>
      </c>
      <c r="U123" s="53" t="e">
        <f ca="1">_xll.ESHistD($Q123,_xll.ESFldID(U$2,"D"),"D",$S123)</f>
        <v>#NAME?</v>
      </c>
      <c r="V123" s="53" t="e">
        <f ca="1">_xll.ESHistD($Q123,_xll.ESFldID(V$2,"D"),"D",$S123)</f>
        <v>#NAME?</v>
      </c>
      <c r="W123" s="53" t="e">
        <f ca="1">_xll.ESHistD($Q123,_xll.ESFldID(W$2,"D"),"D",$S123)</f>
        <v>#NAME?</v>
      </c>
      <c r="X123" s="22" t="e">
        <f ca="1">_xll.ESHistD($Q123,_xll.ESFldID(X$2,"D"),"D",$S123)</f>
        <v>#NAME?</v>
      </c>
      <c r="Y123" s="55" t="str">
        <f t="shared" si="1"/>
        <v/>
      </c>
      <c r="Z123" s="53" t="e">
        <f ca="1">_xll.ESHistD($Q123,_xll.ESFldID(Z$2,"D"),"D",$AC$1)</f>
        <v>#NAME?</v>
      </c>
      <c r="AA123" s="53" t="e">
        <f ca="1">_xll.ESHistD($Q123,_xll.ESFldID(AA$2,"D"),"D",$AC$1)</f>
        <v>#NAME?</v>
      </c>
      <c r="AB123" s="53" t="e">
        <f ca="1">_xll.ESHistD($Q123,_xll.ESFldID(AB$2,"D"),"D",$AC$1)</f>
        <v>#NAME?</v>
      </c>
      <c r="AC123" s="53" t="e">
        <f ca="1">_xll.ESHistD($Q123,_xll.ESFldID(AC$2,"D"),"D",$AC$1)</f>
        <v>#NAME?</v>
      </c>
      <c r="AD123" s="22" t="e">
        <f ca="1">_xll.ESHistD($Q123,_xll.ESFldID(AD$2,"D"),"D",$AC$1)</f>
        <v>#NAME?</v>
      </c>
    </row>
    <row r="124" spans="16:30" x14ac:dyDescent="0.25">
      <c r="P124" s="52" t="str">
        <f>IF(OR(ISBLANK(Q124), Q124=""),"", MAX(P$2:P123)+1)</f>
        <v/>
      </c>
      <c r="S124" s="16"/>
      <c r="T124" s="53" t="e">
        <f ca="1">_xll.ESHistD($Q124,_xll.ESFldID(T$2,"D"),"D",$S124)</f>
        <v>#NAME?</v>
      </c>
      <c r="U124" s="53" t="e">
        <f ca="1">_xll.ESHistD($Q124,_xll.ESFldID(U$2,"D"),"D",$S124)</f>
        <v>#NAME?</v>
      </c>
      <c r="V124" s="53" t="e">
        <f ca="1">_xll.ESHistD($Q124,_xll.ESFldID(V$2,"D"),"D",$S124)</f>
        <v>#NAME?</v>
      </c>
      <c r="W124" s="53" t="e">
        <f ca="1">_xll.ESHistD($Q124,_xll.ESFldID(W$2,"D"),"D",$S124)</f>
        <v>#NAME?</v>
      </c>
      <c r="X124" s="22" t="e">
        <f ca="1">_xll.ESHistD($Q124,_xll.ESFldID(X$2,"D"),"D",$S124)</f>
        <v>#NAME?</v>
      </c>
      <c r="Y124" s="55" t="str">
        <f t="shared" si="1"/>
        <v/>
      </c>
      <c r="Z124" s="53" t="e">
        <f ca="1">_xll.ESHistD($Q124,_xll.ESFldID(Z$2,"D"),"D",$AC$1)</f>
        <v>#NAME?</v>
      </c>
      <c r="AA124" s="53" t="e">
        <f ca="1">_xll.ESHistD($Q124,_xll.ESFldID(AA$2,"D"),"D",$AC$1)</f>
        <v>#NAME?</v>
      </c>
      <c r="AB124" s="53" t="e">
        <f ca="1">_xll.ESHistD($Q124,_xll.ESFldID(AB$2,"D"),"D",$AC$1)</f>
        <v>#NAME?</v>
      </c>
      <c r="AC124" s="53" t="e">
        <f ca="1">_xll.ESHistD($Q124,_xll.ESFldID(AC$2,"D"),"D",$AC$1)</f>
        <v>#NAME?</v>
      </c>
      <c r="AD124" s="22" t="e">
        <f ca="1">_xll.ESHistD($Q124,_xll.ESFldID(AD$2,"D"),"D",$AC$1)</f>
        <v>#NAME?</v>
      </c>
    </row>
    <row r="125" spans="16:30" x14ac:dyDescent="0.25">
      <c r="P125" s="52" t="str">
        <f>IF(OR(ISBLANK(Q125), Q125=""),"", MAX(P$2:P124)+1)</f>
        <v/>
      </c>
      <c r="S125" s="16"/>
      <c r="T125" s="53" t="e">
        <f ca="1">_xll.ESHistD($Q125,_xll.ESFldID(T$2,"D"),"D",$S125)</f>
        <v>#NAME?</v>
      </c>
      <c r="U125" s="53" t="e">
        <f ca="1">_xll.ESHistD($Q125,_xll.ESFldID(U$2,"D"),"D",$S125)</f>
        <v>#NAME?</v>
      </c>
      <c r="V125" s="53" t="e">
        <f ca="1">_xll.ESHistD($Q125,_xll.ESFldID(V$2,"D"),"D",$S125)</f>
        <v>#NAME?</v>
      </c>
      <c r="W125" s="53" t="e">
        <f ca="1">_xll.ESHistD($Q125,_xll.ESFldID(W$2,"D"),"D",$S125)</f>
        <v>#NAME?</v>
      </c>
      <c r="X125" s="22" t="e">
        <f ca="1">_xll.ESHistD($Q125,_xll.ESFldID(X$2,"D"),"D",$S125)</f>
        <v>#NAME?</v>
      </c>
      <c r="Y125" s="55" t="str">
        <f t="shared" si="1"/>
        <v/>
      </c>
      <c r="Z125" s="53" t="e">
        <f ca="1">_xll.ESHistD($Q125,_xll.ESFldID(Z$2,"D"),"D",$AC$1)</f>
        <v>#NAME?</v>
      </c>
      <c r="AA125" s="53" t="e">
        <f ca="1">_xll.ESHistD($Q125,_xll.ESFldID(AA$2,"D"),"D",$AC$1)</f>
        <v>#NAME?</v>
      </c>
      <c r="AB125" s="53" t="e">
        <f ca="1">_xll.ESHistD($Q125,_xll.ESFldID(AB$2,"D"),"D",$AC$1)</f>
        <v>#NAME?</v>
      </c>
      <c r="AC125" s="53" t="e">
        <f ca="1">_xll.ESHistD($Q125,_xll.ESFldID(AC$2,"D"),"D",$AC$1)</f>
        <v>#NAME?</v>
      </c>
      <c r="AD125" s="22" t="e">
        <f ca="1">_xll.ESHistD($Q125,_xll.ESFldID(AD$2,"D"),"D",$AC$1)</f>
        <v>#NAME?</v>
      </c>
    </row>
    <row r="126" spans="16:30" x14ac:dyDescent="0.25">
      <c r="P126" s="52" t="str">
        <f>IF(OR(ISBLANK(Q126), Q126=""),"", MAX(P$2:P125)+1)</f>
        <v/>
      </c>
      <c r="S126" s="16"/>
      <c r="T126" s="53" t="e">
        <f ca="1">_xll.ESHistD($Q126,_xll.ESFldID(T$2,"D"),"D",$S126)</f>
        <v>#NAME?</v>
      </c>
      <c r="U126" s="53" t="e">
        <f ca="1">_xll.ESHistD($Q126,_xll.ESFldID(U$2,"D"),"D",$S126)</f>
        <v>#NAME?</v>
      </c>
      <c r="V126" s="53" t="e">
        <f ca="1">_xll.ESHistD($Q126,_xll.ESFldID(V$2,"D"),"D",$S126)</f>
        <v>#NAME?</v>
      </c>
      <c r="W126" s="53" t="e">
        <f ca="1">_xll.ESHistD($Q126,_xll.ESFldID(W$2,"D"),"D",$S126)</f>
        <v>#NAME?</v>
      </c>
      <c r="X126" s="22" t="e">
        <f ca="1">_xll.ESHistD($Q126,_xll.ESFldID(X$2,"D"),"D",$S126)</f>
        <v>#NAME?</v>
      </c>
      <c r="Y126" s="55" t="str">
        <f t="shared" si="1"/>
        <v/>
      </c>
      <c r="Z126" s="53" t="e">
        <f ca="1">_xll.ESHistD($Q126,_xll.ESFldID(Z$2,"D"),"D",$AC$1)</f>
        <v>#NAME?</v>
      </c>
      <c r="AA126" s="53" t="e">
        <f ca="1">_xll.ESHistD($Q126,_xll.ESFldID(AA$2,"D"),"D",$AC$1)</f>
        <v>#NAME?</v>
      </c>
      <c r="AB126" s="53" t="e">
        <f ca="1">_xll.ESHistD($Q126,_xll.ESFldID(AB$2,"D"),"D",$AC$1)</f>
        <v>#NAME?</v>
      </c>
      <c r="AC126" s="53" t="e">
        <f ca="1">_xll.ESHistD($Q126,_xll.ESFldID(AC$2,"D"),"D",$AC$1)</f>
        <v>#NAME?</v>
      </c>
      <c r="AD126" s="22" t="e">
        <f ca="1">_xll.ESHistD($Q126,_xll.ESFldID(AD$2,"D"),"D",$AC$1)</f>
        <v>#NAME?</v>
      </c>
    </row>
    <row r="127" spans="16:30" x14ac:dyDescent="0.25">
      <c r="P127" s="52" t="str">
        <f>IF(OR(ISBLANK(Q127), Q127=""),"", MAX(P$2:P126)+1)</f>
        <v/>
      </c>
      <c r="S127" s="16"/>
      <c r="T127" s="53" t="e">
        <f ca="1">_xll.ESHistD($Q127,_xll.ESFldID(T$2,"D"),"D",$S127)</f>
        <v>#NAME?</v>
      </c>
      <c r="U127" s="53" t="e">
        <f ca="1">_xll.ESHistD($Q127,_xll.ESFldID(U$2,"D"),"D",$S127)</f>
        <v>#NAME?</v>
      </c>
      <c r="V127" s="53" t="e">
        <f ca="1">_xll.ESHistD($Q127,_xll.ESFldID(V$2,"D"),"D",$S127)</f>
        <v>#NAME?</v>
      </c>
      <c r="W127" s="53" t="e">
        <f ca="1">_xll.ESHistD($Q127,_xll.ESFldID(W$2,"D"),"D",$S127)</f>
        <v>#NAME?</v>
      </c>
      <c r="X127" s="22" t="e">
        <f ca="1">_xll.ESHistD($Q127,_xll.ESFldID(X$2,"D"),"D",$S127)</f>
        <v>#NAME?</v>
      </c>
      <c r="Y127" s="55" t="str">
        <f t="shared" si="1"/>
        <v/>
      </c>
      <c r="Z127" s="53" t="e">
        <f ca="1">_xll.ESHistD($Q127,_xll.ESFldID(Z$2,"D"),"D",$AC$1)</f>
        <v>#NAME?</v>
      </c>
      <c r="AA127" s="53" t="e">
        <f ca="1">_xll.ESHistD($Q127,_xll.ESFldID(AA$2,"D"),"D",$AC$1)</f>
        <v>#NAME?</v>
      </c>
      <c r="AB127" s="53" t="e">
        <f ca="1">_xll.ESHistD($Q127,_xll.ESFldID(AB$2,"D"),"D",$AC$1)</f>
        <v>#NAME?</v>
      </c>
      <c r="AC127" s="53" t="e">
        <f ca="1">_xll.ESHistD($Q127,_xll.ESFldID(AC$2,"D"),"D",$AC$1)</f>
        <v>#NAME?</v>
      </c>
      <c r="AD127" s="22" t="e">
        <f ca="1">_xll.ESHistD($Q127,_xll.ESFldID(AD$2,"D"),"D",$AC$1)</f>
        <v>#NAME?</v>
      </c>
    </row>
    <row r="128" spans="16:30" x14ac:dyDescent="0.25">
      <c r="P128" s="52" t="str">
        <f>IF(OR(ISBLANK(Q128), Q128=""),"", MAX(P$2:P127)+1)</f>
        <v/>
      </c>
      <c r="S128" s="16"/>
      <c r="T128" s="53" t="e">
        <f ca="1">_xll.ESHistD($Q128,_xll.ESFldID(T$2,"D"),"D",$S128)</f>
        <v>#NAME?</v>
      </c>
      <c r="U128" s="53" t="e">
        <f ca="1">_xll.ESHistD($Q128,_xll.ESFldID(U$2,"D"),"D",$S128)</f>
        <v>#NAME?</v>
      </c>
      <c r="V128" s="53" t="e">
        <f ca="1">_xll.ESHistD($Q128,_xll.ESFldID(V$2,"D"),"D",$S128)</f>
        <v>#NAME?</v>
      </c>
      <c r="W128" s="53" t="e">
        <f ca="1">_xll.ESHistD($Q128,_xll.ESFldID(W$2,"D"),"D",$S128)</f>
        <v>#NAME?</v>
      </c>
      <c r="X128" s="22" t="e">
        <f ca="1">_xll.ESHistD($Q128,_xll.ESFldID(X$2,"D"),"D",$S128)</f>
        <v>#NAME?</v>
      </c>
      <c r="Y128" s="55" t="str">
        <f t="shared" si="1"/>
        <v/>
      </c>
      <c r="Z128" s="53" t="e">
        <f ca="1">_xll.ESHistD($Q128,_xll.ESFldID(Z$2,"D"),"D",$AC$1)</f>
        <v>#NAME?</v>
      </c>
      <c r="AA128" s="53" t="e">
        <f ca="1">_xll.ESHistD($Q128,_xll.ESFldID(AA$2,"D"),"D",$AC$1)</f>
        <v>#NAME?</v>
      </c>
      <c r="AB128" s="53" t="e">
        <f ca="1">_xll.ESHistD($Q128,_xll.ESFldID(AB$2,"D"),"D",$AC$1)</f>
        <v>#NAME?</v>
      </c>
      <c r="AC128" s="53" t="e">
        <f ca="1">_xll.ESHistD($Q128,_xll.ESFldID(AC$2,"D"),"D",$AC$1)</f>
        <v>#NAME?</v>
      </c>
      <c r="AD128" s="22" t="e">
        <f ca="1">_xll.ESHistD($Q128,_xll.ESFldID(AD$2,"D"),"D",$AC$1)</f>
        <v>#NAME?</v>
      </c>
    </row>
    <row r="129" spans="16:30" x14ac:dyDescent="0.25">
      <c r="P129" s="52" t="str">
        <f>IF(OR(ISBLANK(Q129), Q129=""),"", MAX(P$2:P128)+1)</f>
        <v/>
      </c>
      <c r="S129" s="16"/>
      <c r="T129" s="53" t="e">
        <f ca="1">_xll.ESHistD($Q129,_xll.ESFldID(T$2,"D"),"D",$S129)</f>
        <v>#NAME?</v>
      </c>
      <c r="U129" s="53" t="e">
        <f ca="1">_xll.ESHistD($Q129,_xll.ESFldID(U$2,"D"),"D",$S129)</f>
        <v>#NAME?</v>
      </c>
      <c r="V129" s="53" t="e">
        <f ca="1">_xll.ESHistD($Q129,_xll.ESFldID(V$2,"D"),"D",$S129)</f>
        <v>#NAME?</v>
      </c>
      <c r="W129" s="53" t="e">
        <f ca="1">_xll.ESHistD($Q129,_xll.ESFldID(W$2,"D"),"D",$S129)</f>
        <v>#NAME?</v>
      </c>
      <c r="X129" s="22" t="e">
        <f ca="1">_xll.ESHistD($Q129,_xll.ESFldID(X$2,"D"),"D",$S129)</f>
        <v>#NAME?</v>
      </c>
      <c r="Y129" s="55" t="str">
        <f t="shared" si="1"/>
        <v/>
      </c>
      <c r="Z129" s="53" t="e">
        <f ca="1">_xll.ESHistD($Q129,_xll.ESFldID(Z$2,"D"),"D",$AC$1)</f>
        <v>#NAME?</v>
      </c>
      <c r="AA129" s="53" t="e">
        <f ca="1">_xll.ESHistD($Q129,_xll.ESFldID(AA$2,"D"),"D",$AC$1)</f>
        <v>#NAME?</v>
      </c>
      <c r="AB129" s="53" t="e">
        <f ca="1">_xll.ESHistD($Q129,_xll.ESFldID(AB$2,"D"),"D",$AC$1)</f>
        <v>#NAME?</v>
      </c>
      <c r="AC129" s="53" t="e">
        <f ca="1">_xll.ESHistD($Q129,_xll.ESFldID(AC$2,"D"),"D",$AC$1)</f>
        <v>#NAME?</v>
      </c>
      <c r="AD129" s="22" t="e">
        <f ca="1">_xll.ESHistD($Q129,_xll.ESFldID(AD$2,"D"),"D",$AC$1)</f>
        <v>#NAME?</v>
      </c>
    </row>
    <row r="130" spans="16:30" x14ac:dyDescent="0.25">
      <c r="P130" s="52" t="str">
        <f>IF(OR(ISBLANK(Q130), Q130=""),"", MAX(P$2:P129)+1)</f>
        <v/>
      </c>
      <c r="S130" s="16"/>
      <c r="T130" s="53" t="e">
        <f ca="1">_xll.ESHistD($Q130,_xll.ESFldID(T$2,"D"),"D",$S130)</f>
        <v>#NAME?</v>
      </c>
      <c r="U130" s="53" t="e">
        <f ca="1">_xll.ESHistD($Q130,_xll.ESFldID(U$2,"D"),"D",$S130)</f>
        <v>#NAME?</v>
      </c>
      <c r="V130" s="53" t="e">
        <f ca="1">_xll.ESHistD($Q130,_xll.ESFldID(V$2,"D"),"D",$S130)</f>
        <v>#NAME?</v>
      </c>
      <c r="W130" s="53" t="e">
        <f ca="1">_xll.ESHistD($Q130,_xll.ESFldID(W$2,"D"),"D",$S130)</f>
        <v>#NAME?</v>
      </c>
      <c r="X130" s="22" t="e">
        <f ca="1">_xll.ESHistD($Q130,_xll.ESFldID(X$2,"D"),"D",$S130)</f>
        <v>#NAME?</v>
      </c>
      <c r="Y130" s="55" t="str">
        <f t="shared" si="1"/>
        <v/>
      </c>
      <c r="Z130" s="53" t="e">
        <f ca="1">_xll.ESHistD($Q130,_xll.ESFldID(Z$2,"D"),"D",$AC$1)</f>
        <v>#NAME?</v>
      </c>
      <c r="AA130" s="53" t="e">
        <f ca="1">_xll.ESHistD($Q130,_xll.ESFldID(AA$2,"D"),"D",$AC$1)</f>
        <v>#NAME?</v>
      </c>
      <c r="AB130" s="53" t="e">
        <f ca="1">_xll.ESHistD($Q130,_xll.ESFldID(AB$2,"D"),"D",$AC$1)</f>
        <v>#NAME?</v>
      </c>
      <c r="AC130" s="53" t="e">
        <f ca="1">_xll.ESHistD($Q130,_xll.ESFldID(AC$2,"D"),"D",$AC$1)</f>
        <v>#NAME?</v>
      </c>
      <c r="AD130" s="22" t="e">
        <f ca="1">_xll.ESHistD($Q130,_xll.ESFldID(AD$2,"D"),"D",$AC$1)</f>
        <v>#NAME?</v>
      </c>
    </row>
    <row r="131" spans="16:30" x14ac:dyDescent="0.25">
      <c r="P131" s="52" t="str">
        <f>IF(OR(ISBLANK(Q131), Q131=""),"", MAX(P$2:P130)+1)</f>
        <v/>
      </c>
      <c r="S131" s="16"/>
      <c r="T131" s="53" t="e">
        <f ca="1">_xll.ESHistD($Q131,_xll.ESFldID(T$2,"D"),"D",$S131)</f>
        <v>#NAME?</v>
      </c>
      <c r="U131" s="53" t="e">
        <f ca="1">_xll.ESHistD($Q131,_xll.ESFldID(U$2,"D"),"D",$S131)</f>
        <v>#NAME?</v>
      </c>
      <c r="V131" s="53" t="e">
        <f ca="1">_xll.ESHistD($Q131,_xll.ESFldID(V$2,"D"),"D",$S131)</f>
        <v>#NAME?</v>
      </c>
      <c r="W131" s="53" t="e">
        <f ca="1">_xll.ESHistD($Q131,_xll.ESFldID(W$2,"D"),"D",$S131)</f>
        <v>#NAME?</v>
      </c>
      <c r="X131" s="22" t="e">
        <f ca="1">_xll.ESHistD($Q131,_xll.ESFldID(X$2,"D"),"D",$S131)</f>
        <v>#NAME?</v>
      </c>
      <c r="Y131" s="55" t="str">
        <f t="shared" si="1"/>
        <v/>
      </c>
      <c r="Z131" s="53" t="e">
        <f ca="1">_xll.ESHistD($Q131,_xll.ESFldID(Z$2,"D"),"D",$AC$1)</f>
        <v>#NAME?</v>
      </c>
      <c r="AA131" s="53" t="e">
        <f ca="1">_xll.ESHistD($Q131,_xll.ESFldID(AA$2,"D"),"D",$AC$1)</f>
        <v>#NAME?</v>
      </c>
      <c r="AB131" s="53" t="e">
        <f ca="1">_xll.ESHistD($Q131,_xll.ESFldID(AB$2,"D"),"D",$AC$1)</f>
        <v>#NAME?</v>
      </c>
      <c r="AC131" s="53" t="e">
        <f ca="1">_xll.ESHistD($Q131,_xll.ESFldID(AC$2,"D"),"D",$AC$1)</f>
        <v>#NAME?</v>
      </c>
      <c r="AD131" s="22" t="e">
        <f ca="1">_xll.ESHistD($Q131,_xll.ESFldID(AD$2,"D"),"D",$AC$1)</f>
        <v>#NAME?</v>
      </c>
    </row>
    <row r="132" spans="16:30" x14ac:dyDescent="0.25">
      <c r="P132" s="52" t="str">
        <f>IF(OR(ISBLANK(Q132), Q132=""),"", MAX(P$2:P131)+1)</f>
        <v/>
      </c>
      <c r="S132" s="16"/>
      <c r="T132" s="53" t="e">
        <f ca="1">_xll.ESHistD($Q132,_xll.ESFldID(T$2,"D"),"D",$S132)</f>
        <v>#NAME?</v>
      </c>
      <c r="U132" s="53" t="e">
        <f ca="1">_xll.ESHistD($Q132,_xll.ESFldID(U$2,"D"),"D",$S132)</f>
        <v>#NAME?</v>
      </c>
      <c r="V132" s="53" t="e">
        <f ca="1">_xll.ESHistD($Q132,_xll.ESFldID(V$2,"D"),"D",$S132)</f>
        <v>#NAME?</v>
      </c>
      <c r="W132" s="53" t="e">
        <f ca="1">_xll.ESHistD($Q132,_xll.ESFldID(W$2,"D"),"D",$S132)</f>
        <v>#NAME?</v>
      </c>
      <c r="X132" s="22" t="e">
        <f ca="1">_xll.ESHistD($Q132,_xll.ESFldID(X$2,"D"),"D",$S132)</f>
        <v>#NAME?</v>
      </c>
      <c r="Y132" s="55" t="str">
        <f t="shared" ref="Y132:Y153" si="2">IF(ISBLANK(Q132), "", Q132)</f>
        <v/>
      </c>
      <c r="Z132" s="53" t="e">
        <f ca="1">_xll.ESHistD($Q132,_xll.ESFldID(Z$2,"D"),"D",$AC$1)</f>
        <v>#NAME?</v>
      </c>
      <c r="AA132" s="53" t="e">
        <f ca="1">_xll.ESHistD($Q132,_xll.ESFldID(AA$2,"D"),"D",$AC$1)</f>
        <v>#NAME?</v>
      </c>
      <c r="AB132" s="53" t="e">
        <f ca="1">_xll.ESHistD($Q132,_xll.ESFldID(AB$2,"D"),"D",$AC$1)</f>
        <v>#NAME?</v>
      </c>
      <c r="AC132" s="53" t="e">
        <f ca="1">_xll.ESHistD($Q132,_xll.ESFldID(AC$2,"D"),"D",$AC$1)</f>
        <v>#NAME?</v>
      </c>
      <c r="AD132" s="22" t="e">
        <f ca="1">_xll.ESHistD($Q132,_xll.ESFldID(AD$2,"D"),"D",$AC$1)</f>
        <v>#NAME?</v>
      </c>
    </row>
    <row r="133" spans="16:30" x14ac:dyDescent="0.25">
      <c r="P133" s="52" t="str">
        <f>IF(OR(ISBLANK(Q133), Q133=""),"", MAX(P$2:P132)+1)</f>
        <v/>
      </c>
      <c r="S133" s="16"/>
      <c r="T133" s="53" t="e">
        <f ca="1">_xll.ESHistD($Q133,_xll.ESFldID(T$2,"D"),"D",$S133)</f>
        <v>#NAME?</v>
      </c>
      <c r="U133" s="53" t="e">
        <f ca="1">_xll.ESHistD($Q133,_xll.ESFldID(U$2,"D"),"D",$S133)</f>
        <v>#NAME?</v>
      </c>
      <c r="V133" s="53" t="e">
        <f ca="1">_xll.ESHistD($Q133,_xll.ESFldID(V$2,"D"),"D",$S133)</f>
        <v>#NAME?</v>
      </c>
      <c r="W133" s="53" t="e">
        <f ca="1">_xll.ESHistD($Q133,_xll.ESFldID(W$2,"D"),"D",$S133)</f>
        <v>#NAME?</v>
      </c>
      <c r="X133" s="22" t="e">
        <f ca="1">_xll.ESHistD($Q133,_xll.ESFldID(X$2,"D"),"D",$S133)</f>
        <v>#NAME?</v>
      </c>
      <c r="Y133" s="55" t="str">
        <f t="shared" si="2"/>
        <v/>
      </c>
      <c r="Z133" s="53" t="e">
        <f ca="1">_xll.ESHistD($Q133,_xll.ESFldID(Z$2,"D"),"D",$AC$1)</f>
        <v>#NAME?</v>
      </c>
      <c r="AA133" s="53" t="e">
        <f ca="1">_xll.ESHistD($Q133,_xll.ESFldID(AA$2,"D"),"D",$AC$1)</f>
        <v>#NAME?</v>
      </c>
      <c r="AB133" s="53" t="e">
        <f ca="1">_xll.ESHistD($Q133,_xll.ESFldID(AB$2,"D"),"D",$AC$1)</f>
        <v>#NAME?</v>
      </c>
      <c r="AC133" s="53" t="e">
        <f ca="1">_xll.ESHistD($Q133,_xll.ESFldID(AC$2,"D"),"D",$AC$1)</f>
        <v>#NAME?</v>
      </c>
      <c r="AD133" s="22" t="e">
        <f ca="1">_xll.ESHistD($Q133,_xll.ESFldID(AD$2,"D"),"D",$AC$1)</f>
        <v>#NAME?</v>
      </c>
    </row>
    <row r="134" spans="16:30" x14ac:dyDescent="0.25">
      <c r="P134" s="52" t="str">
        <f>IF(OR(ISBLANK(Q134), Q134=""),"", MAX(P$2:P133)+1)</f>
        <v/>
      </c>
      <c r="S134" s="16"/>
      <c r="T134" s="53" t="e">
        <f ca="1">_xll.ESHistD($Q134,_xll.ESFldID(T$2,"D"),"D",$S134)</f>
        <v>#NAME?</v>
      </c>
      <c r="U134" s="53" t="e">
        <f ca="1">_xll.ESHistD($Q134,_xll.ESFldID(U$2,"D"),"D",$S134)</f>
        <v>#NAME?</v>
      </c>
      <c r="V134" s="53" t="e">
        <f ca="1">_xll.ESHistD($Q134,_xll.ESFldID(V$2,"D"),"D",$S134)</f>
        <v>#NAME?</v>
      </c>
      <c r="W134" s="53" t="e">
        <f ca="1">_xll.ESHistD($Q134,_xll.ESFldID(W$2,"D"),"D",$S134)</f>
        <v>#NAME?</v>
      </c>
      <c r="X134" s="22" t="e">
        <f ca="1">_xll.ESHistD($Q134,_xll.ESFldID(X$2,"D"),"D",$S134)</f>
        <v>#NAME?</v>
      </c>
      <c r="Y134" s="55" t="str">
        <f t="shared" si="2"/>
        <v/>
      </c>
      <c r="Z134" s="53" t="e">
        <f ca="1">_xll.ESHistD($Q134,_xll.ESFldID(Z$2,"D"),"D",$AC$1)</f>
        <v>#NAME?</v>
      </c>
      <c r="AA134" s="53" t="e">
        <f ca="1">_xll.ESHistD($Q134,_xll.ESFldID(AA$2,"D"),"D",$AC$1)</f>
        <v>#NAME?</v>
      </c>
      <c r="AB134" s="53" t="e">
        <f ca="1">_xll.ESHistD($Q134,_xll.ESFldID(AB$2,"D"),"D",$AC$1)</f>
        <v>#NAME?</v>
      </c>
      <c r="AC134" s="53" t="e">
        <f ca="1">_xll.ESHistD($Q134,_xll.ESFldID(AC$2,"D"),"D",$AC$1)</f>
        <v>#NAME?</v>
      </c>
      <c r="AD134" s="22" t="e">
        <f ca="1">_xll.ESHistD($Q134,_xll.ESFldID(AD$2,"D"),"D",$AC$1)</f>
        <v>#NAME?</v>
      </c>
    </row>
    <row r="135" spans="16:30" x14ac:dyDescent="0.25">
      <c r="P135" s="52" t="str">
        <f>IF(OR(ISBLANK(Q135), Q135=""),"", MAX(P$2:P134)+1)</f>
        <v/>
      </c>
      <c r="S135" s="16"/>
      <c r="T135" s="53" t="e">
        <f ca="1">_xll.ESHistD($Q135,_xll.ESFldID(T$2,"D"),"D",$S135)</f>
        <v>#NAME?</v>
      </c>
      <c r="U135" s="53" t="e">
        <f ca="1">_xll.ESHistD($Q135,_xll.ESFldID(U$2,"D"),"D",$S135)</f>
        <v>#NAME?</v>
      </c>
      <c r="V135" s="53" t="e">
        <f ca="1">_xll.ESHistD($Q135,_xll.ESFldID(V$2,"D"),"D",$S135)</f>
        <v>#NAME?</v>
      </c>
      <c r="W135" s="53" t="e">
        <f ca="1">_xll.ESHistD($Q135,_xll.ESFldID(W$2,"D"),"D",$S135)</f>
        <v>#NAME?</v>
      </c>
      <c r="X135" s="22" t="e">
        <f ca="1">_xll.ESHistD($Q135,_xll.ESFldID(X$2,"D"),"D",$S135)</f>
        <v>#NAME?</v>
      </c>
      <c r="Y135" s="55" t="str">
        <f t="shared" si="2"/>
        <v/>
      </c>
      <c r="Z135" s="53" t="e">
        <f ca="1">_xll.ESHistD($Q135,_xll.ESFldID(Z$2,"D"),"D",$AC$1)</f>
        <v>#NAME?</v>
      </c>
      <c r="AA135" s="53" t="e">
        <f ca="1">_xll.ESHistD($Q135,_xll.ESFldID(AA$2,"D"),"D",$AC$1)</f>
        <v>#NAME?</v>
      </c>
      <c r="AB135" s="53" t="e">
        <f ca="1">_xll.ESHistD($Q135,_xll.ESFldID(AB$2,"D"),"D",$AC$1)</f>
        <v>#NAME?</v>
      </c>
      <c r="AC135" s="53" t="e">
        <f ca="1">_xll.ESHistD($Q135,_xll.ESFldID(AC$2,"D"),"D",$AC$1)</f>
        <v>#NAME?</v>
      </c>
      <c r="AD135" s="22" t="e">
        <f ca="1">_xll.ESHistD($Q135,_xll.ESFldID(AD$2,"D"),"D",$AC$1)</f>
        <v>#NAME?</v>
      </c>
    </row>
    <row r="136" spans="16:30" x14ac:dyDescent="0.25">
      <c r="P136" s="52" t="str">
        <f>IF(OR(ISBLANK(Q136), Q136=""),"", MAX(P$2:P135)+1)</f>
        <v/>
      </c>
      <c r="S136" s="16"/>
      <c r="T136" s="53" t="e">
        <f ca="1">_xll.ESHistD($Q136,_xll.ESFldID(T$2,"D"),"D",$S136)</f>
        <v>#NAME?</v>
      </c>
      <c r="U136" s="53" t="e">
        <f ca="1">_xll.ESHistD($Q136,_xll.ESFldID(U$2,"D"),"D",$S136)</f>
        <v>#NAME?</v>
      </c>
      <c r="V136" s="53" t="e">
        <f ca="1">_xll.ESHistD($Q136,_xll.ESFldID(V$2,"D"),"D",$S136)</f>
        <v>#NAME?</v>
      </c>
      <c r="W136" s="53" t="e">
        <f ca="1">_xll.ESHistD($Q136,_xll.ESFldID(W$2,"D"),"D",$S136)</f>
        <v>#NAME?</v>
      </c>
      <c r="X136" s="22" t="e">
        <f ca="1">_xll.ESHistD($Q136,_xll.ESFldID(X$2,"D"),"D",$S136)</f>
        <v>#NAME?</v>
      </c>
      <c r="Y136" s="55" t="str">
        <f t="shared" si="2"/>
        <v/>
      </c>
      <c r="Z136" s="53" t="e">
        <f ca="1">_xll.ESHistD($Q136,_xll.ESFldID(Z$2,"D"),"D",$AC$1)</f>
        <v>#NAME?</v>
      </c>
      <c r="AA136" s="53" t="e">
        <f ca="1">_xll.ESHistD($Q136,_xll.ESFldID(AA$2,"D"),"D",$AC$1)</f>
        <v>#NAME?</v>
      </c>
      <c r="AB136" s="53" t="e">
        <f ca="1">_xll.ESHistD($Q136,_xll.ESFldID(AB$2,"D"),"D",$AC$1)</f>
        <v>#NAME?</v>
      </c>
      <c r="AC136" s="53" t="e">
        <f ca="1">_xll.ESHistD($Q136,_xll.ESFldID(AC$2,"D"),"D",$AC$1)</f>
        <v>#NAME?</v>
      </c>
      <c r="AD136" s="22" t="e">
        <f ca="1">_xll.ESHistD($Q136,_xll.ESFldID(AD$2,"D"),"D",$AC$1)</f>
        <v>#NAME?</v>
      </c>
    </row>
    <row r="137" spans="16:30" x14ac:dyDescent="0.25">
      <c r="P137" s="52" t="str">
        <f>IF(OR(ISBLANK(Q137), Q137=""),"", MAX(P$2:P136)+1)</f>
        <v/>
      </c>
      <c r="S137" s="16"/>
      <c r="T137" s="53" t="e">
        <f ca="1">_xll.ESHistD($Q137,_xll.ESFldID(T$2,"D"),"D",$S137)</f>
        <v>#NAME?</v>
      </c>
      <c r="U137" s="53" t="e">
        <f ca="1">_xll.ESHistD($Q137,_xll.ESFldID(U$2,"D"),"D",$S137)</f>
        <v>#NAME?</v>
      </c>
      <c r="V137" s="53" t="e">
        <f ca="1">_xll.ESHistD($Q137,_xll.ESFldID(V$2,"D"),"D",$S137)</f>
        <v>#NAME?</v>
      </c>
      <c r="W137" s="53" t="e">
        <f ca="1">_xll.ESHistD($Q137,_xll.ESFldID(W$2,"D"),"D",$S137)</f>
        <v>#NAME?</v>
      </c>
      <c r="X137" s="22" t="e">
        <f ca="1">_xll.ESHistD($Q137,_xll.ESFldID(X$2,"D"),"D",$S137)</f>
        <v>#NAME?</v>
      </c>
      <c r="Y137" s="55" t="str">
        <f t="shared" si="2"/>
        <v/>
      </c>
      <c r="Z137" s="53" t="e">
        <f ca="1">_xll.ESHistD($Q137,_xll.ESFldID(Z$2,"D"),"D",$AC$1)</f>
        <v>#NAME?</v>
      </c>
      <c r="AA137" s="53" t="e">
        <f ca="1">_xll.ESHistD($Q137,_xll.ESFldID(AA$2,"D"),"D",$AC$1)</f>
        <v>#NAME?</v>
      </c>
      <c r="AB137" s="53" t="e">
        <f ca="1">_xll.ESHistD($Q137,_xll.ESFldID(AB$2,"D"),"D",$AC$1)</f>
        <v>#NAME?</v>
      </c>
      <c r="AC137" s="53" t="e">
        <f ca="1">_xll.ESHistD($Q137,_xll.ESFldID(AC$2,"D"),"D",$AC$1)</f>
        <v>#NAME?</v>
      </c>
      <c r="AD137" s="22" t="e">
        <f ca="1">_xll.ESHistD($Q137,_xll.ESFldID(AD$2,"D"),"D",$AC$1)</f>
        <v>#NAME?</v>
      </c>
    </row>
    <row r="138" spans="16:30" x14ac:dyDescent="0.25">
      <c r="P138" s="52" t="str">
        <f>IF(OR(ISBLANK(Q138), Q138=""),"", MAX(P$2:P137)+1)</f>
        <v/>
      </c>
      <c r="S138" s="16"/>
      <c r="T138" s="53" t="e">
        <f ca="1">_xll.ESHistD($Q138,_xll.ESFldID(T$2,"D"),"D",$S138)</f>
        <v>#NAME?</v>
      </c>
      <c r="U138" s="53" t="e">
        <f ca="1">_xll.ESHistD($Q138,_xll.ESFldID(U$2,"D"),"D",$S138)</f>
        <v>#NAME?</v>
      </c>
      <c r="V138" s="53" t="e">
        <f ca="1">_xll.ESHistD($Q138,_xll.ESFldID(V$2,"D"),"D",$S138)</f>
        <v>#NAME?</v>
      </c>
      <c r="W138" s="53" t="e">
        <f ca="1">_xll.ESHistD($Q138,_xll.ESFldID(W$2,"D"),"D",$S138)</f>
        <v>#NAME?</v>
      </c>
      <c r="X138" s="22" t="e">
        <f ca="1">_xll.ESHistD($Q138,_xll.ESFldID(X$2,"D"),"D",$S138)</f>
        <v>#NAME?</v>
      </c>
      <c r="Y138" s="55" t="str">
        <f t="shared" si="2"/>
        <v/>
      </c>
      <c r="Z138" s="53" t="e">
        <f ca="1">_xll.ESHistD($Q138,_xll.ESFldID(Z$2,"D"),"D",$AC$1)</f>
        <v>#NAME?</v>
      </c>
      <c r="AA138" s="53" t="e">
        <f ca="1">_xll.ESHistD($Q138,_xll.ESFldID(AA$2,"D"),"D",$AC$1)</f>
        <v>#NAME?</v>
      </c>
      <c r="AB138" s="53" t="e">
        <f ca="1">_xll.ESHistD($Q138,_xll.ESFldID(AB$2,"D"),"D",$AC$1)</f>
        <v>#NAME?</v>
      </c>
      <c r="AC138" s="53" t="e">
        <f ca="1">_xll.ESHistD($Q138,_xll.ESFldID(AC$2,"D"),"D",$AC$1)</f>
        <v>#NAME?</v>
      </c>
      <c r="AD138" s="22" t="e">
        <f ca="1">_xll.ESHistD($Q138,_xll.ESFldID(AD$2,"D"),"D",$AC$1)</f>
        <v>#NAME?</v>
      </c>
    </row>
    <row r="139" spans="16:30" x14ac:dyDescent="0.25">
      <c r="P139" s="52" t="str">
        <f>IF(OR(ISBLANK(Q139), Q139=""),"", MAX(P$2:P138)+1)</f>
        <v/>
      </c>
      <c r="S139" s="16"/>
      <c r="T139" s="53" t="e">
        <f ca="1">_xll.ESHistD($Q139,_xll.ESFldID(T$2,"D"),"D",$S139)</f>
        <v>#NAME?</v>
      </c>
      <c r="U139" s="53" t="e">
        <f ca="1">_xll.ESHistD($Q139,_xll.ESFldID(U$2,"D"),"D",$S139)</f>
        <v>#NAME?</v>
      </c>
      <c r="V139" s="53" t="e">
        <f ca="1">_xll.ESHistD($Q139,_xll.ESFldID(V$2,"D"),"D",$S139)</f>
        <v>#NAME?</v>
      </c>
      <c r="W139" s="53" t="e">
        <f ca="1">_xll.ESHistD($Q139,_xll.ESFldID(W$2,"D"),"D",$S139)</f>
        <v>#NAME?</v>
      </c>
      <c r="X139" s="22" t="e">
        <f ca="1">_xll.ESHistD($Q139,_xll.ESFldID(X$2,"D"),"D",$S139)</f>
        <v>#NAME?</v>
      </c>
      <c r="Y139" s="55" t="str">
        <f t="shared" si="2"/>
        <v/>
      </c>
      <c r="Z139" s="53" t="e">
        <f ca="1">_xll.ESHistD($Q139,_xll.ESFldID(Z$2,"D"),"D",$AC$1)</f>
        <v>#NAME?</v>
      </c>
      <c r="AA139" s="53" t="e">
        <f ca="1">_xll.ESHistD($Q139,_xll.ESFldID(AA$2,"D"),"D",$AC$1)</f>
        <v>#NAME?</v>
      </c>
      <c r="AB139" s="53" t="e">
        <f ca="1">_xll.ESHistD($Q139,_xll.ESFldID(AB$2,"D"),"D",$AC$1)</f>
        <v>#NAME?</v>
      </c>
      <c r="AC139" s="53" t="e">
        <f ca="1">_xll.ESHistD($Q139,_xll.ESFldID(AC$2,"D"),"D",$AC$1)</f>
        <v>#NAME?</v>
      </c>
      <c r="AD139" s="22" t="e">
        <f ca="1">_xll.ESHistD($Q139,_xll.ESFldID(AD$2,"D"),"D",$AC$1)</f>
        <v>#NAME?</v>
      </c>
    </row>
    <row r="140" spans="16:30" x14ac:dyDescent="0.25">
      <c r="P140" s="52" t="str">
        <f>IF(OR(ISBLANK(Q140), Q140=""),"", MAX(P$2:P139)+1)</f>
        <v/>
      </c>
      <c r="S140" s="16"/>
      <c r="T140" s="53" t="e">
        <f ca="1">_xll.ESHistD($Q140,_xll.ESFldID(T$2,"D"),"D",$S140)</f>
        <v>#NAME?</v>
      </c>
      <c r="U140" s="53" t="e">
        <f ca="1">_xll.ESHistD($Q140,_xll.ESFldID(U$2,"D"),"D",$S140)</f>
        <v>#NAME?</v>
      </c>
      <c r="V140" s="53" t="e">
        <f ca="1">_xll.ESHistD($Q140,_xll.ESFldID(V$2,"D"),"D",$S140)</f>
        <v>#NAME?</v>
      </c>
      <c r="W140" s="53" t="e">
        <f ca="1">_xll.ESHistD($Q140,_xll.ESFldID(W$2,"D"),"D",$S140)</f>
        <v>#NAME?</v>
      </c>
      <c r="X140" s="22" t="e">
        <f ca="1">_xll.ESHistD($Q140,_xll.ESFldID(X$2,"D"),"D",$S140)</f>
        <v>#NAME?</v>
      </c>
      <c r="Y140" s="55" t="str">
        <f t="shared" si="2"/>
        <v/>
      </c>
      <c r="Z140" s="53" t="e">
        <f ca="1">_xll.ESHistD($Q140,_xll.ESFldID(Z$2,"D"),"D",$AC$1)</f>
        <v>#NAME?</v>
      </c>
      <c r="AA140" s="53" t="e">
        <f ca="1">_xll.ESHistD($Q140,_xll.ESFldID(AA$2,"D"),"D",$AC$1)</f>
        <v>#NAME?</v>
      </c>
      <c r="AB140" s="53" t="e">
        <f ca="1">_xll.ESHistD($Q140,_xll.ESFldID(AB$2,"D"),"D",$AC$1)</f>
        <v>#NAME?</v>
      </c>
      <c r="AC140" s="53" t="e">
        <f ca="1">_xll.ESHistD($Q140,_xll.ESFldID(AC$2,"D"),"D",$AC$1)</f>
        <v>#NAME?</v>
      </c>
      <c r="AD140" s="22" t="e">
        <f ca="1">_xll.ESHistD($Q140,_xll.ESFldID(AD$2,"D"),"D",$AC$1)</f>
        <v>#NAME?</v>
      </c>
    </row>
    <row r="141" spans="16:30" x14ac:dyDescent="0.25">
      <c r="P141" s="52" t="str">
        <f>IF(OR(ISBLANK(Q141), Q141=""),"", MAX(P$2:P140)+1)</f>
        <v/>
      </c>
      <c r="S141" s="16"/>
      <c r="T141" s="53" t="e">
        <f ca="1">_xll.ESHistD($Q141,_xll.ESFldID(T$2,"D"),"D",$S141)</f>
        <v>#NAME?</v>
      </c>
      <c r="U141" s="53" t="e">
        <f ca="1">_xll.ESHistD($Q141,_xll.ESFldID(U$2,"D"),"D",$S141)</f>
        <v>#NAME?</v>
      </c>
      <c r="V141" s="53" t="e">
        <f ca="1">_xll.ESHistD($Q141,_xll.ESFldID(V$2,"D"),"D",$S141)</f>
        <v>#NAME?</v>
      </c>
      <c r="W141" s="53" t="e">
        <f ca="1">_xll.ESHistD($Q141,_xll.ESFldID(W$2,"D"),"D",$S141)</f>
        <v>#NAME?</v>
      </c>
      <c r="X141" s="22" t="e">
        <f ca="1">_xll.ESHistD($Q141,_xll.ESFldID(X$2,"D"),"D",$S141)</f>
        <v>#NAME?</v>
      </c>
      <c r="Y141" s="55" t="str">
        <f t="shared" si="2"/>
        <v/>
      </c>
      <c r="Z141" s="53" t="e">
        <f ca="1">_xll.ESHistD($Q141,_xll.ESFldID(Z$2,"D"),"D",$AC$1)</f>
        <v>#NAME?</v>
      </c>
      <c r="AA141" s="53" t="e">
        <f ca="1">_xll.ESHistD($Q141,_xll.ESFldID(AA$2,"D"),"D",$AC$1)</f>
        <v>#NAME?</v>
      </c>
      <c r="AB141" s="53" t="e">
        <f ca="1">_xll.ESHistD($Q141,_xll.ESFldID(AB$2,"D"),"D",$AC$1)</f>
        <v>#NAME?</v>
      </c>
      <c r="AC141" s="53" t="e">
        <f ca="1">_xll.ESHistD($Q141,_xll.ESFldID(AC$2,"D"),"D",$AC$1)</f>
        <v>#NAME?</v>
      </c>
      <c r="AD141" s="22" t="e">
        <f ca="1">_xll.ESHistD($Q141,_xll.ESFldID(AD$2,"D"),"D",$AC$1)</f>
        <v>#NAME?</v>
      </c>
    </row>
    <row r="142" spans="16:30" x14ac:dyDescent="0.25">
      <c r="P142" s="52" t="str">
        <f>IF(OR(ISBLANK(Q142), Q142=""),"", MAX(P$2:P141)+1)</f>
        <v/>
      </c>
      <c r="S142" s="16"/>
      <c r="T142" s="53" t="e">
        <f ca="1">_xll.ESHistD($Q142,_xll.ESFldID(T$2,"D"),"D",$S142)</f>
        <v>#NAME?</v>
      </c>
      <c r="U142" s="53" t="e">
        <f ca="1">_xll.ESHistD($Q142,_xll.ESFldID(U$2,"D"),"D",$S142)</f>
        <v>#NAME?</v>
      </c>
      <c r="V142" s="53" t="e">
        <f ca="1">_xll.ESHistD($Q142,_xll.ESFldID(V$2,"D"),"D",$S142)</f>
        <v>#NAME?</v>
      </c>
      <c r="W142" s="53" t="e">
        <f ca="1">_xll.ESHistD($Q142,_xll.ESFldID(W$2,"D"),"D",$S142)</f>
        <v>#NAME?</v>
      </c>
      <c r="X142" s="22" t="e">
        <f ca="1">_xll.ESHistD($Q142,_xll.ESFldID(X$2,"D"),"D",$S142)</f>
        <v>#NAME?</v>
      </c>
      <c r="Y142" s="55" t="str">
        <f t="shared" si="2"/>
        <v/>
      </c>
      <c r="Z142" s="53" t="e">
        <f ca="1">_xll.ESHistD($Q142,_xll.ESFldID(Z$2,"D"),"D",$AC$1)</f>
        <v>#NAME?</v>
      </c>
      <c r="AA142" s="53" t="e">
        <f ca="1">_xll.ESHistD($Q142,_xll.ESFldID(AA$2,"D"),"D",$AC$1)</f>
        <v>#NAME?</v>
      </c>
      <c r="AB142" s="53" t="e">
        <f ca="1">_xll.ESHistD($Q142,_xll.ESFldID(AB$2,"D"),"D",$AC$1)</f>
        <v>#NAME?</v>
      </c>
      <c r="AC142" s="53" t="e">
        <f ca="1">_xll.ESHistD($Q142,_xll.ESFldID(AC$2,"D"),"D",$AC$1)</f>
        <v>#NAME?</v>
      </c>
      <c r="AD142" s="22" t="e">
        <f ca="1">_xll.ESHistD($Q142,_xll.ESFldID(AD$2,"D"),"D",$AC$1)</f>
        <v>#NAME?</v>
      </c>
    </row>
    <row r="143" spans="16:30" x14ac:dyDescent="0.25">
      <c r="P143" s="52" t="str">
        <f>IF(OR(ISBLANK(Q143), Q143=""),"", MAX(P$2:P142)+1)</f>
        <v/>
      </c>
      <c r="S143" s="16"/>
      <c r="T143" s="53" t="e">
        <f ca="1">_xll.ESHistD($Q143,_xll.ESFldID(T$2,"D"),"D",$S143)</f>
        <v>#NAME?</v>
      </c>
      <c r="U143" s="53" t="e">
        <f ca="1">_xll.ESHistD($Q143,_xll.ESFldID(U$2,"D"),"D",$S143)</f>
        <v>#NAME?</v>
      </c>
      <c r="V143" s="53" t="e">
        <f ca="1">_xll.ESHistD($Q143,_xll.ESFldID(V$2,"D"),"D",$S143)</f>
        <v>#NAME?</v>
      </c>
      <c r="W143" s="53" t="e">
        <f ca="1">_xll.ESHistD($Q143,_xll.ESFldID(W$2,"D"),"D",$S143)</f>
        <v>#NAME?</v>
      </c>
      <c r="X143" s="22" t="e">
        <f ca="1">_xll.ESHistD($Q143,_xll.ESFldID(X$2,"D"),"D",$S143)</f>
        <v>#NAME?</v>
      </c>
      <c r="Y143" s="55" t="str">
        <f t="shared" si="2"/>
        <v/>
      </c>
      <c r="Z143" s="53" t="e">
        <f ca="1">_xll.ESHistD($Q143,_xll.ESFldID(Z$2,"D"),"D",$AC$1)</f>
        <v>#NAME?</v>
      </c>
      <c r="AA143" s="53" t="e">
        <f ca="1">_xll.ESHistD($Q143,_xll.ESFldID(AA$2,"D"),"D",$AC$1)</f>
        <v>#NAME?</v>
      </c>
      <c r="AB143" s="53" t="e">
        <f ca="1">_xll.ESHistD($Q143,_xll.ESFldID(AB$2,"D"),"D",$AC$1)</f>
        <v>#NAME?</v>
      </c>
      <c r="AC143" s="53" t="e">
        <f ca="1">_xll.ESHistD($Q143,_xll.ESFldID(AC$2,"D"),"D",$AC$1)</f>
        <v>#NAME?</v>
      </c>
      <c r="AD143" s="22" t="e">
        <f ca="1">_xll.ESHistD($Q143,_xll.ESFldID(AD$2,"D"),"D",$AC$1)</f>
        <v>#NAME?</v>
      </c>
    </row>
    <row r="144" spans="16:30" x14ac:dyDescent="0.25">
      <c r="P144" s="52" t="str">
        <f>IF(OR(ISBLANK(Q144), Q144=""),"", MAX(P$2:P143)+1)</f>
        <v/>
      </c>
      <c r="S144" s="16"/>
      <c r="T144" s="53" t="e">
        <f ca="1">_xll.ESHistD($Q144,_xll.ESFldID(T$2,"D"),"D",$S144)</f>
        <v>#NAME?</v>
      </c>
      <c r="U144" s="53" t="e">
        <f ca="1">_xll.ESHistD($Q144,_xll.ESFldID(U$2,"D"),"D",$S144)</f>
        <v>#NAME?</v>
      </c>
      <c r="V144" s="53" t="e">
        <f ca="1">_xll.ESHistD($Q144,_xll.ESFldID(V$2,"D"),"D",$S144)</f>
        <v>#NAME?</v>
      </c>
      <c r="W144" s="53" t="e">
        <f ca="1">_xll.ESHistD($Q144,_xll.ESFldID(W$2,"D"),"D",$S144)</f>
        <v>#NAME?</v>
      </c>
      <c r="X144" s="22" t="e">
        <f ca="1">_xll.ESHistD($Q144,_xll.ESFldID(X$2,"D"),"D",$S144)</f>
        <v>#NAME?</v>
      </c>
      <c r="Y144" s="55" t="str">
        <f t="shared" si="2"/>
        <v/>
      </c>
      <c r="Z144" s="53" t="e">
        <f ca="1">_xll.ESHistD($Q144,_xll.ESFldID(Z$2,"D"),"D",$AC$1)</f>
        <v>#NAME?</v>
      </c>
      <c r="AA144" s="53" t="e">
        <f ca="1">_xll.ESHistD($Q144,_xll.ESFldID(AA$2,"D"),"D",$AC$1)</f>
        <v>#NAME?</v>
      </c>
      <c r="AB144" s="53" t="e">
        <f ca="1">_xll.ESHistD($Q144,_xll.ESFldID(AB$2,"D"),"D",$AC$1)</f>
        <v>#NAME?</v>
      </c>
      <c r="AC144" s="53" t="e">
        <f ca="1">_xll.ESHistD($Q144,_xll.ESFldID(AC$2,"D"),"D",$AC$1)</f>
        <v>#NAME?</v>
      </c>
      <c r="AD144" s="22" t="e">
        <f ca="1">_xll.ESHistD($Q144,_xll.ESFldID(AD$2,"D"),"D",$AC$1)</f>
        <v>#NAME?</v>
      </c>
    </row>
    <row r="145" spans="16:30" x14ac:dyDescent="0.25">
      <c r="P145" s="52" t="str">
        <f>IF(OR(ISBLANK(Q145), Q145=""),"", MAX(P$2:P144)+1)</f>
        <v/>
      </c>
      <c r="S145" s="16"/>
      <c r="T145" s="53" t="e">
        <f ca="1">_xll.ESHistD($Q145,_xll.ESFldID(T$2,"D"),"D",$S145)</f>
        <v>#NAME?</v>
      </c>
      <c r="U145" s="53" t="e">
        <f ca="1">_xll.ESHistD($Q145,_xll.ESFldID(U$2,"D"),"D",$S145)</f>
        <v>#NAME?</v>
      </c>
      <c r="V145" s="53" t="e">
        <f ca="1">_xll.ESHistD($Q145,_xll.ESFldID(V$2,"D"),"D",$S145)</f>
        <v>#NAME?</v>
      </c>
      <c r="W145" s="53" t="e">
        <f ca="1">_xll.ESHistD($Q145,_xll.ESFldID(W$2,"D"),"D",$S145)</f>
        <v>#NAME?</v>
      </c>
      <c r="X145" s="22" t="e">
        <f ca="1">_xll.ESHistD($Q145,_xll.ESFldID(X$2,"D"),"D",$S145)</f>
        <v>#NAME?</v>
      </c>
      <c r="Y145" s="55" t="str">
        <f t="shared" si="2"/>
        <v/>
      </c>
      <c r="Z145" s="53" t="e">
        <f ca="1">_xll.ESHistD($Q145,_xll.ESFldID(Z$2,"D"),"D",$AC$1)</f>
        <v>#NAME?</v>
      </c>
      <c r="AA145" s="53" t="e">
        <f ca="1">_xll.ESHistD($Q145,_xll.ESFldID(AA$2,"D"),"D",$AC$1)</f>
        <v>#NAME?</v>
      </c>
      <c r="AB145" s="53" t="e">
        <f ca="1">_xll.ESHistD($Q145,_xll.ESFldID(AB$2,"D"),"D",$AC$1)</f>
        <v>#NAME?</v>
      </c>
      <c r="AC145" s="53" t="e">
        <f ca="1">_xll.ESHistD($Q145,_xll.ESFldID(AC$2,"D"),"D",$AC$1)</f>
        <v>#NAME?</v>
      </c>
      <c r="AD145" s="22" t="e">
        <f ca="1">_xll.ESHistD($Q145,_xll.ESFldID(AD$2,"D"),"D",$AC$1)</f>
        <v>#NAME?</v>
      </c>
    </row>
    <row r="146" spans="16:30" x14ac:dyDescent="0.25">
      <c r="P146" s="52" t="str">
        <f>IF(OR(ISBLANK(Q146), Q146=""),"", MAX(P$2:P145)+1)</f>
        <v/>
      </c>
      <c r="S146" s="16"/>
      <c r="T146" s="53" t="e">
        <f ca="1">_xll.ESHistD($Q146,_xll.ESFldID(T$2,"D"),"D",$S146)</f>
        <v>#NAME?</v>
      </c>
      <c r="U146" s="53" t="e">
        <f ca="1">_xll.ESHistD($Q146,_xll.ESFldID(U$2,"D"),"D",$S146)</f>
        <v>#NAME?</v>
      </c>
      <c r="V146" s="53" t="e">
        <f ca="1">_xll.ESHistD($Q146,_xll.ESFldID(V$2,"D"),"D",$S146)</f>
        <v>#NAME?</v>
      </c>
      <c r="W146" s="53" t="e">
        <f ca="1">_xll.ESHistD($Q146,_xll.ESFldID(W$2,"D"),"D",$S146)</f>
        <v>#NAME?</v>
      </c>
      <c r="X146" s="22" t="e">
        <f ca="1">_xll.ESHistD($Q146,_xll.ESFldID(X$2,"D"),"D",$S146)</f>
        <v>#NAME?</v>
      </c>
      <c r="Y146" s="55" t="str">
        <f t="shared" si="2"/>
        <v/>
      </c>
      <c r="Z146" s="53" t="e">
        <f ca="1">_xll.ESHistD($Q146,_xll.ESFldID(Z$2,"D"),"D",$AC$1)</f>
        <v>#NAME?</v>
      </c>
      <c r="AA146" s="53" t="e">
        <f ca="1">_xll.ESHistD($Q146,_xll.ESFldID(AA$2,"D"),"D",$AC$1)</f>
        <v>#NAME?</v>
      </c>
      <c r="AB146" s="53" t="e">
        <f ca="1">_xll.ESHistD($Q146,_xll.ESFldID(AB$2,"D"),"D",$AC$1)</f>
        <v>#NAME?</v>
      </c>
      <c r="AC146" s="53" t="e">
        <f ca="1">_xll.ESHistD($Q146,_xll.ESFldID(AC$2,"D"),"D",$AC$1)</f>
        <v>#NAME?</v>
      </c>
      <c r="AD146" s="22" t="e">
        <f ca="1">_xll.ESHistD($Q146,_xll.ESFldID(AD$2,"D"),"D",$AC$1)</f>
        <v>#NAME?</v>
      </c>
    </row>
    <row r="147" spans="16:30" x14ac:dyDescent="0.25">
      <c r="P147" s="52" t="str">
        <f>IF(OR(ISBLANK(Q147), Q147=""),"", MAX(P$2:P146)+1)</f>
        <v/>
      </c>
      <c r="S147" s="16"/>
      <c r="T147" s="53" t="e">
        <f ca="1">_xll.ESHistD($Q147,_xll.ESFldID(T$2,"D"),"D",$S147)</f>
        <v>#NAME?</v>
      </c>
      <c r="U147" s="53" t="e">
        <f ca="1">_xll.ESHistD($Q147,_xll.ESFldID(U$2,"D"),"D",$S147)</f>
        <v>#NAME?</v>
      </c>
      <c r="V147" s="53" t="e">
        <f ca="1">_xll.ESHistD($Q147,_xll.ESFldID(V$2,"D"),"D",$S147)</f>
        <v>#NAME?</v>
      </c>
      <c r="W147" s="53" t="e">
        <f ca="1">_xll.ESHistD($Q147,_xll.ESFldID(W$2,"D"),"D",$S147)</f>
        <v>#NAME?</v>
      </c>
      <c r="X147" s="22" t="e">
        <f ca="1">_xll.ESHistD($Q147,_xll.ESFldID(X$2,"D"),"D",$S147)</f>
        <v>#NAME?</v>
      </c>
      <c r="Y147" s="55" t="str">
        <f t="shared" si="2"/>
        <v/>
      </c>
      <c r="Z147" s="53" t="e">
        <f ca="1">_xll.ESHistD($Q147,_xll.ESFldID(Z$2,"D"),"D",$AC$1)</f>
        <v>#NAME?</v>
      </c>
      <c r="AA147" s="53" t="e">
        <f ca="1">_xll.ESHistD($Q147,_xll.ESFldID(AA$2,"D"),"D",$AC$1)</f>
        <v>#NAME?</v>
      </c>
      <c r="AB147" s="53" t="e">
        <f ca="1">_xll.ESHistD($Q147,_xll.ESFldID(AB$2,"D"),"D",$AC$1)</f>
        <v>#NAME?</v>
      </c>
      <c r="AC147" s="53" t="e">
        <f ca="1">_xll.ESHistD($Q147,_xll.ESFldID(AC$2,"D"),"D",$AC$1)</f>
        <v>#NAME?</v>
      </c>
      <c r="AD147" s="22" t="e">
        <f ca="1">_xll.ESHistD($Q147,_xll.ESFldID(AD$2,"D"),"D",$AC$1)</f>
        <v>#NAME?</v>
      </c>
    </row>
    <row r="148" spans="16:30" x14ac:dyDescent="0.25">
      <c r="P148" s="52" t="str">
        <f>IF(OR(ISBLANK(Q148), Q148=""),"", MAX(P$2:P147)+1)</f>
        <v/>
      </c>
      <c r="S148" s="16"/>
      <c r="T148" s="53" t="e">
        <f ca="1">_xll.ESHistD($Q148,_xll.ESFldID(T$2,"D"),"D",$S148)</f>
        <v>#NAME?</v>
      </c>
      <c r="U148" s="53" t="e">
        <f ca="1">_xll.ESHistD($Q148,_xll.ESFldID(U$2,"D"),"D",$S148)</f>
        <v>#NAME?</v>
      </c>
      <c r="V148" s="53" t="e">
        <f ca="1">_xll.ESHistD($Q148,_xll.ESFldID(V$2,"D"),"D",$S148)</f>
        <v>#NAME?</v>
      </c>
      <c r="W148" s="53" t="e">
        <f ca="1">_xll.ESHistD($Q148,_xll.ESFldID(W$2,"D"),"D",$S148)</f>
        <v>#NAME?</v>
      </c>
      <c r="X148" s="22" t="e">
        <f ca="1">_xll.ESHistD($Q148,_xll.ESFldID(X$2,"D"),"D",$S148)</f>
        <v>#NAME?</v>
      </c>
      <c r="Y148" s="55" t="str">
        <f t="shared" si="2"/>
        <v/>
      </c>
      <c r="Z148" s="53" t="e">
        <f ca="1">_xll.ESHistD($Q148,_xll.ESFldID(Z$2,"D"),"D",$AC$1)</f>
        <v>#NAME?</v>
      </c>
      <c r="AA148" s="53" t="e">
        <f ca="1">_xll.ESHistD($Q148,_xll.ESFldID(AA$2,"D"),"D",$AC$1)</f>
        <v>#NAME?</v>
      </c>
      <c r="AB148" s="53" t="e">
        <f ca="1">_xll.ESHistD($Q148,_xll.ESFldID(AB$2,"D"),"D",$AC$1)</f>
        <v>#NAME?</v>
      </c>
      <c r="AC148" s="53" t="e">
        <f ca="1">_xll.ESHistD($Q148,_xll.ESFldID(AC$2,"D"),"D",$AC$1)</f>
        <v>#NAME?</v>
      </c>
      <c r="AD148" s="22" t="e">
        <f ca="1">_xll.ESHistD($Q148,_xll.ESFldID(AD$2,"D"),"D",$AC$1)</f>
        <v>#NAME?</v>
      </c>
    </row>
    <row r="149" spans="16:30" x14ac:dyDescent="0.25">
      <c r="P149" s="52" t="str">
        <f>IF(OR(ISBLANK(Q149), Q149=""),"", MAX(P$2:P148)+1)</f>
        <v/>
      </c>
      <c r="S149" s="16"/>
      <c r="T149" s="53" t="e">
        <f ca="1">_xll.ESHistD($Q149,_xll.ESFldID(T$2,"D"),"D",$S149)</f>
        <v>#NAME?</v>
      </c>
      <c r="U149" s="53" t="e">
        <f ca="1">_xll.ESHistD($Q149,_xll.ESFldID(U$2,"D"),"D",$S149)</f>
        <v>#NAME?</v>
      </c>
      <c r="V149" s="53" t="e">
        <f ca="1">_xll.ESHistD($Q149,_xll.ESFldID(V$2,"D"),"D",$S149)</f>
        <v>#NAME?</v>
      </c>
      <c r="W149" s="53" t="e">
        <f ca="1">_xll.ESHistD($Q149,_xll.ESFldID(W$2,"D"),"D",$S149)</f>
        <v>#NAME?</v>
      </c>
      <c r="X149" s="22" t="e">
        <f ca="1">_xll.ESHistD($Q149,_xll.ESFldID(X$2,"D"),"D",$S149)</f>
        <v>#NAME?</v>
      </c>
      <c r="Y149" s="55" t="str">
        <f t="shared" si="2"/>
        <v/>
      </c>
      <c r="Z149" s="53" t="e">
        <f ca="1">_xll.ESHistD($Q149,_xll.ESFldID(Z$2,"D"),"D",$AC$1)</f>
        <v>#NAME?</v>
      </c>
      <c r="AA149" s="53" t="e">
        <f ca="1">_xll.ESHistD($Q149,_xll.ESFldID(AA$2,"D"),"D",$AC$1)</f>
        <v>#NAME?</v>
      </c>
      <c r="AB149" s="53" t="e">
        <f ca="1">_xll.ESHistD($Q149,_xll.ESFldID(AB$2,"D"),"D",$AC$1)</f>
        <v>#NAME?</v>
      </c>
      <c r="AC149" s="53" t="e">
        <f ca="1">_xll.ESHistD($Q149,_xll.ESFldID(AC$2,"D"),"D",$AC$1)</f>
        <v>#NAME?</v>
      </c>
      <c r="AD149" s="22" t="e">
        <f ca="1">_xll.ESHistD($Q149,_xll.ESFldID(AD$2,"D"),"D",$AC$1)</f>
        <v>#NAME?</v>
      </c>
    </row>
    <row r="150" spans="16:30" x14ac:dyDescent="0.25">
      <c r="P150" s="52" t="str">
        <f>IF(OR(ISBLANK(Q150), Q150=""),"", MAX(P$2:P149)+1)</f>
        <v/>
      </c>
      <c r="S150" s="16"/>
      <c r="T150" s="53" t="e">
        <f ca="1">_xll.ESHistD($Q150,_xll.ESFldID(T$2,"D"),"D",$S150)</f>
        <v>#NAME?</v>
      </c>
      <c r="U150" s="53" t="e">
        <f ca="1">_xll.ESHistD($Q150,_xll.ESFldID(U$2,"D"),"D",$S150)</f>
        <v>#NAME?</v>
      </c>
      <c r="V150" s="53" t="e">
        <f ca="1">_xll.ESHistD($Q150,_xll.ESFldID(V$2,"D"),"D",$S150)</f>
        <v>#NAME?</v>
      </c>
      <c r="W150" s="53" t="e">
        <f ca="1">_xll.ESHistD($Q150,_xll.ESFldID(W$2,"D"),"D",$S150)</f>
        <v>#NAME?</v>
      </c>
      <c r="X150" s="22" t="e">
        <f ca="1">_xll.ESHistD($Q150,_xll.ESFldID(X$2,"D"),"D",$S150)</f>
        <v>#NAME?</v>
      </c>
      <c r="Y150" s="55" t="str">
        <f t="shared" si="2"/>
        <v/>
      </c>
      <c r="Z150" s="53" t="e">
        <f ca="1">_xll.ESHistD($Q150,_xll.ESFldID(Z$2,"D"),"D",$AC$1)</f>
        <v>#NAME?</v>
      </c>
      <c r="AA150" s="53" t="e">
        <f ca="1">_xll.ESHistD($Q150,_xll.ESFldID(AA$2,"D"),"D",$AC$1)</f>
        <v>#NAME?</v>
      </c>
      <c r="AB150" s="53" t="e">
        <f ca="1">_xll.ESHistD($Q150,_xll.ESFldID(AB$2,"D"),"D",$AC$1)</f>
        <v>#NAME?</v>
      </c>
      <c r="AC150" s="53" t="e">
        <f ca="1">_xll.ESHistD($Q150,_xll.ESFldID(AC$2,"D"),"D",$AC$1)</f>
        <v>#NAME?</v>
      </c>
      <c r="AD150" s="22" t="e">
        <f ca="1">_xll.ESHistD($Q150,_xll.ESFldID(AD$2,"D"),"D",$AC$1)</f>
        <v>#NAME?</v>
      </c>
    </row>
    <row r="151" spans="16:30" x14ac:dyDescent="0.25">
      <c r="P151" s="52" t="str">
        <f>IF(OR(ISBLANK(Q151), Q151=""),"", MAX(P$2:P150)+1)</f>
        <v/>
      </c>
      <c r="S151" s="16"/>
      <c r="T151" s="53" t="e">
        <f ca="1">_xll.ESHistD($Q151,_xll.ESFldID(T$2,"D"),"D",$S151)</f>
        <v>#NAME?</v>
      </c>
      <c r="U151" s="53" t="e">
        <f ca="1">_xll.ESHistD($Q151,_xll.ESFldID(U$2,"D"),"D",$S151)</f>
        <v>#NAME?</v>
      </c>
      <c r="V151" s="53" t="e">
        <f ca="1">_xll.ESHistD($Q151,_xll.ESFldID(V$2,"D"),"D",$S151)</f>
        <v>#NAME?</v>
      </c>
      <c r="W151" s="53" t="e">
        <f ca="1">_xll.ESHistD($Q151,_xll.ESFldID(W$2,"D"),"D",$S151)</f>
        <v>#NAME?</v>
      </c>
      <c r="X151" s="22" t="e">
        <f ca="1">_xll.ESHistD($Q151,_xll.ESFldID(X$2,"D"),"D",$S151)</f>
        <v>#NAME?</v>
      </c>
      <c r="Y151" s="55" t="str">
        <f t="shared" si="2"/>
        <v/>
      </c>
      <c r="Z151" s="53" t="e">
        <f ca="1">_xll.ESHistD($Q151,_xll.ESFldID(Z$2,"D"),"D",$AC$1)</f>
        <v>#NAME?</v>
      </c>
      <c r="AA151" s="53" t="e">
        <f ca="1">_xll.ESHistD($Q151,_xll.ESFldID(AA$2,"D"),"D",$AC$1)</f>
        <v>#NAME?</v>
      </c>
      <c r="AB151" s="53" t="e">
        <f ca="1">_xll.ESHistD($Q151,_xll.ESFldID(AB$2,"D"),"D",$AC$1)</f>
        <v>#NAME?</v>
      </c>
      <c r="AC151" s="53" t="e">
        <f ca="1">_xll.ESHistD($Q151,_xll.ESFldID(AC$2,"D"),"D",$AC$1)</f>
        <v>#NAME?</v>
      </c>
      <c r="AD151" s="22" t="e">
        <f ca="1">_xll.ESHistD($Q151,_xll.ESFldID(AD$2,"D"),"D",$AC$1)</f>
        <v>#NAME?</v>
      </c>
    </row>
    <row r="152" spans="16:30" x14ac:dyDescent="0.25">
      <c r="P152" s="52" t="str">
        <f>IF(OR(ISBLANK(Q152), Q152=""),"", MAX(P$2:P151)+1)</f>
        <v/>
      </c>
      <c r="S152" s="16"/>
      <c r="T152" s="53" t="e">
        <f ca="1">_xll.ESHistD($Q152,_xll.ESFldID(T$2,"D"),"D",$S152)</f>
        <v>#NAME?</v>
      </c>
      <c r="U152" s="53" t="e">
        <f ca="1">_xll.ESHistD($Q152,_xll.ESFldID(U$2,"D"),"D",$S152)</f>
        <v>#NAME?</v>
      </c>
      <c r="V152" s="53" t="e">
        <f ca="1">_xll.ESHistD($Q152,_xll.ESFldID(V$2,"D"),"D",$S152)</f>
        <v>#NAME?</v>
      </c>
      <c r="W152" s="53" t="e">
        <f ca="1">_xll.ESHistD($Q152,_xll.ESFldID(W$2,"D"),"D",$S152)</f>
        <v>#NAME?</v>
      </c>
      <c r="X152" s="22" t="e">
        <f ca="1">_xll.ESHistD($Q152,_xll.ESFldID(X$2,"D"),"D",$S152)</f>
        <v>#NAME?</v>
      </c>
      <c r="Y152" s="55" t="str">
        <f t="shared" si="2"/>
        <v/>
      </c>
      <c r="Z152" s="53" t="e">
        <f ca="1">_xll.ESHistD($Q152,_xll.ESFldID(Z$2,"D"),"D",$AC$1)</f>
        <v>#NAME?</v>
      </c>
      <c r="AA152" s="53" t="e">
        <f ca="1">_xll.ESHistD($Q152,_xll.ESFldID(AA$2,"D"),"D",$AC$1)</f>
        <v>#NAME?</v>
      </c>
      <c r="AB152" s="53" t="e">
        <f ca="1">_xll.ESHistD($Q152,_xll.ESFldID(AB$2,"D"),"D",$AC$1)</f>
        <v>#NAME?</v>
      </c>
      <c r="AC152" s="53" t="e">
        <f ca="1">_xll.ESHistD($Q152,_xll.ESFldID(AC$2,"D"),"D",$AC$1)</f>
        <v>#NAME?</v>
      </c>
      <c r="AD152" s="22" t="e">
        <f ca="1">_xll.ESHistD($Q152,_xll.ESFldID(AD$2,"D"),"D",$AC$1)</f>
        <v>#NAME?</v>
      </c>
    </row>
    <row r="153" spans="16:30" x14ac:dyDescent="0.25">
      <c r="P153" s="52" t="str">
        <f>IF(OR(ISBLANK(Q153), Q153=""),"", MAX(P$2:P152)+1)</f>
        <v/>
      </c>
      <c r="S153" s="16"/>
      <c r="T153" s="53" t="e">
        <f ca="1">_xll.ESHistD($Q153,_xll.ESFldID(T$2,"D"),"D",$S153)</f>
        <v>#NAME?</v>
      </c>
      <c r="U153" s="53" t="e">
        <f ca="1">_xll.ESHistD($Q153,_xll.ESFldID(U$2,"D"),"D",$S153)</f>
        <v>#NAME?</v>
      </c>
      <c r="V153" s="53" t="e">
        <f ca="1">_xll.ESHistD($Q153,_xll.ESFldID(V$2,"D"),"D",$S153)</f>
        <v>#NAME?</v>
      </c>
      <c r="W153" s="53" t="e">
        <f ca="1">_xll.ESHistD($Q153,_xll.ESFldID(W$2,"D"),"D",$S153)</f>
        <v>#NAME?</v>
      </c>
      <c r="X153" s="22" t="e">
        <f ca="1">_xll.ESHistD($Q153,_xll.ESFldID(X$2,"D"),"D",$S153)</f>
        <v>#NAME?</v>
      </c>
      <c r="Y153" s="55" t="str">
        <f t="shared" si="2"/>
        <v/>
      </c>
      <c r="Z153" s="53" t="e">
        <f ca="1">_xll.ESHistD($Q153,_xll.ESFldID(Z$2,"D"),"D",$AC$1)</f>
        <v>#NAME?</v>
      </c>
      <c r="AA153" s="53" t="e">
        <f ca="1">_xll.ESHistD($Q153,_xll.ESFldID(AA$2,"D"),"D",$AC$1)</f>
        <v>#NAME?</v>
      </c>
      <c r="AB153" s="53" t="e">
        <f ca="1">_xll.ESHistD($Q153,_xll.ESFldID(AB$2,"D"),"D",$AC$1)</f>
        <v>#NAME?</v>
      </c>
      <c r="AC153" s="53" t="e">
        <f ca="1">_xll.ESHistD($Q153,_xll.ESFldID(AC$2,"D"),"D",$AC$1)</f>
        <v>#NAME?</v>
      </c>
      <c r="AD153" s="22" t="e">
        <f ca="1">_xll.ESHistD($Q153,_xll.ESFldID(AD$2,"D"),"D",$AC$1)</f>
        <v>#NAME?</v>
      </c>
    </row>
    <row r="154" spans="16:30" x14ac:dyDescent="0.25">
      <c r="Q154" s="22"/>
      <c r="R154" s="22"/>
      <c r="S154" s="22"/>
      <c r="T154" s="22"/>
      <c r="U154" s="22"/>
      <c r="V154" s="22"/>
      <c r="W154" s="22"/>
      <c r="X154" s="16"/>
      <c r="Y154" s="57"/>
    </row>
    <row r="155" spans="16:30" x14ac:dyDescent="0.25">
      <c r="Q155" s="22"/>
      <c r="R155" s="22"/>
      <c r="S155" s="22"/>
      <c r="T155" s="22"/>
      <c r="U155" s="22"/>
      <c r="V155" s="22"/>
      <c r="W155" s="22"/>
      <c r="X155" s="16"/>
      <c r="Y155" s="57"/>
    </row>
    <row r="156" spans="16:30" x14ac:dyDescent="0.25">
      <c r="Q156" s="22"/>
      <c r="R156" s="22"/>
      <c r="S156" s="22"/>
      <c r="T156" s="22"/>
      <c r="U156" s="22"/>
      <c r="V156" s="22"/>
      <c r="W156" s="22"/>
      <c r="X156" s="16"/>
      <c r="Y156" s="57"/>
    </row>
    <row r="157" spans="16:30" x14ac:dyDescent="0.25">
      <c r="Q157" s="22"/>
      <c r="R157" s="22"/>
      <c r="S157" s="22"/>
      <c r="T157" s="22"/>
      <c r="U157" s="22"/>
      <c r="V157" s="22"/>
      <c r="W157" s="22"/>
      <c r="X157" s="16"/>
      <c r="Y157" s="57"/>
    </row>
    <row r="158" spans="16:30" x14ac:dyDescent="0.25">
      <c r="Q158" s="22"/>
      <c r="R158" s="22"/>
      <c r="S158" s="22"/>
      <c r="T158" s="22"/>
      <c r="U158" s="22"/>
      <c r="V158" s="22"/>
      <c r="W158" s="22"/>
      <c r="X158" s="16"/>
      <c r="Y158" s="57"/>
    </row>
    <row r="159" spans="16:30" x14ac:dyDescent="0.25">
      <c r="Q159" s="22"/>
      <c r="R159" s="22"/>
      <c r="S159" s="22"/>
      <c r="T159" s="22"/>
      <c r="U159" s="22"/>
      <c r="V159" s="22"/>
      <c r="W159" s="22"/>
      <c r="X159" s="16"/>
      <c r="Y159" s="57"/>
    </row>
    <row r="160" spans="16:30" x14ac:dyDescent="0.25">
      <c r="Q160" s="22"/>
      <c r="R160" s="22"/>
      <c r="S160" s="22"/>
      <c r="T160" s="22"/>
      <c r="U160" s="22"/>
      <c r="V160" s="22"/>
      <c r="W160" s="22"/>
      <c r="X160" s="16"/>
      <c r="Y160" s="57"/>
    </row>
    <row r="161" spans="17:25" x14ac:dyDescent="0.25">
      <c r="Q161" s="22"/>
      <c r="R161" s="22"/>
      <c r="S161" s="22"/>
      <c r="T161" s="22"/>
      <c r="U161" s="22"/>
      <c r="V161" s="22"/>
      <c r="W161" s="22"/>
      <c r="X161" s="16"/>
      <c r="Y161" s="57"/>
    </row>
    <row r="162" spans="17:25" x14ac:dyDescent="0.25">
      <c r="Q162" s="22"/>
      <c r="R162" s="22"/>
      <c r="S162" s="22"/>
      <c r="T162" s="22"/>
      <c r="U162" s="22"/>
      <c r="V162" s="22"/>
      <c r="W162" s="22"/>
      <c r="X162" s="16"/>
      <c r="Y162" s="57"/>
    </row>
    <row r="163" spans="17:25" x14ac:dyDescent="0.25">
      <c r="Q163" s="22"/>
      <c r="R163" s="22"/>
      <c r="S163" s="22"/>
      <c r="T163" s="22"/>
      <c r="U163" s="22"/>
      <c r="V163" s="22"/>
      <c r="W163" s="22"/>
      <c r="X163" s="16"/>
      <c r="Y163" s="57"/>
    </row>
    <row r="164" spans="17:25" x14ac:dyDescent="0.25">
      <c r="Q164" s="22"/>
      <c r="R164" s="22"/>
      <c r="S164" s="22"/>
      <c r="T164" s="22"/>
      <c r="U164" s="22"/>
      <c r="V164" s="22"/>
      <c r="W164" s="22"/>
      <c r="X164" s="16"/>
      <c r="Y164" s="57"/>
    </row>
    <row r="165" spans="17:25" x14ac:dyDescent="0.25">
      <c r="Q165" s="22"/>
      <c r="R165" s="22"/>
      <c r="S165" s="22"/>
      <c r="T165" s="22"/>
      <c r="U165" s="22"/>
      <c r="V165" s="22"/>
      <c r="W165" s="22"/>
      <c r="X165" s="16"/>
      <c r="Y165" s="57"/>
    </row>
    <row r="166" spans="17:25" x14ac:dyDescent="0.25">
      <c r="Q166" s="22"/>
      <c r="R166" s="22"/>
      <c r="S166" s="22"/>
      <c r="T166" s="22"/>
      <c r="U166" s="22"/>
      <c r="V166" s="22"/>
      <c r="W166" s="22"/>
      <c r="X166" s="16"/>
      <c r="Y166" s="57"/>
    </row>
    <row r="167" spans="17:25" x14ac:dyDescent="0.25">
      <c r="Q167" s="22"/>
      <c r="R167" s="22"/>
      <c r="S167" s="22"/>
      <c r="T167" s="22"/>
      <c r="U167" s="22"/>
      <c r="V167" s="22"/>
      <c r="W167" s="22"/>
      <c r="X167" s="16"/>
      <c r="Y167" s="57"/>
    </row>
    <row r="168" spans="17:25" x14ac:dyDescent="0.25">
      <c r="Q168" s="22"/>
      <c r="R168" s="22"/>
      <c r="S168" s="22"/>
      <c r="T168" s="22"/>
      <c r="U168" s="22"/>
      <c r="V168" s="22"/>
      <c r="W168" s="22"/>
      <c r="X168" s="16"/>
      <c r="Y168" s="57"/>
    </row>
    <row r="169" spans="17:25" x14ac:dyDescent="0.25">
      <c r="Q169" s="22"/>
      <c r="R169" s="22"/>
      <c r="S169" s="22"/>
      <c r="T169" s="22"/>
      <c r="U169" s="22"/>
      <c r="V169" s="22"/>
      <c r="W169" s="22"/>
      <c r="X169" s="16"/>
      <c r="Y169" s="57"/>
    </row>
    <row r="170" spans="17:25" x14ac:dyDescent="0.25">
      <c r="Q170" s="22"/>
      <c r="R170" s="22"/>
      <c r="S170" s="22"/>
      <c r="T170" s="22"/>
      <c r="U170" s="22"/>
      <c r="V170" s="22"/>
      <c r="W170" s="22"/>
      <c r="X170" s="16"/>
      <c r="Y170" s="57"/>
    </row>
    <row r="171" spans="17:25" x14ac:dyDescent="0.25">
      <c r="Q171" s="22"/>
      <c r="R171" s="22"/>
      <c r="S171" s="22"/>
      <c r="T171" s="22"/>
      <c r="U171" s="22"/>
      <c r="V171" s="22"/>
      <c r="W171" s="22"/>
      <c r="X171" s="16"/>
      <c r="Y171" s="57"/>
    </row>
    <row r="172" spans="17:25" x14ac:dyDescent="0.25">
      <c r="Q172" s="22"/>
      <c r="R172" s="22"/>
      <c r="S172" s="22"/>
      <c r="T172" s="22"/>
      <c r="U172" s="22"/>
      <c r="V172" s="22"/>
      <c r="W172" s="22"/>
      <c r="X172" s="16"/>
      <c r="Y172" s="57"/>
    </row>
    <row r="173" spans="17:25" x14ac:dyDescent="0.25">
      <c r="Q173" s="22"/>
      <c r="R173" s="22"/>
      <c r="S173" s="22"/>
      <c r="T173" s="22"/>
      <c r="U173" s="22"/>
      <c r="V173" s="22"/>
      <c r="W173" s="22"/>
      <c r="X173" s="16"/>
      <c r="Y173" s="57"/>
    </row>
    <row r="174" spans="17:25" x14ac:dyDescent="0.25">
      <c r="Q174" s="22"/>
      <c r="R174" s="22"/>
      <c r="S174" s="22"/>
      <c r="T174" s="22"/>
      <c r="U174" s="22"/>
      <c r="V174" s="22"/>
      <c r="W174" s="22"/>
      <c r="X174" s="16"/>
      <c r="Y174" s="57"/>
    </row>
    <row r="175" spans="17:25" x14ac:dyDescent="0.25">
      <c r="Q175" s="22"/>
      <c r="R175" s="22"/>
      <c r="S175" s="22"/>
      <c r="T175" s="22"/>
      <c r="U175" s="22"/>
      <c r="V175" s="22"/>
      <c r="W175" s="22"/>
      <c r="X175" s="16"/>
      <c r="Y175" s="57"/>
    </row>
    <row r="176" spans="17:25" x14ac:dyDescent="0.25">
      <c r="Q176" s="22"/>
      <c r="R176" s="22"/>
      <c r="S176" s="22"/>
      <c r="T176" s="22"/>
      <c r="U176" s="22"/>
      <c r="V176" s="22"/>
      <c r="W176" s="22"/>
      <c r="X176" s="16"/>
      <c r="Y176" s="57"/>
    </row>
    <row r="177" spans="17:25" x14ac:dyDescent="0.25">
      <c r="Q177" s="22"/>
      <c r="R177" s="22"/>
      <c r="S177" s="22"/>
      <c r="T177" s="22"/>
      <c r="U177" s="22"/>
      <c r="V177" s="22"/>
      <c r="W177" s="22"/>
      <c r="X177" s="16"/>
      <c r="Y177" s="57"/>
    </row>
    <row r="178" spans="17:25" x14ac:dyDescent="0.25">
      <c r="Q178" s="22"/>
      <c r="R178" s="22"/>
      <c r="S178" s="22"/>
      <c r="T178" s="22"/>
      <c r="U178" s="22"/>
      <c r="V178" s="22"/>
      <c r="W178" s="22"/>
      <c r="X178" s="16"/>
      <c r="Y178" s="57"/>
    </row>
    <row r="179" spans="17:25" x14ac:dyDescent="0.25">
      <c r="Q179" s="22"/>
      <c r="R179" s="22"/>
      <c r="S179" s="22"/>
      <c r="T179" s="22"/>
      <c r="U179" s="22"/>
      <c r="V179" s="22"/>
      <c r="W179" s="22"/>
      <c r="X179" s="16"/>
      <c r="Y179" s="57"/>
    </row>
    <row r="180" spans="17:25" x14ac:dyDescent="0.25">
      <c r="Q180" s="22"/>
      <c r="R180" s="22"/>
      <c r="S180" s="22"/>
      <c r="T180" s="22"/>
      <c r="U180" s="22"/>
      <c r="V180" s="22"/>
      <c r="W180" s="22"/>
      <c r="X180" s="16"/>
      <c r="Y180" s="57"/>
    </row>
    <row r="181" spans="17:25" x14ac:dyDescent="0.25">
      <c r="Q181" s="22"/>
      <c r="R181" s="22"/>
      <c r="S181" s="22"/>
      <c r="T181" s="22"/>
      <c r="U181" s="22"/>
      <c r="V181" s="22"/>
      <c r="W181" s="22"/>
      <c r="X181" s="16"/>
      <c r="Y181" s="57"/>
    </row>
    <row r="182" spans="17:25" x14ac:dyDescent="0.25">
      <c r="Q182" s="22"/>
      <c r="R182" s="22"/>
      <c r="S182" s="22"/>
      <c r="T182" s="22"/>
      <c r="U182" s="22"/>
      <c r="V182" s="22"/>
      <c r="W182" s="22"/>
      <c r="X182" s="16"/>
      <c r="Y182" s="57"/>
    </row>
    <row r="183" spans="17:25" x14ac:dyDescent="0.25">
      <c r="Q183" s="22"/>
      <c r="R183" s="22"/>
      <c r="S183" s="22"/>
      <c r="T183" s="22"/>
      <c r="U183" s="22"/>
      <c r="V183" s="22"/>
      <c r="W183" s="22"/>
      <c r="X183" s="16"/>
      <c r="Y183" s="57"/>
    </row>
    <row r="184" spans="17:25" x14ac:dyDescent="0.25">
      <c r="Q184" s="22"/>
      <c r="R184" s="22"/>
      <c r="S184" s="22"/>
      <c r="T184" s="22"/>
      <c r="U184" s="22"/>
      <c r="V184" s="22"/>
      <c r="W184" s="22"/>
      <c r="X184" s="16"/>
      <c r="Y184" s="57"/>
    </row>
    <row r="185" spans="17:25" x14ac:dyDescent="0.25">
      <c r="Q185" s="22"/>
      <c r="R185" s="22"/>
      <c r="S185" s="22"/>
      <c r="T185" s="22"/>
      <c r="U185" s="22"/>
      <c r="V185" s="22"/>
      <c r="W185" s="22"/>
      <c r="X185" s="16"/>
      <c r="Y185" s="57"/>
    </row>
    <row r="186" spans="17:25" x14ac:dyDescent="0.25">
      <c r="Q186" s="22"/>
      <c r="R186" s="22"/>
      <c r="S186" s="22"/>
      <c r="T186" s="22"/>
      <c r="U186" s="22"/>
      <c r="V186" s="22"/>
      <c r="W186" s="22"/>
      <c r="X186" s="16"/>
      <c r="Y186" s="57"/>
    </row>
    <row r="187" spans="17:25" x14ac:dyDescent="0.25">
      <c r="Q187" s="22"/>
      <c r="R187" s="22"/>
      <c r="S187" s="22"/>
      <c r="T187" s="22"/>
      <c r="U187" s="22"/>
      <c r="V187" s="22"/>
      <c r="W187" s="22"/>
      <c r="X187" s="16"/>
      <c r="Y187" s="57"/>
    </row>
    <row r="188" spans="17:25" x14ac:dyDescent="0.25">
      <c r="Q188" s="22"/>
      <c r="R188" s="22"/>
      <c r="S188" s="22"/>
      <c r="T188" s="22"/>
      <c r="U188" s="22"/>
      <c r="V188" s="22"/>
      <c r="W188" s="22"/>
      <c r="X188" s="16"/>
      <c r="Y188" s="57"/>
    </row>
    <row r="189" spans="17:25" x14ac:dyDescent="0.25">
      <c r="Q189" s="22"/>
      <c r="R189" s="22"/>
      <c r="S189" s="22"/>
      <c r="T189" s="22"/>
      <c r="U189" s="22"/>
      <c r="V189" s="22"/>
      <c r="W189" s="22"/>
      <c r="X189" s="16"/>
      <c r="Y189" s="57"/>
    </row>
    <row r="190" spans="17:25" x14ac:dyDescent="0.25">
      <c r="Q190" s="22"/>
      <c r="R190" s="22"/>
      <c r="S190" s="22"/>
      <c r="T190" s="22"/>
      <c r="U190" s="22"/>
      <c r="V190" s="22"/>
      <c r="W190" s="22"/>
      <c r="X190" s="16"/>
      <c r="Y190" s="57"/>
    </row>
    <row r="191" spans="17:25" x14ac:dyDescent="0.25">
      <c r="Q191" s="22"/>
      <c r="R191" s="22"/>
      <c r="S191" s="22"/>
      <c r="T191" s="22"/>
      <c r="U191" s="22"/>
      <c r="V191" s="22"/>
      <c r="W191" s="22"/>
      <c r="X191" s="16"/>
      <c r="Y191" s="57"/>
    </row>
    <row r="192" spans="17:25" x14ac:dyDescent="0.25">
      <c r="Q192" s="22"/>
      <c r="R192" s="22"/>
      <c r="S192" s="22"/>
      <c r="T192" s="22"/>
      <c r="U192" s="22"/>
      <c r="V192" s="22"/>
      <c r="W192" s="22"/>
      <c r="X192" s="16"/>
      <c r="Y192" s="57"/>
    </row>
    <row r="193" spans="17:25" x14ac:dyDescent="0.25">
      <c r="Q193" s="22"/>
      <c r="R193" s="22"/>
      <c r="S193" s="22"/>
      <c r="T193" s="22"/>
      <c r="U193" s="22"/>
      <c r="V193" s="22"/>
      <c r="W193" s="22"/>
      <c r="X193" s="16"/>
      <c r="Y193" s="57"/>
    </row>
    <row r="194" spans="17:25" x14ac:dyDescent="0.25">
      <c r="Q194" s="22"/>
      <c r="R194" s="22"/>
      <c r="S194" s="22"/>
      <c r="T194" s="22"/>
      <c r="U194" s="22"/>
      <c r="V194" s="22"/>
      <c r="W194" s="22"/>
      <c r="X194" s="16"/>
      <c r="Y194" s="57"/>
    </row>
    <row r="195" spans="17:25" x14ac:dyDescent="0.25">
      <c r="Q195" s="22"/>
      <c r="R195" s="22"/>
      <c r="S195" s="22"/>
      <c r="T195" s="22"/>
      <c r="U195" s="22"/>
      <c r="V195" s="22"/>
      <c r="W195" s="22"/>
      <c r="X195" s="16"/>
      <c r="Y195" s="57"/>
    </row>
    <row r="196" spans="17:25" x14ac:dyDescent="0.25">
      <c r="Q196" s="22"/>
      <c r="R196" s="22"/>
      <c r="S196" s="22"/>
      <c r="T196" s="22"/>
      <c r="U196" s="22"/>
      <c r="V196" s="22"/>
      <c r="W196" s="22"/>
      <c r="X196" s="16"/>
      <c r="Y196" s="57"/>
    </row>
    <row r="197" spans="17:25" x14ac:dyDescent="0.25">
      <c r="Q197" s="22"/>
      <c r="R197" s="22"/>
      <c r="S197" s="22"/>
      <c r="T197" s="22"/>
      <c r="U197" s="22"/>
      <c r="V197" s="22"/>
      <c r="W197" s="22"/>
      <c r="X197" s="16"/>
      <c r="Y197" s="57"/>
    </row>
    <row r="198" spans="17:25" x14ac:dyDescent="0.25">
      <c r="Q198" s="22"/>
      <c r="R198" s="22"/>
      <c r="S198" s="22"/>
      <c r="T198" s="22"/>
      <c r="U198" s="22"/>
      <c r="V198" s="22"/>
      <c r="W198" s="22"/>
      <c r="X198" s="16"/>
      <c r="Y198" s="57"/>
    </row>
    <row r="199" spans="17:25" x14ac:dyDescent="0.25">
      <c r="Q199" s="22"/>
      <c r="R199" s="22"/>
      <c r="S199" s="22"/>
      <c r="T199" s="22"/>
      <c r="U199" s="22"/>
      <c r="V199" s="22"/>
      <c r="W199" s="22"/>
      <c r="X199" s="16"/>
      <c r="Y199" s="57"/>
    </row>
    <row r="200" spans="17:25" x14ac:dyDescent="0.25">
      <c r="Q200" s="22"/>
      <c r="R200" s="22"/>
      <c r="S200" s="22"/>
      <c r="T200" s="22"/>
      <c r="U200" s="22"/>
      <c r="V200" s="22"/>
      <c r="W200" s="22"/>
      <c r="X200" s="16"/>
      <c r="Y200" s="57"/>
    </row>
    <row r="201" spans="17:25" x14ac:dyDescent="0.25">
      <c r="Q201" s="22"/>
      <c r="R201" s="22"/>
      <c r="S201" s="22"/>
      <c r="T201" s="22"/>
      <c r="U201" s="22"/>
      <c r="V201" s="22"/>
      <c r="W201" s="22"/>
      <c r="X201" s="16"/>
      <c r="Y201" s="57"/>
    </row>
    <row r="202" spans="17:25" x14ac:dyDescent="0.25">
      <c r="Q202" s="22"/>
      <c r="R202" s="22"/>
      <c r="S202" s="22"/>
      <c r="T202" s="22"/>
      <c r="U202" s="22"/>
      <c r="V202" s="22"/>
      <c r="W202" s="22"/>
      <c r="X202" s="16"/>
      <c r="Y202" s="57"/>
    </row>
    <row r="203" spans="17:25" x14ac:dyDescent="0.25">
      <c r="Q203" s="22"/>
      <c r="R203" s="22"/>
      <c r="S203" s="22"/>
      <c r="T203" s="22"/>
      <c r="U203" s="22"/>
      <c r="V203" s="22"/>
      <c r="W203" s="22"/>
      <c r="X203" s="16"/>
      <c r="Y203" s="57"/>
    </row>
    <row r="204" spans="17:25" x14ac:dyDescent="0.25">
      <c r="Q204" s="22"/>
      <c r="R204" s="22"/>
      <c r="S204" s="22"/>
      <c r="T204" s="22"/>
      <c r="U204" s="22"/>
      <c r="V204" s="22"/>
      <c r="W204" s="22"/>
      <c r="X204" s="16"/>
      <c r="Y204" s="57"/>
    </row>
    <row r="205" spans="17:25" x14ac:dyDescent="0.25">
      <c r="Q205" s="22"/>
      <c r="R205" s="22"/>
      <c r="S205" s="22"/>
      <c r="T205" s="22"/>
      <c r="U205" s="22"/>
      <c r="V205" s="22"/>
      <c r="W205" s="22"/>
      <c r="X205" s="16"/>
      <c r="Y205" s="57"/>
    </row>
    <row r="206" spans="17:25" x14ac:dyDescent="0.25">
      <c r="Q206" s="22"/>
      <c r="R206" s="22"/>
      <c r="S206" s="22"/>
      <c r="T206" s="22"/>
      <c r="U206" s="22"/>
      <c r="V206" s="22"/>
      <c r="W206" s="22"/>
      <c r="X206" s="16"/>
      <c r="Y206" s="57"/>
    </row>
    <row r="207" spans="17:25" x14ac:dyDescent="0.25">
      <c r="Q207" s="22"/>
      <c r="R207" s="22"/>
      <c r="S207" s="22"/>
      <c r="T207" s="22"/>
      <c r="U207" s="22"/>
      <c r="V207" s="22"/>
      <c r="W207" s="22"/>
      <c r="X207" s="16"/>
      <c r="Y207" s="57"/>
    </row>
    <row r="208" spans="17:25" x14ac:dyDescent="0.25">
      <c r="Q208" s="22"/>
      <c r="R208" s="22"/>
      <c r="S208" s="22"/>
      <c r="T208" s="22"/>
      <c r="U208" s="22"/>
      <c r="V208" s="22"/>
      <c r="W208" s="22"/>
      <c r="X208" s="16"/>
      <c r="Y208" s="57"/>
    </row>
    <row r="209" spans="17:25" x14ac:dyDescent="0.25">
      <c r="Q209" s="22"/>
      <c r="R209" s="22"/>
      <c r="S209" s="22"/>
      <c r="T209" s="22"/>
      <c r="U209" s="22"/>
      <c r="V209" s="22"/>
      <c r="W209" s="22"/>
      <c r="X209" s="16"/>
      <c r="Y209" s="57"/>
    </row>
    <row r="210" spans="17:25" x14ac:dyDescent="0.25">
      <c r="Q210" s="22"/>
      <c r="R210" s="22"/>
      <c r="S210" s="22"/>
      <c r="T210" s="22"/>
      <c r="U210" s="22"/>
      <c r="V210" s="22"/>
      <c r="W210" s="22"/>
      <c r="X210" s="16"/>
      <c r="Y210" s="57"/>
    </row>
    <row r="211" spans="17:25" x14ac:dyDescent="0.25">
      <c r="Q211" s="22"/>
      <c r="R211" s="22"/>
      <c r="S211" s="22"/>
      <c r="T211" s="22"/>
      <c r="U211" s="22"/>
      <c r="V211" s="22"/>
      <c r="W211" s="22"/>
      <c r="X211" s="16"/>
      <c r="Y211" s="57"/>
    </row>
    <row r="212" spans="17:25" x14ac:dyDescent="0.25">
      <c r="Q212" s="22"/>
      <c r="R212" s="22"/>
      <c r="S212" s="22"/>
      <c r="T212" s="22"/>
      <c r="U212" s="22"/>
      <c r="V212" s="22"/>
      <c r="W212" s="22"/>
      <c r="X212" s="16"/>
      <c r="Y212" s="57"/>
    </row>
    <row r="213" spans="17:25" x14ac:dyDescent="0.25">
      <c r="Q213" s="22"/>
      <c r="R213" s="22"/>
      <c r="S213" s="22"/>
      <c r="T213" s="22"/>
      <c r="U213" s="22"/>
      <c r="V213" s="22"/>
      <c r="W213" s="22"/>
      <c r="X213" s="16"/>
      <c r="Y213" s="57"/>
    </row>
    <row r="214" spans="17:25" x14ac:dyDescent="0.25">
      <c r="Q214" s="22"/>
      <c r="R214" s="22"/>
      <c r="S214" s="22"/>
      <c r="T214" s="22"/>
      <c r="U214" s="22"/>
      <c r="V214" s="22"/>
      <c r="W214" s="22"/>
      <c r="X214" s="16"/>
      <c r="Y214" s="57"/>
    </row>
    <row r="215" spans="17:25" x14ac:dyDescent="0.25">
      <c r="Q215" s="22"/>
      <c r="R215" s="22"/>
      <c r="S215" s="22"/>
      <c r="T215" s="22"/>
      <c r="U215" s="22"/>
      <c r="V215" s="22"/>
      <c r="W215" s="22"/>
      <c r="X215" s="16"/>
      <c r="Y215" s="57"/>
    </row>
    <row r="216" spans="17:25" x14ac:dyDescent="0.25">
      <c r="Q216" s="22"/>
      <c r="R216" s="22"/>
      <c r="S216" s="22"/>
      <c r="T216" s="22"/>
      <c r="U216" s="22"/>
      <c r="V216" s="22"/>
      <c r="W216" s="22"/>
      <c r="X216" s="16"/>
      <c r="Y216" s="57"/>
    </row>
    <row r="217" spans="17:25" x14ac:dyDescent="0.25">
      <c r="Q217" s="22"/>
      <c r="R217" s="22"/>
      <c r="S217" s="22"/>
      <c r="T217" s="22"/>
      <c r="U217" s="22"/>
      <c r="V217" s="22"/>
      <c r="W217" s="22"/>
      <c r="X217" s="16"/>
      <c r="Y217" s="57"/>
    </row>
    <row r="218" spans="17:25" x14ac:dyDescent="0.25">
      <c r="Q218" s="22"/>
      <c r="R218" s="22"/>
      <c r="S218" s="22"/>
      <c r="T218" s="22"/>
      <c r="U218" s="22"/>
      <c r="V218" s="22"/>
      <c r="W218" s="22"/>
      <c r="X218" s="16"/>
      <c r="Y218" s="57"/>
    </row>
    <row r="219" spans="17:25" x14ac:dyDescent="0.25">
      <c r="Q219" s="22"/>
      <c r="R219" s="22"/>
      <c r="S219" s="22"/>
      <c r="T219" s="22"/>
      <c r="U219" s="22"/>
      <c r="V219" s="22"/>
      <c r="W219" s="22"/>
      <c r="X219" s="16"/>
      <c r="Y219" s="57"/>
    </row>
    <row r="220" spans="17:25" x14ac:dyDescent="0.25">
      <c r="Q220" s="22"/>
      <c r="R220" s="22"/>
      <c r="S220" s="22"/>
      <c r="T220" s="22"/>
      <c r="U220" s="22"/>
      <c r="V220" s="22"/>
      <c r="W220" s="22"/>
      <c r="X220" s="16"/>
      <c r="Y220" s="57"/>
    </row>
    <row r="221" spans="17:25" x14ac:dyDescent="0.25">
      <c r="Q221" s="22"/>
      <c r="R221" s="22"/>
      <c r="S221" s="22"/>
      <c r="T221" s="22"/>
      <c r="U221" s="22"/>
      <c r="V221" s="22"/>
      <c r="W221" s="22"/>
      <c r="X221" s="16"/>
      <c r="Y221" s="57"/>
    </row>
    <row r="222" spans="17:25" x14ac:dyDescent="0.25">
      <c r="Q222" s="22"/>
      <c r="R222" s="22"/>
      <c r="S222" s="22"/>
      <c r="T222" s="22"/>
      <c r="U222" s="22"/>
      <c r="V222" s="22"/>
      <c r="W222" s="22"/>
      <c r="X222" s="16"/>
      <c r="Y222" s="57"/>
    </row>
    <row r="223" spans="17:25" x14ac:dyDescent="0.25">
      <c r="Q223" s="22"/>
      <c r="R223" s="22"/>
      <c r="S223" s="22"/>
      <c r="T223" s="22"/>
      <c r="U223" s="22"/>
      <c r="V223" s="22"/>
      <c r="W223" s="22"/>
      <c r="X223" s="16"/>
      <c r="Y223" s="57"/>
    </row>
    <row r="224" spans="17:25" x14ac:dyDescent="0.25">
      <c r="Q224" s="22"/>
      <c r="R224" s="22"/>
      <c r="S224" s="22"/>
      <c r="T224" s="22"/>
      <c r="U224" s="22"/>
      <c r="V224" s="22"/>
      <c r="W224" s="22"/>
      <c r="X224" s="16"/>
      <c r="Y224" s="57"/>
    </row>
    <row r="225" spans="17:25" x14ac:dyDescent="0.25">
      <c r="Q225" s="22"/>
      <c r="R225" s="22"/>
      <c r="S225" s="22"/>
      <c r="T225" s="22"/>
      <c r="U225" s="22"/>
      <c r="V225" s="22"/>
      <c r="W225" s="22"/>
      <c r="X225" s="16"/>
      <c r="Y225" s="57"/>
    </row>
    <row r="226" spans="17:25" x14ac:dyDescent="0.25">
      <c r="Q226" s="22"/>
      <c r="R226" s="22"/>
      <c r="S226" s="22"/>
      <c r="T226" s="22"/>
      <c r="U226" s="22"/>
      <c r="V226" s="22"/>
      <c r="W226" s="22"/>
      <c r="X226" s="16"/>
      <c r="Y226" s="57"/>
    </row>
    <row r="227" spans="17:25" x14ac:dyDescent="0.25">
      <c r="Q227" s="22"/>
      <c r="R227" s="22"/>
      <c r="S227" s="22"/>
      <c r="T227" s="22"/>
      <c r="U227" s="22"/>
      <c r="V227" s="22"/>
      <c r="W227" s="22"/>
      <c r="X227" s="16"/>
      <c r="Y227" s="57"/>
    </row>
    <row r="228" spans="17:25" x14ac:dyDescent="0.25">
      <c r="Q228" s="22"/>
      <c r="R228" s="22"/>
      <c r="S228" s="22"/>
      <c r="T228" s="22"/>
      <c r="U228" s="22"/>
      <c r="V228" s="22"/>
      <c r="W228" s="22"/>
      <c r="X228" s="16"/>
      <c r="Y228" s="57"/>
    </row>
    <row r="229" spans="17:25" x14ac:dyDescent="0.25">
      <c r="Q229" s="22"/>
      <c r="R229" s="22"/>
      <c r="S229" s="22"/>
      <c r="T229" s="22"/>
      <c r="U229" s="22"/>
      <c r="V229" s="22"/>
      <c r="W229" s="22"/>
      <c r="X229" s="16"/>
      <c r="Y229" s="57"/>
    </row>
    <row r="230" spans="17:25" x14ac:dyDescent="0.25">
      <c r="Q230" s="22"/>
      <c r="R230" s="22"/>
      <c r="S230" s="22"/>
      <c r="T230" s="22"/>
      <c r="U230" s="22"/>
      <c r="V230" s="22"/>
      <c r="W230" s="22"/>
      <c r="X230" s="16"/>
      <c r="Y230" s="57"/>
    </row>
    <row r="231" spans="17:25" x14ac:dyDescent="0.25">
      <c r="Q231" s="22"/>
      <c r="R231" s="22"/>
      <c r="S231" s="22"/>
      <c r="T231" s="22"/>
      <c r="U231" s="22"/>
      <c r="V231" s="22"/>
      <c r="W231" s="22"/>
      <c r="X231" s="16"/>
      <c r="Y231" s="57"/>
    </row>
    <row r="232" spans="17:25" x14ac:dyDescent="0.25">
      <c r="Q232" s="22"/>
      <c r="R232" s="22"/>
      <c r="S232" s="22"/>
      <c r="T232" s="22"/>
      <c r="U232" s="22"/>
      <c r="V232" s="22"/>
      <c r="W232" s="22"/>
      <c r="X232" s="16"/>
      <c r="Y232" s="57"/>
    </row>
    <row r="233" spans="17:25" x14ac:dyDescent="0.25">
      <c r="Q233" s="22"/>
      <c r="R233" s="22"/>
      <c r="S233" s="22"/>
      <c r="T233" s="22"/>
      <c r="U233" s="22"/>
      <c r="V233" s="22"/>
      <c r="W233" s="22"/>
      <c r="X233" s="16"/>
      <c r="Y233" s="57"/>
    </row>
    <row r="234" spans="17:25" x14ac:dyDescent="0.25">
      <c r="Q234" s="22"/>
      <c r="R234" s="22"/>
      <c r="S234" s="22"/>
      <c r="T234" s="22"/>
      <c r="U234" s="22"/>
      <c r="V234" s="22"/>
      <c r="W234" s="22"/>
      <c r="X234" s="16"/>
      <c r="Y234" s="57"/>
    </row>
    <row r="235" spans="17:25" x14ac:dyDescent="0.25">
      <c r="Q235" s="22"/>
      <c r="R235" s="22"/>
      <c r="S235" s="22"/>
      <c r="T235" s="22"/>
      <c r="U235" s="22"/>
      <c r="V235" s="22"/>
      <c r="W235" s="22"/>
      <c r="X235" s="16"/>
      <c r="Y235" s="57"/>
    </row>
    <row r="236" spans="17:25" x14ac:dyDescent="0.25">
      <c r="Q236" s="22"/>
      <c r="R236" s="22"/>
      <c r="S236" s="22"/>
      <c r="T236" s="22"/>
      <c r="U236" s="22"/>
      <c r="V236" s="22"/>
      <c r="W236" s="22"/>
      <c r="X236" s="16"/>
      <c r="Y236" s="57"/>
    </row>
    <row r="237" spans="17:25" x14ac:dyDescent="0.25">
      <c r="Q237" s="22"/>
      <c r="R237" s="22"/>
      <c r="S237" s="22"/>
      <c r="T237" s="22"/>
      <c r="U237" s="22"/>
      <c r="V237" s="22"/>
      <c r="W237" s="22"/>
      <c r="X237" s="16"/>
      <c r="Y237" s="57"/>
    </row>
    <row r="238" spans="17:25" x14ac:dyDescent="0.25">
      <c r="Q238" s="22"/>
      <c r="R238" s="22"/>
      <c r="S238" s="22"/>
      <c r="T238" s="22"/>
      <c r="U238" s="22"/>
      <c r="V238" s="22"/>
      <c r="W238" s="22"/>
      <c r="X238" s="16"/>
      <c r="Y238" s="57"/>
    </row>
    <row r="239" spans="17:25" x14ac:dyDescent="0.25">
      <c r="Q239" s="22"/>
      <c r="R239" s="22"/>
      <c r="S239" s="22"/>
      <c r="T239" s="22"/>
      <c r="U239" s="22"/>
      <c r="V239" s="22"/>
      <c r="W239" s="22"/>
      <c r="X239" s="16"/>
      <c r="Y239" s="57"/>
    </row>
    <row r="240" spans="17:25" x14ac:dyDescent="0.25">
      <c r="Q240" s="22"/>
      <c r="R240" s="22"/>
      <c r="S240" s="22"/>
      <c r="T240" s="22"/>
      <c r="U240" s="22"/>
      <c r="V240" s="22"/>
      <c r="W240" s="22"/>
      <c r="X240" s="16"/>
      <c r="Y240" s="57"/>
    </row>
    <row r="241" spans="17:25" x14ac:dyDescent="0.25">
      <c r="Q241" s="22"/>
      <c r="R241" s="22"/>
      <c r="S241" s="22"/>
      <c r="T241" s="22"/>
      <c r="U241" s="22"/>
      <c r="V241" s="22"/>
      <c r="W241" s="22"/>
      <c r="X241" s="16"/>
      <c r="Y241" s="57"/>
    </row>
    <row r="242" spans="17:25" x14ac:dyDescent="0.25">
      <c r="Q242" s="22"/>
      <c r="R242" s="22"/>
      <c r="S242" s="22"/>
      <c r="T242" s="22"/>
      <c r="U242" s="22"/>
      <c r="V242" s="22"/>
      <c r="W242" s="22"/>
      <c r="X242" s="16"/>
      <c r="Y242" s="57"/>
    </row>
    <row r="243" spans="17:25" x14ac:dyDescent="0.25">
      <c r="Q243" s="22"/>
      <c r="R243" s="22"/>
      <c r="S243" s="22"/>
      <c r="T243" s="22"/>
      <c r="U243" s="22"/>
      <c r="V243" s="22"/>
      <c r="W243" s="22"/>
      <c r="X243" s="16"/>
      <c r="Y243" s="57"/>
    </row>
    <row r="244" spans="17:25" x14ac:dyDescent="0.25">
      <c r="Q244" s="22"/>
      <c r="R244" s="22"/>
      <c r="S244" s="22"/>
      <c r="T244" s="22"/>
      <c r="U244" s="22"/>
      <c r="V244" s="22"/>
      <c r="W244" s="22"/>
      <c r="X244" s="16"/>
      <c r="Y244" s="57"/>
    </row>
    <row r="245" spans="17:25" x14ac:dyDescent="0.25">
      <c r="Q245" s="22"/>
      <c r="R245" s="22"/>
      <c r="S245" s="22"/>
      <c r="T245" s="22"/>
      <c r="U245" s="22"/>
      <c r="V245" s="22"/>
      <c r="W245" s="22"/>
      <c r="X245" s="16"/>
      <c r="Y245" s="57"/>
    </row>
    <row r="246" spans="17:25" x14ac:dyDescent="0.25">
      <c r="Q246" s="22"/>
      <c r="R246" s="22"/>
      <c r="S246" s="22"/>
      <c r="T246" s="22"/>
      <c r="U246" s="22"/>
      <c r="V246" s="22"/>
      <c r="W246" s="22"/>
      <c r="X246" s="16"/>
      <c r="Y246" s="57"/>
    </row>
    <row r="247" spans="17:25" x14ac:dyDescent="0.25">
      <c r="Q247" s="22"/>
      <c r="R247" s="22"/>
      <c r="S247" s="22"/>
      <c r="T247" s="22"/>
      <c r="U247" s="22"/>
      <c r="V247" s="22"/>
      <c r="W247" s="22"/>
      <c r="X247" s="16"/>
      <c r="Y247" s="57"/>
    </row>
    <row r="248" spans="17:25" x14ac:dyDescent="0.25">
      <c r="Q248" s="22"/>
      <c r="R248" s="22"/>
      <c r="S248" s="22"/>
      <c r="T248" s="22"/>
      <c r="U248" s="22"/>
      <c r="V248" s="22"/>
      <c r="W248" s="22"/>
      <c r="X248" s="16"/>
      <c r="Y248" s="57"/>
    </row>
    <row r="249" spans="17:25" x14ac:dyDescent="0.25">
      <c r="Q249" s="22"/>
      <c r="R249" s="22"/>
      <c r="S249" s="22"/>
      <c r="T249" s="22"/>
      <c r="U249" s="22"/>
      <c r="V249" s="22"/>
      <c r="W249" s="22"/>
      <c r="X249" s="16"/>
      <c r="Y249" s="57"/>
    </row>
    <row r="250" spans="17:25" x14ac:dyDescent="0.25">
      <c r="Q250" s="22"/>
      <c r="R250" s="22"/>
      <c r="S250" s="22"/>
      <c r="T250" s="22"/>
      <c r="U250" s="22"/>
      <c r="V250" s="22"/>
      <c r="W250" s="22"/>
      <c r="X250" s="16"/>
      <c r="Y250" s="57"/>
    </row>
    <row r="251" spans="17:25" x14ac:dyDescent="0.25">
      <c r="Q251" s="22"/>
      <c r="R251" s="22"/>
      <c r="S251" s="22"/>
      <c r="T251" s="22"/>
      <c r="U251" s="22"/>
      <c r="V251" s="22"/>
      <c r="W251" s="22"/>
      <c r="X251" s="16"/>
      <c r="Y251" s="57"/>
    </row>
    <row r="252" spans="17:25" x14ac:dyDescent="0.25">
      <c r="Q252" s="22"/>
      <c r="R252" s="22"/>
      <c r="S252" s="22"/>
      <c r="T252" s="22"/>
      <c r="U252" s="22"/>
      <c r="V252" s="22"/>
      <c r="W252" s="22"/>
      <c r="X252" s="16"/>
      <c r="Y252" s="57"/>
    </row>
    <row r="253" spans="17:25" x14ac:dyDescent="0.25">
      <c r="Q253" s="22"/>
      <c r="R253" s="22"/>
      <c r="S253" s="22"/>
      <c r="T253" s="22"/>
      <c r="U253" s="22"/>
      <c r="V253" s="22"/>
      <c r="W253" s="22"/>
      <c r="X253" s="16"/>
      <c r="Y253" s="57"/>
    </row>
    <row r="254" spans="17:25" x14ac:dyDescent="0.25">
      <c r="Q254" s="22"/>
      <c r="R254" s="22"/>
      <c r="S254" s="22"/>
      <c r="T254" s="22"/>
      <c r="U254" s="22"/>
      <c r="V254" s="22"/>
      <c r="W254" s="22"/>
      <c r="X254" s="16"/>
      <c r="Y254" s="57"/>
    </row>
    <row r="255" spans="17:25" x14ac:dyDescent="0.25">
      <c r="Q255" s="22"/>
      <c r="R255" s="22"/>
      <c r="S255" s="22"/>
      <c r="T255" s="22"/>
      <c r="U255" s="22"/>
      <c r="V255" s="22"/>
      <c r="W255" s="22"/>
      <c r="X255" s="16"/>
      <c r="Y255" s="57"/>
    </row>
    <row r="256" spans="17:25" x14ac:dyDescent="0.25">
      <c r="Q256" s="22"/>
      <c r="R256" s="22"/>
      <c r="S256" s="22"/>
      <c r="T256" s="22"/>
      <c r="U256" s="22"/>
      <c r="V256" s="22"/>
      <c r="W256" s="22"/>
      <c r="X256" s="16"/>
      <c r="Y256" s="57"/>
    </row>
    <row r="257" spans="17:25" x14ac:dyDescent="0.25">
      <c r="Q257" s="22"/>
      <c r="R257" s="22"/>
      <c r="S257" s="22"/>
      <c r="T257" s="22"/>
      <c r="U257" s="22"/>
      <c r="V257" s="22"/>
      <c r="W257" s="22"/>
      <c r="X257" s="16"/>
      <c r="Y257" s="57"/>
    </row>
    <row r="258" spans="17:25" x14ac:dyDescent="0.25">
      <c r="Q258" s="22"/>
      <c r="R258" s="22"/>
      <c r="S258" s="22"/>
      <c r="T258" s="22"/>
      <c r="U258" s="22"/>
      <c r="V258" s="22"/>
      <c r="W258" s="22"/>
      <c r="X258" s="16"/>
      <c r="Y258" s="57"/>
    </row>
    <row r="259" spans="17:25" x14ac:dyDescent="0.25">
      <c r="Q259" s="22"/>
      <c r="R259" s="22"/>
      <c r="S259" s="22"/>
      <c r="T259" s="22"/>
      <c r="U259" s="22"/>
      <c r="V259" s="22"/>
      <c r="W259" s="22"/>
      <c r="X259" s="16"/>
      <c r="Y259" s="57"/>
    </row>
    <row r="260" spans="17:25" x14ac:dyDescent="0.25">
      <c r="Q260" s="22"/>
      <c r="R260" s="22"/>
      <c r="S260" s="22"/>
      <c r="T260" s="22"/>
      <c r="U260" s="22"/>
      <c r="V260" s="22"/>
      <c r="W260" s="22"/>
      <c r="X260" s="16"/>
      <c r="Y260" s="57"/>
    </row>
    <row r="261" spans="17:25" x14ac:dyDescent="0.25">
      <c r="Q261" s="22"/>
      <c r="R261" s="22"/>
      <c r="S261" s="22"/>
      <c r="T261" s="22"/>
      <c r="U261" s="22"/>
      <c r="V261" s="22"/>
      <c r="W261" s="22"/>
      <c r="X261" s="16"/>
      <c r="Y261" s="57"/>
    </row>
    <row r="262" spans="17:25" x14ac:dyDescent="0.25">
      <c r="Q262" s="22"/>
      <c r="R262" s="22"/>
      <c r="S262" s="22"/>
      <c r="T262" s="22"/>
      <c r="U262" s="22"/>
      <c r="V262" s="22"/>
      <c r="W262" s="22"/>
      <c r="X262" s="16"/>
      <c r="Y262" s="57"/>
    </row>
    <row r="263" spans="17:25" x14ac:dyDescent="0.25">
      <c r="Q263" s="22"/>
      <c r="R263" s="22"/>
      <c r="S263" s="22"/>
      <c r="T263" s="22"/>
      <c r="U263" s="22"/>
      <c r="V263" s="22"/>
      <c r="W263" s="22"/>
      <c r="X263" s="16"/>
      <c r="Y263" s="57"/>
    </row>
    <row r="264" spans="17:25" x14ac:dyDescent="0.25">
      <c r="Q264" s="22"/>
      <c r="R264" s="22"/>
      <c r="S264" s="22"/>
      <c r="T264" s="22"/>
      <c r="U264" s="22"/>
      <c r="V264" s="22"/>
      <c r="W264" s="22"/>
      <c r="X264" s="16"/>
      <c r="Y264" s="57"/>
    </row>
    <row r="265" spans="17:25" x14ac:dyDescent="0.25">
      <c r="Q265" s="22"/>
      <c r="R265" s="22"/>
      <c r="S265" s="22"/>
      <c r="T265" s="22"/>
      <c r="U265" s="22"/>
      <c r="V265" s="22"/>
      <c r="W265" s="22"/>
      <c r="X265" s="16"/>
      <c r="Y265" s="57"/>
    </row>
    <row r="266" spans="17:25" x14ac:dyDescent="0.25">
      <c r="Q266" s="22"/>
      <c r="R266" s="22"/>
      <c r="S266" s="22"/>
      <c r="T266" s="22"/>
      <c r="U266" s="22"/>
      <c r="V266" s="22"/>
      <c r="W266" s="22"/>
      <c r="X266" s="16"/>
      <c r="Y266" s="57"/>
    </row>
    <row r="267" spans="17:25" x14ac:dyDescent="0.25">
      <c r="Q267" s="22"/>
      <c r="R267" s="22"/>
      <c r="S267" s="22"/>
      <c r="T267" s="22"/>
      <c r="U267" s="22"/>
      <c r="V267" s="22"/>
      <c r="W267" s="22"/>
      <c r="X267" s="16"/>
      <c r="Y267" s="57"/>
    </row>
    <row r="268" spans="17:25" x14ac:dyDescent="0.25">
      <c r="Q268" s="22"/>
      <c r="R268" s="22"/>
      <c r="S268" s="22"/>
      <c r="T268" s="22"/>
      <c r="U268" s="22"/>
      <c r="V268" s="22"/>
      <c r="W268" s="22"/>
      <c r="X268" s="16"/>
      <c r="Y268" s="57"/>
    </row>
    <row r="269" spans="17:25" x14ac:dyDescent="0.25">
      <c r="Q269" s="22"/>
      <c r="R269" s="22"/>
      <c r="S269" s="22"/>
      <c r="T269" s="22"/>
      <c r="U269" s="22"/>
      <c r="V269" s="22"/>
      <c r="W269" s="22"/>
      <c r="X269" s="16"/>
      <c r="Y269" s="57"/>
    </row>
    <row r="270" spans="17:25" x14ac:dyDescent="0.25">
      <c r="Q270" s="22"/>
      <c r="R270" s="22"/>
      <c r="S270" s="22"/>
      <c r="T270" s="22"/>
      <c r="U270" s="22"/>
      <c r="V270" s="22"/>
      <c r="W270" s="22"/>
      <c r="X270" s="16"/>
      <c r="Y270" s="57"/>
    </row>
    <row r="271" spans="17:25" x14ac:dyDescent="0.25">
      <c r="Q271" s="22"/>
      <c r="R271" s="22"/>
      <c r="S271" s="22"/>
      <c r="T271" s="22"/>
      <c r="U271" s="22"/>
      <c r="V271" s="22"/>
      <c r="W271" s="22"/>
      <c r="X271" s="16"/>
      <c r="Y271" s="57"/>
    </row>
    <row r="272" spans="17:25" x14ac:dyDescent="0.25">
      <c r="Q272" s="22"/>
      <c r="R272" s="22"/>
      <c r="S272" s="22"/>
      <c r="T272" s="22"/>
      <c r="U272" s="22"/>
      <c r="V272" s="22"/>
      <c r="W272" s="22"/>
      <c r="X272" s="16"/>
      <c r="Y272" s="57"/>
    </row>
    <row r="273" spans="17:25" x14ac:dyDescent="0.25">
      <c r="Q273" s="22"/>
      <c r="R273" s="22"/>
      <c r="S273" s="22"/>
      <c r="T273" s="22"/>
      <c r="U273" s="22"/>
      <c r="V273" s="22"/>
      <c r="W273" s="22"/>
      <c r="X273" s="16"/>
      <c r="Y273" s="57"/>
    </row>
    <row r="274" spans="17:25" x14ac:dyDescent="0.25">
      <c r="Q274" s="22"/>
      <c r="R274" s="22"/>
      <c r="S274" s="22"/>
      <c r="T274" s="22"/>
      <c r="U274" s="22"/>
      <c r="V274" s="22"/>
      <c r="W274" s="22"/>
      <c r="X274" s="16"/>
      <c r="Y274" s="57"/>
    </row>
    <row r="275" spans="17:25" x14ac:dyDescent="0.25">
      <c r="Q275" s="22"/>
      <c r="R275" s="22"/>
      <c r="S275" s="22"/>
      <c r="T275" s="22"/>
      <c r="U275" s="22"/>
      <c r="V275" s="22"/>
      <c r="W275" s="22"/>
      <c r="X275" s="16"/>
      <c r="Y275" s="57"/>
    </row>
    <row r="276" spans="17:25" x14ac:dyDescent="0.25">
      <c r="Q276" s="22"/>
      <c r="R276" s="22"/>
      <c r="S276" s="22"/>
      <c r="T276" s="22"/>
      <c r="U276" s="22"/>
      <c r="V276" s="22"/>
      <c r="W276" s="22"/>
      <c r="X276" s="16"/>
      <c r="Y276" s="57"/>
    </row>
    <row r="277" spans="17:25" x14ac:dyDescent="0.25">
      <c r="Q277" s="22"/>
      <c r="R277" s="22"/>
      <c r="S277" s="22"/>
      <c r="T277" s="22"/>
      <c r="U277" s="22"/>
      <c r="V277" s="22"/>
      <c r="W277" s="22"/>
      <c r="X277" s="16"/>
      <c r="Y277" s="57"/>
    </row>
    <row r="278" spans="17:25" x14ac:dyDescent="0.25">
      <c r="Q278" s="22"/>
      <c r="R278" s="22"/>
      <c r="S278" s="22"/>
      <c r="T278" s="22"/>
      <c r="U278" s="22"/>
      <c r="V278" s="22"/>
      <c r="W278" s="22"/>
      <c r="X278" s="16"/>
      <c r="Y278" s="57"/>
    </row>
    <row r="279" spans="17:25" x14ac:dyDescent="0.25">
      <c r="Q279" s="22"/>
      <c r="R279" s="22"/>
      <c r="S279" s="22"/>
      <c r="T279" s="22"/>
      <c r="U279" s="22"/>
      <c r="V279" s="22"/>
      <c r="W279" s="22"/>
      <c r="X279" s="16"/>
      <c r="Y279" s="57"/>
    </row>
    <row r="280" spans="17:25" x14ac:dyDescent="0.25">
      <c r="Q280" s="22"/>
      <c r="R280" s="22"/>
      <c r="S280" s="22"/>
      <c r="T280" s="22"/>
      <c r="U280" s="22"/>
      <c r="V280" s="22"/>
      <c r="W280" s="22"/>
      <c r="X280" s="16"/>
      <c r="Y280" s="57"/>
    </row>
    <row r="281" spans="17:25" x14ac:dyDescent="0.25">
      <c r="Q281" s="22"/>
      <c r="R281" s="22"/>
      <c r="S281" s="22"/>
      <c r="T281" s="22"/>
      <c r="U281" s="22"/>
      <c r="V281" s="22"/>
      <c r="W281" s="22"/>
      <c r="X281" s="16"/>
      <c r="Y281" s="57"/>
    </row>
    <row r="282" spans="17:25" x14ac:dyDescent="0.25">
      <c r="Q282" s="22"/>
      <c r="R282" s="22"/>
      <c r="S282" s="22"/>
      <c r="T282" s="22"/>
      <c r="U282" s="22"/>
      <c r="V282" s="22"/>
      <c r="W282" s="22"/>
      <c r="X282" s="16"/>
      <c r="Y282" s="57"/>
    </row>
    <row r="283" spans="17:25" x14ac:dyDescent="0.25">
      <c r="Q283" s="22"/>
      <c r="R283" s="22"/>
      <c r="S283" s="22"/>
      <c r="T283" s="22"/>
      <c r="U283" s="22"/>
      <c r="V283" s="22"/>
      <c r="W283" s="22"/>
      <c r="X283" s="16"/>
      <c r="Y283" s="57"/>
    </row>
    <row r="284" spans="17:25" x14ac:dyDescent="0.25">
      <c r="Q284" s="22"/>
      <c r="R284" s="22"/>
      <c r="S284" s="22"/>
      <c r="T284" s="22"/>
      <c r="U284" s="22"/>
      <c r="V284" s="22"/>
      <c r="W284" s="22"/>
      <c r="X284" s="16"/>
      <c r="Y284" s="57"/>
    </row>
    <row r="285" spans="17:25" x14ac:dyDescent="0.25">
      <c r="Q285" s="22"/>
      <c r="R285" s="22"/>
      <c r="S285" s="22"/>
      <c r="T285" s="22"/>
      <c r="U285" s="22"/>
      <c r="V285" s="22"/>
      <c r="W285" s="22"/>
      <c r="X285" s="16"/>
      <c r="Y285" s="57"/>
    </row>
    <row r="286" spans="17:25" x14ac:dyDescent="0.25">
      <c r="Q286" s="22"/>
      <c r="R286" s="22"/>
      <c r="S286" s="22"/>
      <c r="T286" s="22"/>
      <c r="U286" s="22"/>
      <c r="V286" s="22"/>
      <c r="W286" s="22"/>
      <c r="X286" s="16"/>
      <c r="Y286" s="57"/>
    </row>
    <row r="287" spans="17:25" x14ac:dyDescent="0.25">
      <c r="Q287" s="22"/>
      <c r="R287" s="22"/>
      <c r="S287" s="22"/>
      <c r="T287" s="22"/>
      <c r="U287" s="22"/>
      <c r="V287" s="22"/>
      <c r="W287" s="22"/>
      <c r="X287" s="16"/>
      <c r="Y287" s="57"/>
    </row>
    <row r="288" spans="17:25" x14ac:dyDescent="0.25">
      <c r="Q288" s="22"/>
      <c r="R288" s="22"/>
      <c r="S288" s="22"/>
      <c r="T288" s="22"/>
      <c r="U288" s="22"/>
      <c r="V288" s="22"/>
      <c r="W288" s="22"/>
      <c r="X288" s="16"/>
      <c r="Y288" s="57"/>
    </row>
    <row r="289" spans="17:25" x14ac:dyDescent="0.25">
      <c r="Q289" s="22"/>
      <c r="R289" s="22"/>
      <c r="S289" s="22"/>
      <c r="T289" s="22"/>
      <c r="U289" s="22"/>
      <c r="V289" s="22"/>
      <c r="W289" s="22"/>
      <c r="X289" s="16"/>
      <c r="Y289" s="57"/>
    </row>
    <row r="290" spans="17:25" x14ac:dyDescent="0.25">
      <c r="Q290" s="22"/>
      <c r="R290" s="22"/>
      <c r="S290" s="22"/>
      <c r="T290" s="22"/>
      <c r="U290" s="22"/>
      <c r="V290" s="22"/>
      <c r="W290" s="22"/>
      <c r="X290" s="16"/>
      <c r="Y290" s="57"/>
    </row>
    <row r="291" spans="17:25" x14ac:dyDescent="0.25">
      <c r="Q291" s="22"/>
      <c r="R291" s="22"/>
      <c r="S291" s="22"/>
      <c r="T291" s="22"/>
      <c r="U291" s="22"/>
      <c r="V291" s="22"/>
      <c r="W291" s="22"/>
      <c r="X291" s="16"/>
      <c r="Y291" s="57"/>
    </row>
    <row r="292" spans="17:25" x14ac:dyDescent="0.25">
      <c r="Q292" s="22"/>
      <c r="R292" s="22"/>
      <c r="S292" s="22"/>
      <c r="T292" s="22"/>
      <c r="U292" s="22"/>
      <c r="V292" s="22"/>
      <c r="W292" s="22"/>
      <c r="X292" s="16"/>
      <c r="Y292" s="57"/>
    </row>
    <row r="293" spans="17:25" x14ac:dyDescent="0.25">
      <c r="Q293" s="22"/>
      <c r="R293" s="22"/>
      <c r="S293" s="22"/>
      <c r="T293" s="22"/>
      <c r="U293" s="22"/>
      <c r="V293" s="22"/>
      <c r="W293" s="22"/>
      <c r="X293" s="16"/>
      <c r="Y293" s="57"/>
    </row>
    <row r="294" spans="17:25" x14ac:dyDescent="0.25">
      <c r="Q294" s="22"/>
      <c r="R294" s="22"/>
      <c r="S294" s="22"/>
      <c r="T294" s="22"/>
      <c r="U294" s="22"/>
      <c r="V294" s="22"/>
      <c r="W294" s="22"/>
      <c r="X294" s="16"/>
      <c r="Y294" s="57"/>
    </row>
    <row r="295" spans="17:25" x14ac:dyDescent="0.25">
      <c r="Q295" s="22"/>
      <c r="R295" s="22"/>
      <c r="S295" s="22"/>
      <c r="T295" s="22"/>
      <c r="U295" s="22"/>
      <c r="V295" s="22"/>
      <c r="W295" s="22"/>
      <c r="X295" s="16"/>
      <c r="Y295" s="57"/>
    </row>
    <row r="296" spans="17:25" x14ac:dyDescent="0.25">
      <c r="Q296" s="22"/>
      <c r="R296" s="22"/>
      <c r="S296" s="22"/>
      <c r="T296" s="22"/>
      <c r="U296" s="22"/>
      <c r="V296" s="22"/>
      <c r="W296" s="22"/>
      <c r="X296" s="16"/>
      <c r="Y296" s="57"/>
    </row>
    <row r="297" spans="17:25" x14ac:dyDescent="0.25">
      <c r="Q297" s="22"/>
      <c r="R297" s="22"/>
      <c r="S297" s="22"/>
      <c r="T297" s="22"/>
      <c r="U297" s="22"/>
      <c r="V297" s="22"/>
      <c r="W297" s="22"/>
      <c r="X297" s="16"/>
      <c r="Y297" s="57"/>
    </row>
    <row r="298" spans="17:25" x14ac:dyDescent="0.25">
      <c r="Q298" s="22"/>
      <c r="R298" s="22"/>
      <c r="S298" s="22"/>
      <c r="T298" s="22"/>
      <c r="U298" s="22"/>
      <c r="V298" s="22"/>
      <c r="W298" s="22"/>
      <c r="X298" s="16"/>
      <c r="Y298" s="57"/>
    </row>
    <row r="299" spans="17:25" x14ac:dyDescent="0.25">
      <c r="Q299" s="22"/>
      <c r="R299" s="22"/>
      <c r="S299" s="22"/>
      <c r="T299" s="22"/>
      <c r="U299" s="22"/>
      <c r="V299" s="22"/>
      <c r="W299" s="22"/>
      <c r="X299" s="16"/>
      <c r="Y299" s="57"/>
    </row>
    <row r="300" spans="17:25" x14ac:dyDescent="0.25">
      <c r="Q300" s="22"/>
      <c r="R300" s="22"/>
      <c r="S300" s="22"/>
      <c r="T300" s="22"/>
      <c r="U300" s="22"/>
      <c r="V300" s="22"/>
      <c r="W300" s="22"/>
      <c r="X300" s="16"/>
      <c r="Y300" s="57"/>
    </row>
    <row r="301" spans="17:25" x14ac:dyDescent="0.25">
      <c r="Q301" s="22"/>
      <c r="R301" s="22"/>
      <c r="S301" s="22"/>
      <c r="T301" s="22"/>
      <c r="U301" s="22"/>
      <c r="V301" s="22"/>
      <c r="W301" s="22"/>
      <c r="X301" s="16"/>
      <c r="Y301" s="57"/>
    </row>
    <row r="302" spans="17:25" x14ac:dyDescent="0.25">
      <c r="Q302" s="22"/>
      <c r="R302" s="22"/>
      <c r="S302" s="22"/>
      <c r="T302" s="22"/>
      <c r="U302" s="22"/>
      <c r="V302" s="22"/>
      <c r="W302" s="22"/>
      <c r="X302" s="16"/>
      <c r="Y302" s="57"/>
    </row>
    <row r="303" spans="17:25" x14ac:dyDescent="0.25">
      <c r="Q303" s="22"/>
      <c r="R303" s="22"/>
      <c r="S303" s="22"/>
      <c r="T303" s="22"/>
      <c r="U303" s="22"/>
      <c r="V303" s="22"/>
      <c r="W303" s="22"/>
      <c r="X303" s="16"/>
      <c r="Y303" s="57"/>
    </row>
    <row r="304" spans="17:25" x14ac:dyDescent="0.25">
      <c r="Q304" s="22"/>
      <c r="R304" s="22"/>
      <c r="S304" s="22"/>
      <c r="T304" s="22"/>
      <c r="U304" s="22"/>
      <c r="V304" s="22"/>
      <c r="W304" s="22"/>
      <c r="X304" s="16"/>
      <c r="Y304" s="57"/>
    </row>
    <row r="305" spans="17:25" x14ac:dyDescent="0.25">
      <c r="Q305" s="22"/>
      <c r="R305" s="22"/>
      <c r="S305" s="22"/>
      <c r="T305" s="22"/>
      <c r="U305" s="22"/>
      <c r="V305" s="22"/>
      <c r="W305" s="22"/>
      <c r="X305" s="16"/>
      <c r="Y305" s="57"/>
    </row>
    <row r="306" spans="17:25" x14ac:dyDescent="0.25">
      <c r="Q306" s="22"/>
      <c r="R306" s="22"/>
      <c r="S306" s="22"/>
      <c r="T306" s="22"/>
      <c r="U306" s="22"/>
      <c r="V306" s="22"/>
      <c r="W306" s="22"/>
      <c r="X306" s="16"/>
      <c r="Y306" s="57"/>
    </row>
    <row r="307" spans="17:25" x14ac:dyDescent="0.25">
      <c r="Q307" s="22"/>
      <c r="R307" s="22"/>
      <c r="S307" s="22"/>
      <c r="T307" s="22"/>
      <c r="U307" s="22"/>
      <c r="V307" s="22"/>
      <c r="W307" s="22"/>
      <c r="X307" s="16"/>
      <c r="Y307" s="57"/>
    </row>
    <row r="308" spans="17:25" x14ac:dyDescent="0.25">
      <c r="Q308" s="22"/>
      <c r="R308" s="22"/>
      <c r="S308" s="22"/>
      <c r="T308" s="22"/>
      <c r="U308" s="22"/>
      <c r="V308" s="22"/>
      <c r="W308" s="22"/>
      <c r="X308" s="16"/>
      <c r="Y308" s="57"/>
    </row>
    <row r="309" spans="17:25" x14ac:dyDescent="0.25">
      <c r="Q309" s="22"/>
      <c r="R309" s="22"/>
      <c r="S309" s="22"/>
      <c r="T309" s="22"/>
      <c r="U309" s="22"/>
      <c r="V309" s="22"/>
      <c r="W309" s="22"/>
      <c r="X309" s="16"/>
      <c r="Y309" s="57"/>
    </row>
    <row r="310" spans="17:25" x14ac:dyDescent="0.25">
      <c r="Q310" s="22"/>
      <c r="R310" s="22"/>
      <c r="S310" s="22"/>
      <c r="T310" s="22"/>
      <c r="U310" s="22"/>
      <c r="V310" s="22"/>
      <c r="W310" s="22"/>
      <c r="X310" s="16"/>
      <c r="Y310" s="57"/>
    </row>
    <row r="311" spans="17:25" x14ac:dyDescent="0.25">
      <c r="Q311" s="22"/>
      <c r="R311" s="22"/>
      <c r="S311" s="22"/>
      <c r="T311" s="22"/>
      <c r="U311" s="22"/>
      <c r="V311" s="22"/>
      <c r="W311" s="22"/>
      <c r="X311" s="16"/>
      <c r="Y311" s="57"/>
    </row>
    <row r="312" spans="17:25" x14ac:dyDescent="0.25">
      <c r="Q312" s="22"/>
      <c r="R312" s="22"/>
      <c r="S312" s="22"/>
      <c r="T312" s="22"/>
      <c r="U312" s="22"/>
      <c r="V312" s="22"/>
      <c r="W312" s="22"/>
      <c r="X312" s="16"/>
      <c r="Y312" s="57"/>
    </row>
    <row r="313" spans="17:25" x14ac:dyDescent="0.25">
      <c r="Q313" s="22"/>
      <c r="R313" s="22"/>
      <c r="S313" s="22"/>
      <c r="T313" s="22"/>
      <c r="U313" s="22"/>
      <c r="V313" s="22"/>
      <c r="W313" s="22"/>
      <c r="X313" s="16"/>
      <c r="Y313" s="57"/>
    </row>
    <row r="314" spans="17:25" x14ac:dyDescent="0.25">
      <c r="Q314" s="22"/>
      <c r="R314" s="22"/>
      <c r="S314" s="22"/>
      <c r="T314" s="22"/>
      <c r="U314" s="22"/>
      <c r="V314" s="22"/>
      <c r="W314" s="22"/>
      <c r="X314" s="16"/>
      <c r="Y314" s="57"/>
    </row>
    <row r="315" spans="17:25" x14ac:dyDescent="0.25">
      <c r="Q315" s="22"/>
      <c r="R315" s="22"/>
      <c r="S315" s="22"/>
      <c r="T315" s="22"/>
      <c r="U315" s="22"/>
      <c r="V315" s="22"/>
      <c r="W315" s="22"/>
      <c r="X315" s="16"/>
      <c r="Y315" s="57"/>
    </row>
    <row r="316" spans="17:25" x14ac:dyDescent="0.25">
      <c r="Q316" s="22"/>
      <c r="R316" s="22"/>
      <c r="S316" s="22"/>
      <c r="T316" s="22"/>
      <c r="U316" s="22"/>
      <c r="V316" s="22"/>
      <c r="W316" s="22"/>
      <c r="X316" s="16"/>
      <c r="Y316" s="57"/>
    </row>
    <row r="317" spans="17:25" x14ac:dyDescent="0.25">
      <c r="Q317" s="22"/>
      <c r="R317" s="22"/>
      <c r="S317" s="22"/>
      <c r="T317" s="22"/>
      <c r="U317" s="22"/>
      <c r="V317" s="22"/>
      <c r="W317" s="22"/>
      <c r="X317" s="16"/>
      <c r="Y317" s="57"/>
    </row>
    <row r="318" spans="17:25" x14ac:dyDescent="0.25">
      <c r="Q318" s="22"/>
      <c r="R318" s="22"/>
      <c r="S318" s="22"/>
      <c r="T318" s="22"/>
      <c r="U318" s="22"/>
      <c r="V318" s="22"/>
      <c r="W318" s="22"/>
      <c r="X318" s="16"/>
      <c r="Y318" s="57"/>
    </row>
    <row r="319" spans="17:25" x14ac:dyDescent="0.25">
      <c r="Q319" s="22"/>
      <c r="R319" s="22"/>
      <c r="S319" s="22"/>
      <c r="T319" s="22"/>
      <c r="U319" s="22"/>
      <c r="V319" s="22"/>
      <c r="W319" s="22"/>
      <c r="X319" s="16"/>
      <c r="Y319" s="57"/>
    </row>
    <row r="320" spans="17:25" x14ac:dyDescent="0.25">
      <c r="Q320" s="22"/>
      <c r="R320" s="22"/>
      <c r="S320" s="22"/>
      <c r="T320" s="22"/>
      <c r="U320" s="22"/>
      <c r="V320" s="22"/>
      <c r="W320" s="22"/>
      <c r="X320" s="16"/>
      <c r="Y320" s="57"/>
    </row>
    <row r="321" spans="17:25" x14ac:dyDescent="0.25">
      <c r="Q321" s="22"/>
      <c r="R321" s="22"/>
      <c r="S321" s="22"/>
      <c r="T321" s="22"/>
      <c r="U321" s="22"/>
      <c r="V321" s="22"/>
      <c r="W321" s="22"/>
      <c r="X321" s="16"/>
      <c r="Y321" s="57"/>
    </row>
    <row r="322" spans="17:25" x14ac:dyDescent="0.25">
      <c r="Q322" s="22"/>
      <c r="R322" s="22"/>
      <c r="S322" s="22"/>
      <c r="T322" s="22"/>
      <c r="U322" s="22"/>
      <c r="V322" s="22"/>
      <c r="W322" s="22"/>
      <c r="X322" s="16"/>
      <c r="Y322" s="57"/>
    </row>
    <row r="323" spans="17:25" x14ac:dyDescent="0.25">
      <c r="Q323" s="22"/>
      <c r="R323" s="22"/>
      <c r="S323" s="22"/>
      <c r="T323" s="22"/>
      <c r="U323" s="22"/>
      <c r="V323" s="22"/>
      <c r="W323" s="22"/>
      <c r="X323" s="16"/>
      <c r="Y323" s="57"/>
    </row>
    <row r="324" spans="17:25" x14ac:dyDescent="0.25">
      <c r="Q324" s="22"/>
      <c r="R324" s="22"/>
      <c r="S324" s="22"/>
      <c r="T324" s="22"/>
      <c r="U324" s="22"/>
      <c r="V324" s="22"/>
      <c r="W324" s="22"/>
      <c r="X324" s="16"/>
      <c r="Y324" s="57"/>
    </row>
    <row r="325" spans="17:25" x14ac:dyDescent="0.25">
      <c r="Q325" s="22"/>
      <c r="R325" s="22"/>
      <c r="S325" s="22"/>
      <c r="T325" s="22"/>
      <c r="U325" s="22"/>
      <c r="V325" s="22"/>
      <c r="W325" s="22"/>
      <c r="X325" s="16"/>
      <c r="Y325" s="57"/>
    </row>
    <row r="326" spans="17:25" x14ac:dyDescent="0.25">
      <c r="Q326" s="22"/>
      <c r="R326" s="22"/>
      <c r="S326" s="22"/>
      <c r="T326" s="22"/>
      <c r="U326" s="22"/>
      <c r="V326" s="22"/>
      <c r="W326" s="22"/>
      <c r="X326" s="16"/>
      <c r="Y326" s="57"/>
    </row>
    <row r="327" spans="17:25" x14ac:dyDescent="0.25">
      <c r="Q327" s="22"/>
      <c r="R327" s="22"/>
      <c r="S327" s="22"/>
      <c r="T327" s="22"/>
      <c r="U327" s="22"/>
      <c r="V327" s="22"/>
      <c r="W327" s="22"/>
      <c r="X327" s="16"/>
      <c r="Y327" s="57"/>
    </row>
    <row r="328" spans="17:25" x14ac:dyDescent="0.25">
      <c r="Q328" s="22"/>
      <c r="R328" s="22"/>
      <c r="S328" s="22"/>
      <c r="T328" s="22"/>
      <c r="U328" s="22"/>
      <c r="V328" s="22"/>
      <c r="W328" s="22"/>
      <c r="X328" s="16"/>
      <c r="Y328" s="57"/>
    </row>
    <row r="329" spans="17:25" x14ac:dyDescent="0.25">
      <c r="Q329" s="22"/>
      <c r="R329" s="22"/>
      <c r="S329" s="22"/>
      <c r="T329" s="22"/>
      <c r="U329" s="22"/>
      <c r="V329" s="22"/>
      <c r="W329" s="22"/>
      <c r="X329" s="16"/>
      <c r="Y329" s="57"/>
    </row>
    <row r="330" spans="17:25" x14ac:dyDescent="0.25">
      <c r="Q330" s="22"/>
      <c r="R330" s="22"/>
      <c r="S330" s="22"/>
      <c r="T330" s="22"/>
      <c r="U330" s="22"/>
      <c r="V330" s="22"/>
      <c r="W330" s="22"/>
      <c r="X330" s="16"/>
      <c r="Y330" s="57"/>
    </row>
    <row r="331" spans="17:25" x14ac:dyDescent="0.25">
      <c r="Q331" s="22"/>
      <c r="R331" s="22"/>
      <c r="S331" s="22"/>
      <c r="T331" s="22"/>
      <c r="U331" s="22"/>
      <c r="V331" s="22"/>
      <c r="W331" s="22"/>
      <c r="X331" s="16"/>
      <c r="Y331" s="57"/>
    </row>
    <row r="332" spans="17:25" x14ac:dyDescent="0.25">
      <c r="Q332" s="22"/>
      <c r="R332" s="22"/>
      <c r="S332" s="22"/>
      <c r="T332" s="22"/>
      <c r="U332" s="22"/>
      <c r="V332" s="22"/>
      <c r="W332" s="22"/>
      <c r="X332" s="16"/>
      <c r="Y332" s="57"/>
    </row>
    <row r="333" spans="17:25" x14ac:dyDescent="0.25">
      <c r="Q333" s="22"/>
      <c r="R333" s="22"/>
      <c r="S333" s="22"/>
      <c r="T333" s="22"/>
      <c r="U333" s="22"/>
      <c r="V333" s="22"/>
      <c r="W333" s="22"/>
      <c r="X333" s="16"/>
      <c r="Y333" s="57"/>
    </row>
    <row r="334" spans="17:25" x14ac:dyDescent="0.25">
      <c r="Q334" s="22"/>
      <c r="R334" s="22"/>
      <c r="S334" s="22"/>
      <c r="T334" s="22"/>
      <c r="U334" s="22"/>
      <c r="V334" s="22"/>
      <c r="W334" s="22"/>
      <c r="X334" s="16"/>
      <c r="Y334" s="57"/>
    </row>
    <row r="335" spans="17:25" x14ac:dyDescent="0.25">
      <c r="Q335" s="22"/>
      <c r="R335" s="22"/>
      <c r="S335" s="22"/>
      <c r="T335" s="22"/>
      <c r="U335" s="22"/>
      <c r="V335" s="22"/>
      <c r="W335" s="22"/>
      <c r="X335" s="16"/>
      <c r="Y335" s="57"/>
    </row>
    <row r="336" spans="17:25" x14ac:dyDescent="0.25">
      <c r="Q336" s="22"/>
      <c r="R336" s="22"/>
      <c r="S336" s="22"/>
      <c r="T336" s="22"/>
      <c r="U336" s="22"/>
      <c r="V336" s="22"/>
      <c r="W336" s="22"/>
      <c r="X336" s="16"/>
      <c r="Y336" s="57"/>
    </row>
    <row r="337" spans="17:25" x14ac:dyDescent="0.25">
      <c r="Q337" s="22"/>
      <c r="R337" s="22"/>
      <c r="S337" s="22"/>
      <c r="T337" s="22"/>
      <c r="U337" s="22"/>
      <c r="V337" s="22"/>
      <c r="W337" s="22"/>
      <c r="X337" s="16"/>
      <c r="Y337" s="57"/>
    </row>
    <row r="338" spans="17:25" x14ac:dyDescent="0.25">
      <c r="Q338" s="22"/>
      <c r="R338" s="22"/>
      <c r="S338" s="22"/>
      <c r="T338" s="22"/>
      <c r="U338" s="22"/>
      <c r="V338" s="22"/>
      <c r="W338" s="22"/>
      <c r="X338" s="16"/>
      <c r="Y338" s="57"/>
    </row>
    <row r="339" spans="17:25" x14ac:dyDescent="0.25">
      <c r="Q339" s="22"/>
      <c r="R339" s="22"/>
      <c r="S339" s="22"/>
      <c r="T339" s="22"/>
      <c r="U339" s="22"/>
      <c r="V339" s="22"/>
      <c r="W339" s="22"/>
      <c r="X339" s="16"/>
      <c r="Y339" s="57"/>
    </row>
    <row r="340" spans="17:25" x14ac:dyDescent="0.25">
      <c r="Q340" s="22"/>
      <c r="R340" s="22"/>
      <c r="S340" s="22"/>
      <c r="T340" s="22"/>
      <c r="U340" s="22"/>
      <c r="V340" s="22"/>
      <c r="W340" s="22"/>
      <c r="X340" s="16"/>
      <c r="Y340" s="57"/>
    </row>
    <row r="341" spans="17:25" x14ac:dyDescent="0.25">
      <c r="Q341" s="22"/>
      <c r="R341" s="22"/>
      <c r="S341" s="22"/>
      <c r="T341" s="22"/>
      <c r="U341" s="22"/>
      <c r="V341" s="22"/>
      <c r="W341" s="22"/>
      <c r="X341" s="16"/>
      <c r="Y341" s="57"/>
    </row>
    <row r="342" spans="17:25" x14ac:dyDescent="0.25">
      <c r="Q342" s="22"/>
      <c r="R342" s="22"/>
      <c r="S342" s="22"/>
      <c r="T342" s="22"/>
      <c r="U342" s="22"/>
      <c r="V342" s="22"/>
      <c r="W342" s="22"/>
      <c r="X342" s="16"/>
      <c r="Y342" s="57"/>
    </row>
    <row r="343" spans="17:25" x14ac:dyDescent="0.25">
      <c r="Q343" s="22"/>
      <c r="R343" s="22"/>
      <c r="S343" s="22"/>
      <c r="T343" s="22"/>
      <c r="U343" s="22"/>
      <c r="V343" s="22"/>
      <c r="W343" s="22"/>
      <c r="X343" s="16"/>
      <c r="Y343" s="57"/>
    </row>
    <row r="344" spans="17:25" x14ac:dyDescent="0.25">
      <c r="Q344" s="22"/>
      <c r="R344" s="22"/>
      <c r="S344" s="22"/>
      <c r="T344" s="22"/>
      <c r="U344" s="22"/>
      <c r="V344" s="22"/>
      <c r="W344" s="22"/>
      <c r="X344" s="16"/>
      <c r="Y344" s="57"/>
    </row>
    <row r="345" spans="17:25" x14ac:dyDescent="0.25">
      <c r="Q345" s="22"/>
      <c r="R345" s="22"/>
      <c r="S345" s="22"/>
      <c r="T345" s="22"/>
      <c r="U345" s="22"/>
      <c r="V345" s="22"/>
      <c r="W345" s="22"/>
      <c r="X345" s="16"/>
      <c r="Y345" s="57"/>
    </row>
    <row r="346" spans="17:25" x14ac:dyDescent="0.25">
      <c r="Q346" s="22"/>
      <c r="R346" s="22"/>
      <c r="S346" s="22"/>
      <c r="T346" s="22"/>
      <c r="U346" s="22"/>
      <c r="V346" s="22"/>
      <c r="W346" s="22"/>
      <c r="X346" s="16"/>
      <c r="Y346" s="57"/>
    </row>
    <row r="347" spans="17:25" x14ac:dyDescent="0.25">
      <c r="Q347" s="22"/>
      <c r="R347" s="22"/>
      <c r="S347" s="22"/>
      <c r="T347" s="22"/>
      <c r="U347" s="22"/>
      <c r="V347" s="22"/>
      <c r="W347" s="22"/>
      <c r="X347" s="16"/>
      <c r="Y347" s="57"/>
    </row>
    <row r="348" spans="17:25" x14ac:dyDescent="0.25">
      <c r="Q348" s="22"/>
      <c r="R348" s="22"/>
      <c r="S348" s="22"/>
      <c r="T348" s="22"/>
      <c r="U348" s="22"/>
      <c r="V348" s="22"/>
      <c r="W348" s="22"/>
      <c r="X348" s="16"/>
      <c r="Y348" s="57"/>
    </row>
    <row r="349" spans="17:25" x14ac:dyDescent="0.25">
      <c r="Q349" s="22"/>
      <c r="R349" s="22"/>
      <c r="S349" s="22"/>
      <c r="T349" s="22"/>
      <c r="U349" s="22"/>
      <c r="V349" s="22"/>
      <c r="W349" s="22"/>
      <c r="X349" s="16"/>
      <c r="Y349" s="57"/>
    </row>
    <row r="350" spans="17:25" x14ac:dyDescent="0.25">
      <c r="Q350" s="22"/>
      <c r="R350" s="22"/>
      <c r="S350" s="22"/>
      <c r="T350" s="22"/>
      <c r="U350" s="22"/>
      <c r="V350" s="22"/>
      <c r="W350" s="22"/>
      <c r="X350" s="16"/>
      <c r="Y350" s="57"/>
    </row>
    <row r="351" spans="17:25" x14ac:dyDescent="0.25">
      <c r="Q351" s="22"/>
      <c r="R351" s="22"/>
      <c r="S351" s="22"/>
      <c r="T351" s="22"/>
      <c r="U351" s="22"/>
      <c r="V351" s="22"/>
      <c r="W351" s="22"/>
      <c r="X351" s="16"/>
      <c r="Y351" s="57"/>
    </row>
    <row r="352" spans="17:25" x14ac:dyDescent="0.25">
      <c r="Q352" s="22"/>
      <c r="R352" s="22"/>
      <c r="S352" s="22"/>
      <c r="T352" s="22"/>
      <c r="U352" s="22"/>
      <c r="V352" s="22"/>
      <c r="W352" s="22"/>
      <c r="X352" s="16"/>
      <c r="Y352" s="57"/>
    </row>
    <row r="353" spans="17:25" x14ac:dyDescent="0.25">
      <c r="Q353" s="22"/>
      <c r="R353" s="22"/>
      <c r="S353" s="22"/>
      <c r="T353" s="22"/>
      <c r="U353" s="22"/>
      <c r="V353" s="22"/>
      <c r="W353" s="22"/>
      <c r="X353" s="16"/>
      <c r="Y353" s="57"/>
    </row>
    <row r="354" spans="17:25" x14ac:dyDescent="0.25">
      <c r="Q354" s="22"/>
      <c r="R354" s="22"/>
      <c r="S354" s="22"/>
      <c r="T354" s="22"/>
      <c r="U354" s="22"/>
      <c r="V354" s="22"/>
      <c r="W354" s="22"/>
      <c r="X354" s="16"/>
      <c r="Y354" s="57"/>
    </row>
    <row r="355" spans="17:25" x14ac:dyDescent="0.25">
      <c r="Q355" s="22"/>
      <c r="R355" s="22"/>
      <c r="S355" s="22"/>
      <c r="T355" s="22"/>
      <c r="U355" s="22"/>
      <c r="V355" s="22"/>
      <c r="W355" s="22"/>
      <c r="X355" s="16"/>
      <c r="Y355" s="57"/>
    </row>
    <row r="356" spans="17:25" x14ac:dyDescent="0.25">
      <c r="Q356" s="22"/>
      <c r="R356" s="22"/>
      <c r="S356" s="22"/>
      <c r="T356" s="22"/>
      <c r="U356" s="22"/>
      <c r="V356" s="22"/>
      <c r="W356" s="22"/>
      <c r="X356" s="16"/>
      <c r="Y356" s="57"/>
    </row>
    <row r="357" spans="17:25" x14ac:dyDescent="0.25">
      <c r="Q357" s="22"/>
      <c r="R357" s="22"/>
      <c r="S357" s="22"/>
      <c r="T357" s="22"/>
      <c r="U357" s="22"/>
      <c r="V357" s="22"/>
      <c r="W357" s="22"/>
      <c r="X357" s="16"/>
      <c r="Y357" s="57"/>
    </row>
    <row r="358" spans="17:25" x14ac:dyDescent="0.25">
      <c r="Q358" s="22"/>
      <c r="R358" s="22"/>
      <c r="S358" s="22"/>
      <c r="T358" s="22"/>
      <c r="U358" s="22"/>
      <c r="V358" s="22"/>
      <c r="W358" s="22"/>
      <c r="X358" s="16"/>
      <c r="Y358" s="57"/>
    </row>
    <row r="359" spans="17:25" x14ac:dyDescent="0.25">
      <c r="Q359" s="22"/>
      <c r="R359" s="22"/>
      <c r="S359" s="22"/>
      <c r="T359" s="22"/>
      <c r="U359" s="22"/>
      <c r="V359" s="22"/>
      <c r="W359" s="22"/>
      <c r="X359" s="16"/>
      <c r="Y359" s="57"/>
    </row>
    <row r="360" spans="17:25" x14ac:dyDescent="0.25">
      <c r="Q360" s="22"/>
      <c r="R360" s="22"/>
      <c r="S360" s="22"/>
      <c r="T360" s="22"/>
      <c r="U360" s="22"/>
      <c r="V360" s="22"/>
      <c r="W360" s="22"/>
      <c r="X360" s="16"/>
      <c r="Y360" s="57"/>
    </row>
    <row r="361" spans="17:25" x14ac:dyDescent="0.25">
      <c r="Q361" s="22"/>
      <c r="R361" s="22"/>
      <c r="S361" s="22"/>
      <c r="T361" s="22"/>
      <c r="U361" s="22"/>
      <c r="V361" s="22"/>
      <c r="W361" s="22"/>
      <c r="X361" s="16"/>
      <c r="Y361" s="57"/>
    </row>
    <row r="362" spans="17:25" x14ac:dyDescent="0.25">
      <c r="Q362" s="22"/>
      <c r="R362" s="22"/>
      <c r="S362" s="22"/>
      <c r="T362" s="22"/>
      <c r="U362" s="22"/>
      <c r="V362" s="22"/>
      <c r="W362" s="22"/>
      <c r="X362" s="16"/>
      <c r="Y362" s="57"/>
    </row>
    <row r="363" spans="17:25" x14ac:dyDescent="0.25">
      <c r="Q363" s="22"/>
      <c r="R363" s="22"/>
      <c r="S363" s="22"/>
      <c r="T363" s="22"/>
      <c r="U363" s="22"/>
      <c r="V363" s="22"/>
      <c r="W363" s="22"/>
      <c r="X363" s="16"/>
      <c r="Y363" s="57"/>
    </row>
    <row r="364" spans="17:25" x14ac:dyDescent="0.25">
      <c r="Q364" s="22"/>
      <c r="R364" s="22"/>
      <c r="S364" s="22"/>
      <c r="T364" s="22"/>
      <c r="U364" s="22"/>
      <c r="V364" s="22"/>
      <c r="W364" s="22"/>
      <c r="X364" s="16"/>
      <c r="Y364" s="57"/>
    </row>
    <row r="365" spans="17:25" x14ac:dyDescent="0.25">
      <c r="Q365" s="22"/>
      <c r="R365" s="22"/>
      <c r="S365" s="22"/>
      <c r="T365" s="22"/>
      <c r="U365" s="22"/>
      <c r="V365" s="22"/>
      <c r="W365" s="22"/>
      <c r="X365" s="16"/>
      <c r="Y365" s="57"/>
    </row>
    <row r="366" spans="17:25" x14ac:dyDescent="0.25">
      <c r="Q366" s="22"/>
      <c r="R366" s="22"/>
      <c r="S366" s="22"/>
      <c r="T366" s="22"/>
      <c r="U366" s="22"/>
      <c r="V366" s="22"/>
      <c r="W366" s="22"/>
      <c r="X366" s="16"/>
      <c r="Y366" s="57"/>
    </row>
    <row r="367" spans="17:25" x14ac:dyDescent="0.25">
      <c r="Q367" s="22"/>
      <c r="R367" s="22"/>
      <c r="S367" s="22"/>
      <c r="T367" s="22"/>
      <c r="U367" s="22"/>
      <c r="V367" s="22"/>
      <c r="W367" s="22"/>
      <c r="X367" s="16"/>
      <c r="Y367" s="57"/>
    </row>
    <row r="368" spans="17:25" x14ac:dyDescent="0.25">
      <c r="Q368" s="22"/>
      <c r="R368" s="22"/>
      <c r="S368" s="22"/>
      <c r="T368" s="22"/>
      <c r="U368" s="22"/>
      <c r="V368" s="22"/>
      <c r="W368" s="22"/>
      <c r="X368" s="16"/>
      <c r="Y368" s="57"/>
    </row>
    <row r="369" spans="17:25" x14ac:dyDescent="0.25">
      <c r="Q369" s="22"/>
      <c r="R369" s="22"/>
      <c r="S369" s="22"/>
      <c r="T369" s="22"/>
      <c r="U369" s="22"/>
      <c r="V369" s="22"/>
      <c r="W369" s="22"/>
      <c r="X369" s="16"/>
      <c r="Y369" s="57"/>
    </row>
    <row r="370" spans="17:25" x14ac:dyDescent="0.25">
      <c r="Q370" s="22"/>
      <c r="R370" s="22"/>
      <c r="S370" s="22"/>
      <c r="T370" s="22"/>
      <c r="U370" s="22"/>
      <c r="V370" s="22"/>
      <c r="W370" s="22"/>
      <c r="X370" s="16"/>
      <c r="Y370" s="57"/>
    </row>
    <row r="371" spans="17:25" x14ac:dyDescent="0.25">
      <c r="Q371" s="22"/>
      <c r="R371" s="22"/>
      <c r="S371" s="22"/>
      <c r="T371" s="22"/>
      <c r="U371" s="22"/>
      <c r="V371" s="22"/>
      <c r="W371" s="22"/>
      <c r="X371" s="16"/>
      <c r="Y371" s="57"/>
    </row>
    <row r="372" spans="17:25" x14ac:dyDescent="0.25">
      <c r="Q372" s="22"/>
      <c r="R372" s="22"/>
      <c r="S372" s="22"/>
      <c r="T372" s="22"/>
      <c r="U372" s="22"/>
      <c r="V372" s="22"/>
      <c r="W372" s="22"/>
      <c r="X372" s="16"/>
      <c r="Y372" s="57"/>
    </row>
    <row r="373" spans="17:25" x14ac:dyDescent="0.25">
      <c r="Q373" s="22"/>
      <c r="R373" s="22"/>
      <c r="S373" s="22"/>
      <c r="T373" s="22"/>
      <c r="U373" s="22"/>
      <c r="V373" s="22"/>
      <c r="W373" s="22"/>
      <c r="X373" s="16"/>
      <c r="Y373" s="57"/>
    </row>
    <row r="374" spans="17:25" x14ac:dyDescent="0.25">
      <c r="Q374" s="22"/>
      <c r="R374" s="22"/>
      <c r="S374" s="22"/>
      <c r="T374" s="22"/>
      <c r="U374" s="22"/>
      <c r="V374" s="22"/>
      <c r="W374" s="22"/>
      <c r="X374" s="16"/>
      <c r="Y374" s="57"/>
    </row>
    <row r="375" spans="17:25" x14ac:dyDescent="0.25">
      <c r="Q375" s="22"/>
      <c r="R375" s="22"/>
      <c r="S375" s="22"/>
      <c r="T375" s="22"/>
      <c r="U375" s="22"/>
      <c r="V375" s="22"/>
      <c r="W375" s="22"/>
      <c r="X375" s="16"/>
      <c r="Y375" s="57"/>
    </row>
    <row r="376" spans="17:25" x14ac:dyDescent="0.25">
      <c r="Q376" s="22"/>
      <c r="R376" s="22"/>
      <c r="S376" s="22"/>
      <c r="T376" s="22"/>
      <c r="U376" s="22"/>
      <c r="V376" s="22"/>
      <c r="W376" s="22"/>
      <c r="X376" s="16"/>
      <c r="Y376" s="57"/>
    </row>
    <row r="377" spans="17:25" x14ac:dyDescent="0.25">
      <c r="Q377" s="22"/>
      <c r="R377" s="22"/>
      <c r="S377" s="22"/>
      <c r="T377" s="22"/>
      <c r="U377" s="22"/>
      <c r="V377" s="22"/>
      <c r="W377" s="22"/>
      <c r="X377" s="16"/>
      <c r="Y377" s="57"/>
    </row>
    <row r="378" spans="17:25" x14ac:dyDescent="0.25">
      <c r="Q378" s="22"/>
      <c r="R378" s="22"/>
      <c r="S378" s="22"/>
      <c r="T378" s="22"/>
      <c r="U378" s="22"/>
      <c r="V378" s="22"/>
      <c r="W378" s="22"/>
      <c r="X378" s="16"/>
      <c r="Y378" s="57"/>
    </row>
    <row r="379" spans="17:25" x14ac:dyDescent="0.25">
      <c r="Q379" s="22"/>
      <c r="R379" s="22"/>
      <c r="S379" s="22"/>
      <c r="T379" s="22"/>
      <c r="U379" s="22"/>
      <c r="V379" s="22"/>
      <c r="W379" s="22"/>
      <c r="X379" s="16"/>
      <c r="Y379" s="57"/>
    </row>
    <row r="380" spans="17:25" x14ac:dyDescent="0.25">
      <c r="Q380" s="22"/>
      <c r="R380" s="22"/>
      <c r="S380" s="22"/>
      <c r="T380" s="22"/>
      <c r="U380" s="22"/>
      <c r="V380" s="22"/>
      <c r="W380" s="22"/>
      <c r="X380" s="16"/>
      <c r="Y380" s="57"/>
    </row>
    <row r="381" spans="17:25" x14ac:dyDescent="0.25">
      <c r="Q381" s="22"/>
      <c r="R381" s="22"/>
      <c r="S381" s="22"/>
      <c r="T381" s="22"/>
      <c r="U381" s="22"/>
      <c r="V381" s="22"/>
      <c r="W381" s="22"/>
      <c r="X381" s="16"/>
      <c r="Y381" s="57"/>
    </row>
    <row r="382" spans="17:25" x14ac:dyDescent="0.25">
      <c r="Q382" s="22"/>
      <c r="R382" s="22"/>
      <c r="S382" s="22"/>
      <c r="T382" s="22"/>
      <c r="U382" s="22"/>
      <c r="V382" s="22"/>
      <c r="W382" s="22"/>
      <c r="X382" s="16"/>
      <c r="Y382" s="57"/>
    </row>
    <row r="383" spans="17:25" x14ac:dyDescent="0.25">
      <c r="Q383" s="22"/>
      <c r="R383" s="22"/>
      <c r="S383" s="22"/>
      <c r="T383" s="22"/>
      <c r="U383" s="22"/>
      <c r="V383" s="22"/>
      <c r="W383" s="22"/>
      <c r="X383" s="16"/>
      <c r="Y383" s="57"/>
    </row>
    <row r="384" spans="17:25" x14ac:dyDescent="0.25">
      <c r="Q384" s="22"/>
      <c r="R384" s="22"/>
      <c r="S384" s="22"/>
      <c r="T384" s="22"/>
      <c r="U384" s="22"/>
      <c r="V384" s="22"/>
      <c r="W384" s="22"/>
      <c r="X384" s="16"/>
      <c r="Y384" s="57"/>
    </row>
    <row r="385" spans="17:25" x14ac:dyDescent="0.25">
      <c r="Q385" s="22"/>
      <c r="R385" s="22"/>
      <c r="S385" s="22"/>
      <c r="T385" s="22"/>
      <c r="U385" s="22"/>
      <c r="V385" s="22"/>
      <c r="W385" s="22"/>
      <c r="X385" s="16"/>
      <c r="Y385" s="57"/>
    </row>
    <row r="386" spans="17:25" x14ac:dyDescent="0.25">
      <c r="Q386" s="22"/>
      <c r="R386" s="22"/>
      <c r="S386" s="22"/>
      <c r="T386" s="22"/>
      <c r="U386" s="22"/>
      <c r="V386" s="22"/>
      <c r="W386" s="22"/>
      <c r="X386" s="16"/>
      <c r="Y386" s="57"/>
    </row>
    <row r="387" spans="17:25" x14ac:dyDescent="0.25">
      <c r="Q387" s="22"/>
      <c r="R387" s="22"/>
      <c r="S387" s="22"/>
      <c r="T387" s="22"/>
      <c r="U387" s="22"/>
      <c r="V387" s="22"/>
      <c r="W387" s="22"/>
      <c r="X387" s="16"/>
      <c r="Y387" s="57"/>
    </row>
    <row r="388" spans="17:25" x14ac:dyDescent="0.25">
      <c r="Q388" s="22"/>
      <c r="R388" s="22"/>
      <c r="S388" s="22"/>
      <c r="T388" s="22"/>
      <c r="U388" s="22"/>
      <c r="V388" s="22"/>
      <c r="W388" s="22"/>
      <c r="X388" s="16"/>
      <c r="Y388" s="57"/>
    </row>
    <row r="389" spans="17:25" x14ac:dyDescent="0.25">
      <c r="Q389" s="22"/>
      <c r="R389" s="22"/>
      <c r="S389" s="22"/>
      <c r="T389" s="22"/>
      <c r="U389" s="22"/>
      <c r="V389" s="22"/>
      <c r="W389" s="22"/>
      <c r="X389" s="16"/>
      <c r="Y389" s="57"/>
    </row>
    <row r="390" spans="17:25" x14ac:dyDescent="0.25">
      <c r="Q390" s="22"/>
      <c r="R390" s="22"/>
      <c r="S390" s="22"/>
      <c r="T390" s="22"/>
      <c r="U390" s="22"/>
      <c r="V390" s="22"/>
      <c r="W390" s="22"/>
      <c r="X390" s="16"/>
      <c r="Y390" s="57"/>
    </row>
    <row r="391" spans="17:25" x14ac:dyDescent="0.25">
      <c r="Q391" s="22"/>
      <c r="R391" s="22"/>
      <c r="S391" s="22"/>
      <c r="T391" s="22"/>
      <c r="U391" s="22"/>
      <c r="V391" s="22"/>
      <c r="W391" s="22"/>
      <c r="X391" s="16"/>
      <c r="Y391" s="57"/>
    </row>
    <row r="392" spans="17:25" x14ac:dyDescent="0.25">
      <c r="Q392" s="22"/>
      <c r="R392" s="22"/>
      <c r="S392" s="22"/>
      <c r="T392" s="22"/>
      <c r="U392" s="22"/>
      <c r="V392" s="22"/>
      <c r="W392" s="22"/>
      <c r="X392" s="16"/>
      <c r="Y392" s="57"/>
    </row>
    <row r="393" spans="17:25" x14ac:dyDescent="0.25">
      <c r="Q393" s="22"/>
      <c r="R393" s="22"/>
      <c r="S393" s="22"/>
      <c r="T393" s="22"/>
      <c r="U393" s="22"/>
      <c r="V393" s="22"/>
      <c r="W393" s="22"/>
      <c r="X393" s="16"/>
      <c r="Y393" s="57"/>
    </row>
    <row r="394" spans="17:25" x14ac:dyDescent="0.25">
      <c r="Q394" s="22"/>
      <c r="R394" s="22"/>
      <c r="S394" s="22"/>
      <c r="T394" s="22"/>
      <c r="U394" s="22"/>
      <c r="V394" s="22"/>
      <c r="W394" s="22"/>
      <c r="X394" s="16"/>
      <c r="Y394" s="57"/>
    </row>
    <row r="395" spans="17:25" x14ac:dyDescent="0.25">
      <c r="Q395" s="22"/>
      <c r="R395" s="22"/>
      <c r="S395" s="22"/>
      <c r="T395" s="22"/>
      <c r="U395" s="22"/>
      <c r="V395" s="22"/>
      <c r="W395" s="22"/>
      <c r="X395" s="16"/>
      <c r="Y395" s="57"/>
    </row>
    <row r="396" spans="17:25" x14ac:dyDescent="0.25">
      <c r="Q396" s="22"/>
      <c r="R396" s="22"/>
      <c r="S396" s="22"/>
      <c r="T396" s="22"/>
      <c r="U396" s="22"/>
      <c r="V396" s="22"/>
      <c r="W396" s="22"/>
      <c r="X396" s="16"/>
      <c r="Y396" s="57"/>
    </row>
    <row r="397" spans="17:25" x14ac:dyDescent="0.25">
      <c r="Q397" s="22"/>
      <c r="R397" s="22"/>
      <c r="S397" s="22"/>
      <c r="T397" s="22"/>
      <c r="U397" s="22"/>
      <c r="V397" s="22"/>
      <c r="W397" s="22"/>
      <c r="X397" s="16"/>
      <c r="Y397" s="57"/>
    </row>
    <row r="398" spans="17:25" x14ac:dyDescent="0.25">
      <c r="Q398" s="22"/>
      <c r="R398" s="22"/>
      <c r="S398" s="22"/>
      <c r="T398" s="22"/>
      <c r="U398" s="22"/>
      <c r="V398" s="22"/>
      <c r="W398" s="22"/>
      <c r="X398" s="16"/>
      <c r="Y398" s="57"/>
    </row>
    <row r="399" spans="17:25" x14ac:dyDescent="0.25">
      <c r="Q399" s="22"/>
      <c r="R399" s="22"/>
      <c r="S399" s="22"/>
      <c r="T399" s="22"/>
      <c r="U399" s="22"/>
      <c r="V399" s="22"/>
      <c r="W399" s="22"/>
      <c r="X399" s="16"/>
      <c r="Y399" s="57"/>
    </row>
    <row r="400" spans="17:25" x14ac:dyDescent="0.25">
      <c r="Q400" s="22"/>
      <c r="R400" s="22"/>
      <c r="S400" s="22"/>
      <c r="T400" s="22"/>
      <c r="U400" s="22"/>
      <c r="V400" s="22"/>
      <c r="W400" s="22"/>
      <c r="X400" s="16"/>
      <c r="Y400" s="57"/>
    </row>
    <row r="401" spans="17:25" x14ac:dyDescent="0.25">
      <c r="Q401" s="22"/>
      <c r="R401" s="22"/>
      <c r="S401" s="22"/>
      <c r="T401" s="22"/>
      <c r="U401" s="22"/>
      <c r="V401" s="22"/>
      <c r="W401" s="22"/>
      <c r="X401" s="16"/>
      <c r="Y401" s="57"/>
    </row>
    <row r="402" spans="17:25" x14ac:dyDescent="0.25">
      <c r="Q402" s="22"/>
      <c r="R402" s="22"/>
      <c r="S402" s="22"/>
      <c r="T402" s="22"/>
      <c r="U402" s="22"/>
      <c r="V402" s="22"/>
      <c r="W402" s="22"/>
      <c r="X402" s="16"/>
      <c r="Y402" s="57"/>
    </row>
    <row r="403" spans="17:25" x14ac:dyDescent="0.25">
      <c r="Q403" s="22"/>
      <c r="R403" s="22"/>
      <c r="S403" s="22"/>
      <c r="T403" s="22"/>
      <c r="U403" s="22"/>
      <c r="V403" s="22"/>
      <c r="W403" s="22"/>
      <c r="X403" s="16"/>
      <c r="Y403" s="57"/>
    </row>
    <row r="404" spans="17:25" x14ac:dyDescent="0.25">
      <c r="Q404" s="22"/>
      <c r="R404" s="22"/>
      <c r="S404" s="22"/>
      <c r="T404" s="22"/>
      <c r="U404" s="22"/>
      <c r="V404" s="22"/>
      <c r="W404" s="22"/>
      <c r="X404" s="16"/>
      <c r="Y404" s="57"/>
    </row>
    <row r="405" spans="17:25" x14ac:dyDescent="0.25">
      <c r="Q405" s="22"/>
      <c r="R405" s="22"/>
      <c r="S405" s="22"/>
      <c r="T405" s="22"/>
      <c r="U405" s="22"/>
      <c r="V405" s="22"/>
      <c r="W405" s="22"/>
      <c r="X405" s="16"/>
      <c r="Y405" s="57"/>
    </row>
    <row r="406" spans="17:25" x14ac:dyDescent="0.25">
      <c r="Q406" s="22"/>
      <c r="R406" s="22"/>
      <c r="S406" s="22"/>
      <c r="T406" s="22"/>
      <c r="U406" s="22"/>
      <c r="V406" s="22"/>
      <c r="W406" s="22"/>
      <c r="X406" s="16"/>
      <c r="Y406" s="57"/>
    </row>
    <row r="407" spans="17:25" x14ac:dyDescent="0.25">
      <c r="Q407" s="22"/>
      <c r="R407" s="22"/>
      <c r="S407" s="22"/>
      <c r="T407" s="22"/>
      <c r="U407" s="22"/>
      <c r="V407" s="22"/>
      <c r="W407" s="22"/>
      <c r="X407" s="16"/>
      <c r="Y407" s="57"/>
    </row>
    <row r="408" spans="17:25" x14ac:dyDescent="0.25">
      <c r="Q408" s="22"/>
      <c r="R408" s="22"/>
      <c r="S408" s="22"/>
      <c r="T408" s="22"/>
      <c r="U408" s="22"/>
      <c r="V408" s="22"/>
      <c r="W408" s="22"/>
      <c r="X408" s="16"/>
      <c r="Y408" s="57"/>
    </row>
    <row r="409" spans="17:25" x14ac:dyDescent="0.25">
      <c r="Q409" s="22"/>
      <c r="R409" s="22"/>
      <c r="S409" s="22"/>
      <c r="T409" s="22"/>
      <c r="U409" s="22"/>
      <c r="V409" s="22"/>
      <c r="W409" s="22"/>
      <c r="X409" s="16"/>
      <c r="Y409" s="57"/>
    </row>
    <row r="410" spans="17:25" x14ac:dyDescent="0.25">
      <c r="Q410" s="22"/>
      <c r="R410" s="22"/>
      <c r="S410" s="22"/>
      <c r="T410" s="22"/>
      <c r="U410" s="22"/>
      <c r="V410" s="22"/>
      <c r="W410" s="22"/>
      <c r="X410" s="16"/>
      <c r="Y410" s="57"/>
    </row>
    <row r="411" spans="17:25" x14ac:dyDescent="0.25">
      <c r="Q411" s="22"/>
      <c r="R411" s="22"/>
      <c r="S411" s="22"/>
      <c r="T411" s="22"/>
      <c r="U411" s="22"/>
      <c r="V411" s="22"/>
      <c r="W411" s="22"/>
      <c r="X411" s="16"/>
      <c r="Y411" s="57"/>
    </row>
    <row r="412" spans="17:25" x14ac:dyDescent="0.25">
      <c r="Q412" s="22"/>
      <c r="R412" s="22"/>
      <c r="S412" s="22"/>
      <c r="T412" s="22"/>
      <c r="U412" s="22"/>
      <c r="V412" s="22"/>
      <c r="W412" s="22"/>
      <c r="X412" s="16"/>
      <c r="Y412" s="57"/>
    </row>
    <row r="413" spans="17:25" x14ac:dyDescent="0.25">
      <c r="Q413" s="22"/>
      <c r="R413" s="22"/>
      <c r="S413" s="22"/>
      <c r="T413" s="22"/>
      <c r="U413" s="22"/>
      <c r="V413" s="22"/>
      <c r="W413" s="22"/>
      <c r="X413" s="16"/>
      <c r="Y413" s="57"/>
    </row>
    <row r="414" spans="17:25" x14ac:dyDescent="0.25">
      <c r="Q414" s="22"/>
      <c r="R414" s="22"/>
      <c r="S414" s="22"/>
      <c r="T414" s="22"/>
      <c r="U414" s="22"/>
      <c r="V414" s="22"/>
      <c r="W414" s="22"/>
      <c r="X414" s="16"/>
      <c r="Y414" s="57"/>
    </row>
    <row r="415" spans="17:25" x14ac:dyDescent="0.25">
      <c r="Q415" s="22"/>
      <c r="R415" s="22"/>
      <c r="S415" s="22"/>
      <c r="T415" s="22"/>
      <c r="U415" s="22"/>
      <c r="V415" s="22"/>
      <c r="W415" s="22"/>
      <c r="X415" s="16"/>
      <c r="Y415" s="57"/>
    </row>
    <row r="416" spans="17:25" x14ac:dyDescent="0.25">
      <c r="Q416" s="22"/>
      <c r="R416" s="22"/>
      <c r="S416" s="22"/>
      <c r="T416" s="22"/>
      <c r="U416" s="22"/>
      <c r="V416" s="22"/>
      <c r="W416" s="22"/>
      <c r="X416" s="16"/>
      <c r="Y416" s="57"/>
    </row>
    <row r="417" spans="17:25" x14ac:dyDescent="0.25">
      <c r="Q417" s="22"/>
      <c r="R417" s="22"/>
      <c r="S417" s="22"/>
      <c r="T417" s="22"/>
      <c r="U417" s="22"/>
      <c r="V417" s="22"/>
      <c r="W417" s="22"/>
      <c r="X417" s="16"/>
      <c r="Y417" s="57"/>
    </row>
    <row r="418" spans="17:25" x14ac:dyDescent="0.25">
      <c r="Q418" s="22"/>
      <c r="R418" s="22"/>
      <c r="S418" s="22"/>
      <c r="T418" s="22"/>
      <c r="U418" s="22"/>
      <c r="V418" s="22"/>
      <c r="W418" s="22"/>
      <c r="X418" s="16"/>
      <c r="Y418" s="57"/>
    </row>
    <row r="419" spans="17:25" x14ac:dyDescent="0.25">
      <c r="Q419" s="22"/>
      <c r="R419" s="22"/>
      <c r="S419" s="22"/>
      <c r="T419" s="22"/>
      <c r="U419" s="22"/>
      <c r="V419" s="22"/>
      <c r="W419" s="22"/>
      <c r="X419" s="16"/>
      <c r="Y419" s="57"/>
    </row>
    <row r="420" spans="17:25" x14ac:dyDescent="0.25">
      <c r="Q420" s="22"/>
      <c r="R420" s="22"/>
      <c r="S420" s="22"/>
      <c r="T420" s="22"/>
      <c r="U420" s="22"/>
      <c r="V420" s="22"/>
      <c r="W420" s="22"/>
      <c r="X420" s="16"/>
      <c r="Y420" s="57"/>
    </row>
    <row r="421" spans="17:25" x14ac:dyDescent="0.25">
      <c r="Q421" s="22"/>
      <c r="R421" s="22"/>
      <c r="S421" s="22"/>
      <c r="T421" s="22"/>
      <c r="U421" s="22"/>
      <c r="V421" s="22"/>
      <c r="W421" s="22"/>
      <c r="X421" s="16"/>
      <c r="Y421" s="57"/>
    </row>
    <row r="422" spans="17:25" x14ac:dyDescent="0.25">
      <c r="Q422" s="22"/>
      <c r="R422" s="22"/>
      <c r="S422" s="22"/>
      <c r="T422" s="22"/>
      <c r="U422" s="22"/>
      <c r="V422" s="22"/>
      <c r="W422" s="22"/>
      <c r="X422" s="16"/>
      <c r="Y422" s="57"/>
    </row>
    <row r="423" spans="17:25" x14ac:dyDescent="0.25">
      <c r="Q423" s="22"/>
      <c r="R423" s="22"/>
      <c r="S423" s="22"/>
      <c r="T423" s="22"/>
      <c r="U423" s="22"/>
      <c r="V423" s="22"/>
      <c r="W423" s="22"/>
      <c r="X423" s="16"/>
      <c r="Y423" s="57"/>
    </row>
    <row r="424" spans="17:25" x14ac:dyDescent="0.25">
      <c r="Q424" s="22"/>
      <c r="R424" s="22"/>
      <c r="S424" s="22"/>
      <c r="T424" s="22"/>
      <c r="U424" s="22"/>
      <c r="V424" s="22"/>
      <c r="W424" s="22"/>
      <c r="X424" s="16"/>
      <c r="Y424" s="57"/>
    </row>
    <row r="425" spans="17:25" x14ac:dyDescent="0.25">
      <c r="Q425" s="22"/>
      <c r="R425" s="22"/>
      <c r="S425" s="22"/>
      <c r="T425" s="22"/>
      <c r="U425" s="22"/>
      <c r="V425" s="22"/>
      <c r="W425" s="22"/>
      <c r="X425" s="16"/>
      <c r="Y425" s="57"/>
    </row>
    <row r="426" spans="17:25" x14ac:dyDescent="0.25">
      <c r="Q426" s="22"/>
      <c r="R426" s="22"/>
      <c r="S426" s="22"/>
      <c r="T426" s="22"/>
      <c r="U426" s="22"/>
      <c r="V426" s="22"/>
      <c r="W426" s="22"/>
      <c r="X426" s="16"/>
      <c r="Y426" s="57"/>
    </row>
    <row r="427" spans="17:25" x14ac:dyDescent="0.25">
      <c r="Q427" s="22"/>
      <c r="R427" s="22"/>
      <c r="S427" s="22"/>
      <c r="T427" s="22"/>
      <c r="U427" s="22"/>
      <c r="V427" s="22"/>
      <c r="W427" s="22"/>
      <c r="X427" s="16"/>
      <c r="Y427" s="57"/>
    </row>
    <row r="428" spans="17:25" x14ac:dyDescent="0.25">
      <c r="Q428" s="22"/>
      <c r="R428" s="22"/>
      <c r="S428" s="22"/>
      <c r="T428" s="22"/>
      <c r="U428" s="22"/>
      <c r="V428" s="22"/>
      <c r="W428" s="22"/>
      <c r="X428" s="16"/>
      <c r="Y428" s="57"/>
    </row>
    <row r="429" spans="17:25" x14ac:dyDescent="0.25">
      <c r="Q429" s="22"/>
      <c r="R429" s="22"/>
      <c r="S429" s="22"/>
      <c r="T429" s="22"/>
      <c r="U429" s="22"/>
      <c r="V429" s="22"/>
      <c r="W429" s="22"/>
      <c r="X429" s="16"/>
      <c r="Y429" s="57"/>
    </row>
    <row r="430" spans="17:25" x14ac:dyDescent="0.25">
      <c r="Q430" s="22"/>
      <c r="R430" s="22"/>
      <c r="S430" s="22"/>
      <c r="T430" s="22"/>
      <c r="U430" s="22"/>
      <c r="V430" s="22"/>
      <c r="W430" s="22"/>
      <c r="X430" s="16"/>
      <c r="Y430" s="57"/>
    </row>
    <row r="431" spans="17:25" x14ac:dyDescent="0.25">
      <c r="Q431" s="22"/>
      <c r="R431" s="22"/>
      <c r="S431" s="22"/>
      <c r="T431" s="22"/>
      <c r="U431" s="22"/>
      <c r="V431" s="22"/>
      <c r="W431" s="22"/>
      <c r="X431" s="16"/>
      <c r="Y431" s="57"/>
    </row>
    <row r="432" spans="17:25" x14ac:dyDescent="0.25">
      <c r="Q432" s="22"/>
      <c r="R432" s="22"/>
      <c r="S432" s="22"/>
      <c r="T432" s="22"/>
      <c r="U432" s="22"/>
      <c r="V432" s="22"/>
      <c r="W432" s="22"/>
      <c r="X432" s="16"/>
      <c r="Y432" s="57"/>
    </row>
    <row r="433" spans="17:25" x14ac:dyDescent="0.25">
      <c r="Q433" s="22"/>
      <c r="R433" s="22"/>
      <c r="S433" s="22"/>
      <c r="T433" s="22"/>
      <c r="U433" s="22"/>
      <c r="V433" s="22"/>
      <c r="W433" s="22"/>
      <c r="X433" s="16"/>
      <c r="Y433" s="57"/>
    </row>
    <row r="434" spans="17:25" x14ac:dyDescent="0.25">
      <c r="Q434" s="22"/>
      <c r="R434" s="22"/>
      <c r="S434" s="22"/>
      <c r="T434" s="22"/>
      <c r="U434" s="22"/>
      <c r="V434" s="22"/>
      <c r="W434" s="22"/>
      <c r="X434" s="16"/>
      <c r="Y434" s="57"/>
    </row>
    <row r="435" spans="17:25" x14ac:dyDescent="0.25">
      <c r="Q435" s="22"/>
      <c r="R435" s="22"/>
      <c r="S435" s="22"/>
      <c r="T435" s="22"/>
      <c r="U435" s="22"/>
      <c r="V435" s="22"/>
      <c r="W435" s="22"/>
      <c r="X435" s="16"/>
      <c r="Y435" s="57"/>
    </row>
    <row r="436" spans="17:25" x14ac:dyDescent="0.25">
      <c r="Q436" s="22"/>
      <c r="R436" s="22"/>
      <c r="S436" s="22"/>
      <c r="T436" s="22"/>
      <c r="U436" s="22"/>
      <c r="V436" s="22"/>
      <c r="W436" s="22"/>
      <c r="X436" s="16"/>
      <c r="Y436" s="57"/>
    </row>
    <row r="437" spans="17:25" x14ac:dyDescent="0.25">
      <c r="Q437" s="22"/>
      <c r="R437" s="22"/>
      <c r="S437" s="22"/>
      <c r="T437" s="22"/>
      <c r="U437" s="22"/>
      <c r="V437" s="22"/>
      <c r="W437" s="22"/>
      <c r="X437" s="16"/>
      <c r="Y437" s="57"/>
    </row>
    <row r="438" spans="17:25" x14ac:dyDescent="0.25">
      <c r="Q438" s="22"/>
      <c r="R438" s="22"/>
      <c r="S438" s="22"/>
      <c r="T438" s="22"/>
      <c r="U438" s="22"/>
      <c r="V438" s="22"/>
      <c r="W438" s="22"/>
      <c r="X438" s="16"/>
      <c r="Y438" s="57"/>
    </row>
    <row r="439" spans="17:25" x14ac:dyDescent="0.25">
      <c r="Q439" s="22"/>
      <c r="R439" s="22"/>
      <c r="S439" s="22"/>
      <c r="T439" s="22"/>
      <c r="U439" s="22"/>
      <c r="V439" s="22"/>
      <c r="W439" s="22"/>
      <c r="X439" s="16"/>
      <c r="Y439" s="57"/>
    </row>
    <row r="440" spans="17:25" x14ac:dyDescent="0.25">
      <c r="Q440" s="22"/>
      <c r="R440" s="22"/>
      <c r="S440" s="22"/>
      <c r="T440" s="22"/>
      <c r="U440" s="22"/>
      <c r="V440" s="22"/>
      <c r="W440" s="22"/>
      <c r="X440" s="16"/>
      <c r="Y440" s="57"/>
    </row>
    <row r="441" spans="17:25" x14ac:dyDescent="0.25">
      <c r="Q441" s="22"/>
      <c r="R441" s="22"/>
      <c r="S441" s="22"/>
      <c r="T441" s="22"/>
      <c r="U441" s="22"/>
      <c r="V441" s="22"/>
      <c r="W441" s="22"/>
      <c r="X441" s="16"/>
      <c r="Y441" s="57"/>
    </row>
    <row r="442" spans="17:25" x14ac:dyDescent="0.25">
      <c r="Q442" s="22"/>
      <c r="R442" s="22"/>
      <c r="S442" s="22"/>
      <c r="T442" s="22"/>
      <c r="U442" s="22"/>
      <c r="V442" s="22"/>
      <c r="W442" s="22"/>
      <c r="X442" s="16"/>
      <c r="Y442" s="57"/>
    </row>
    <row r="443" spans="17:25" x14ac:dyDescent="0.25">
      <c r="Q443" s="22"/>
      <c r="R443" s="22"/>
      <c r="S443" s="22"/>
      <c r="T443" s="22"/>
      <c r="U443" s="22"/>
      <c r="V443" s="22"/>
      <c r="W443" s="22"/>
      <c r="X443" s="16"/>
      <c r="Y443" s="57"/>
    </row>
    <row r="444" spans="17:25" x14ac:dyDescent="0.25">
      <c r="Q444" s="22"/>
      <c r="R444" s="22"/>
      <c r="S444" s="22"/>
      <c r="T444" s="22"/>
      <c r="U444" s="22"/>
      <c r="V444" s="22"/>
      <c r="W444" s="22"/>
      <c r="X444" s="16"/>
      <c r="Y444" s="57"/>
    </row>
    <row r="445" spans="17:25" x14ac:dyDescent="0.25">
      <c r="Q445" s="22"/>
      <c r="R445" s="22"/>
      <c r="S445" s="22"/>
      <c r="T445" s="22"/>
      <c r="U445" s="22"/>
      <c r="V445" s="22"/>
      <c r="W445" s="22"/>
      <c r="X445" s="16"/>
      <c r="Y445" s="57"/>
    </row>
    <row r="446" spans="17:25" x14ac:dyDescent="0.25">
      <c r="Q446" s="22"/>
      <c r="R446" s="22"/>
      <c r="S446" s="22"/>
      <c r="T446" s="22"/>
      <c r="U446" s="22"/>
      <c r="V446" s="22"/>
      <c r="W446" s="22"/>
      <c r="X446" s="16"/>
      <c r="Y446" s="57"/>
    </row>
    <row r="447" spans="17:25" x14ac:dyDescent="0.25">
      <c r="Q447" s="22"/>
      <c r="R447" s="22"/>
      <c r="S447" s="22"/>
      <c r="T447" s="22"/>
      <c r="U447" s="22"/>
      <c r="V447" s="22"/>
      <c r="W447" s="22"/>
      <c r="X447" s="16"/>
      <c r="Y447" s="57"/>
    </row>
    <row r="448" spans="17:25" x14ac:dyDescent="0.25">
      <c r="Q448" s="22"/>
      <c r="R448" s="22"/>
      <c r="S448" s="22"/>
      <c r="T448" s="22"/>
      <c r="U448" s="22"/>
      <c r="V448" s="22"/>
      <c r="W448" s="22"/>
      <c r="X448" s="16"/>
      <c r="Y448" s="57"/>
    </row>
    <row r="449" spans="17:25" x14ac:dyDescent="0.25">
      <c r="Q449" s="22"/>
      <c r="R449" s="22"/>
      <c r="S449" s="22"/>
      <c r="T449" s="22"/>
      <c r="U449" s="22"/>
      <c r="V449" s="22"/>
      <c r="W449" s="22"/>
      <c r="X449" s="16"/>
      <c r="Y449" s="57"/>
    </row>
    <row r="450" spans="17:25" x14ac:dyDescent="0.25">
      <c r="Q450" s="22"/>
      <c r="R450" s="22"/>
      <c r="S450" s="22"/>
      <c r="T450" s="22"/>
      <c r="U450" s="22"/>
      <c r="V450" s="22"/>
      <c r="W450" s="22"/>
      <c r="X450" s="16"/>
      <c r="Y450" s="57"/>
    </row>
    <row r="451" spans="17:25" x14ac:dyDescent="0.25">
      <c r="Q451" s="22"/>
      <c r="R451" s="22"/>
      <c r="S451" s="22"/>
      <c r="T451" s="22"/>
      <c r="U451" s="22"/>
      <c r="V451" s="22"/>
      <c r="W451" s="22"/>
      <c r="X451" s="16"/>
      <c r="Y451" s="57"/>
    </row>
    <row r="452" spans="17:25" x14ac:dyDescent="0.25">
      <c r="Q452" s="22"/>
      <c r="R452" s="22"/>
      <c r="S452" s="22"/>
      <c r="T452" s="22"/>
      <c r="U452" s="22"/>
      <c r="V452" s="22"/>
      <c r="W452" s="22"/>
      <c r="X452" s="16"/>
      <c r="Y452" s="57"/>
    </row>
    <row r="453" spans="17:25" x14ac:dyDescent="0.25">
      <c r="Q453" s="22"/>
      <c r="R453" s="22"/>
      <c r="S453" s="22"/>
      <c r="T453" s="22"/>
      <c r="U453" s="22"/>
      <c r="V453" s="22"/>
      <c r="W453" s="22"/>
      <c r="X453" s="16"/>
      <c r="Y453" s="57"/>
    </row>
    <row r="454" spans="17:25" x14ac:dyDescent="0.25">
      <c r="Q454" s="22"/>
      <c r="R454" s="22"/>
      <c r="S454" s="22"/>
      <c r="T454" s="22"/>
      <c r="U454" s="22"/>
      <c r="V454" s="22"/>
      <c r="W454" s="22"/>
      <c r="X454" s="16"/>
      <c r="Y454" s="57"/>
    </row>
    <row r="455" spans="17:25" x14ac:dyDescent="0.25">
      <c r="Q455" s="22"/>
      <c r="R455" s="22"/>
      <c r="S455" s="22"/>
      <c r="T455" s="22"/>
      <c r="U455" s="22"/>
      <c r="V455" s="22"/>
      <c r="W455" s="22"/>
      <c r="X455" s="16"/>
      <c r="Y455" s="57"/>
    </row>
    <row r="456" spans="17:25" x14ac:dyDescent="0.25">
      <c r="Q456" s="22"/>
      <c r="R456" s="22"/>
      <c r="S456" s="22"/>
      <c r="T456" s="22"/>
      <c r="U456" s="22"/>
      <c r="V456" s="22"/>
      <c r="W456" s="22"/>
      <c r="X456" s="16"/>
      <c r="Y456" s="57"/>
    </row>
    <row r="457" spans="17:25" x14ac:dyDescent="0.25">
      <c r="Q457" s="22"/>
      <c r="R457" s="22"/>
      <c r="S457" s="22"/>
      <c r="T457" s="22"/>
      <c r="U457" s="22"/>
      <c r="V457" s="22"/>
      <c r="W457" s="22"/>
      <c r="X457" s="16"/>
      <c r="Y457" s="57"/>
    </row>
    <row r="458" spans="17:25" x14ac:dyDescent="0.25">
      <c r="Q458" s="22"/>
      <c r="R458" s="22"/>
      <c r="S458" s="22"/>
      <c r="T458" s="22"/>
      <c r="U458" s="22"/>
      <c r="V458" s="22"/>
      <c r="W458" s="22"/>
      <c r="X458" s="16"/>
      <c r="Y458" s="57"/>
    </row>
    <row r="459" spans="17:25" x14ac:dyDescent="0.25">
      <c r="Q459" s="22"/>
      <c r="R459" s="22"/>
      <c r="S459" s="22"/>
      <c r="T459" s="22"/>
      <c r="U459" s="22"/>
      <c r="V459" s="22"/>
      <c r="W459" s="22"/>
      <c r="X459" s="16"/>
      <c r="Y459" s="57"/>
    </row>
    <row r="460" spans="17:25" x14ac:dyDescent="0.25">
      <c r="Q460" s="22"/>
      <c r="R460" s="22"/>
      <c r="S460" s="22"/>
      <c r="T460" s="22"/>
      <c r="U460" s="22"/>
      <c r="V460" s="22"/>
      <c r="W460" s="22"/>
      <c r="X460" s="16"/>
      <c r="Y460" s="57"/>
    </row>
    <row r="461" spans="17:25" x14ac:dyDescent="0.25">
      <c r="Q461" s="22"/>
      <c r="R461" s="22"/>
      <c r="S461" s="22"/>
      <c r="T461" s="22"/>
      <c r="U461" s="22"/>
      <c r="V461" s="22"/>
      <c r="W461" s="22"/>
      <c r="X461" s="16"/>
      <c r="Y461" s="57"/>
    </row>
    <row r="462" spans="17:25" x14ac:dyDescent="0.25">
      <c r="Q462" s="22"/>
      <c r="R462" s="22"/>
      <c r="S462" s="22"/>
      <c r="T462" s="22"/>
      <c r="U462" s="22"/>
      <c r="V462" s="22"/>
      <c r="W462" s="22"/>
      <c r="X462" s="16"/>
      <c r="Y462" s="57"/>
    </row>
    <row r="463" spans="17:25" x14ac:dyDescent="0.25">
      <c r="Q463" s="22"/>
      <c r="R463" s="22"/>
      <c r="S463" s="22"/>
      <c r="T463" s="22"/>
      <c r="U463" s="22"/>
      <c r="V463" s="22"/>
      <c r="W463" s="22"/>
      <c r="X463" s="16"/>
      <c r="Y463" s="57"/>
    </row>
    <row r="464" spans="17:25" x14ac:dyDescent="0.25">
      <c r="Q464" s="22"/>
      <c r="R464" s="22"/>
      <c r="S464" s="22"/>
      <c r="T464" s="22"/>
      <c r="U464" s="22"/>
      <c r="V464" s="22"/>
      <c r="W464" s="22"/>
      <c r="X464" s="16"/>
      <c r="Y464" s="57"/>
    </row>
    <row r="465" spans="17:25" x14ac:dyDescent="0.25">
      <c r="Q465" s="22"/>
      <c r="R465" s="22"/>
      <c r="S465" s="22"/>
      <c r="T465" s="22"/>
      <c r="U465" s="22"/>
      <c r="V465" s="22"/>
      <c r="W465" s="22"/>
      <c r="X465" s="16"/>
      <c r="Y465" s="57"/>
    </row>
    <row r="466" spans="17:25" x14ac:dyDescent="0.25">
      <c r="Q466" s="22"/>
      <c r="R466" s="22"/>
      <c r="S466" s="22"/>
      <c r="T466" s="22"/>
      <c r="U466" s="22"/>
      <c r="V466" s="22"/>
      <c r="W466" s="22"/>
      <c r="X466" s="16"/>
      <c r="Y466" s="57"/>
    </row>
    <row r="467" spans="17:25" x14ac:dyDescent="0.25">
      <c r="Q467" s="22"/>
      <c r="R467" s="22"/>
      <c r="S467" s="22"/>
      <c r="T467" s="22"/>
      <c r="U467" s="22"/>
      <c r="V467" s="22"/>
      <c r="W467" s="22"/>
      <c r="X467" s="16"/>
      <c r="Y467" s="57"/>
    </row>
    <row r="468" spans="17:25" x14ac:dyDescent="0.25">
      <c r="Q468" s="22"/>
      <c r="R468" s="22"/>
      <c r="S468" s="22"/>
      <c r="T468" s="22"/>
      <c r="U468" s="22"/>
      <c r="V468" s="22"/>
      <c r="W468" s="22"/>
      <c r="X468" s="16"/>
      <c r="Y468" s="57"/>
    </row>
    <row r="469" spans="17:25" x14ac:dyDescent="0.25">
      <c r="Q469" s="22"/>
      <c r="R469" s="22"/>
      <c r="S469" s="22"/>
      <c r="T469" s="22"/>
      <c r="U469" s="22"/>
      <c r="V469" s="22"/>
      <c r="W469" s="22"/>
      <c r="X469" s="16"/>
      <c r="Y469" s="57"/>
    </row>
    <row r="470" spans="17:25" x14ac:dyDescent="0.25">
      <c r="Q470" s="22"/>
      <c r="R470" s="22"/>
      <c r="S470" s="22"/>
      <c r="T470" s="22"/>
      <c r="U470" s="22"/>
      <c r="V470" s="22"/>
      <c r="W470" s="22"/>
      <c r="X470" s="16"/>
      <c r="Y470" s="57"/>
    </row>
    <row r="471" spans="17:25" x14ac:dyDescent="0.25">
      <c r="Q471" s="22"/>
      <c r="R471" s="22"/>
      <c r="S471" s="22"/>
      <c r="T471" s="22"/>
      <c r="U471" s="22"/>
      <c r="V471" s="22"/>
      <c r="W471" s="22"/>
      <c r="X471" s="16"/>
      <c r="Y471" s="57"/>
    </row>
    <row r="472" spans="17:25" x14ac:dyDescent="0.25">
      <c r="Q472" s="22"/>
      <c r="R472" s="22"/>
      <c r="S472" s="22"/>
      <c r="T472" s="22"/>
      <c r="U472" s="22"/>
      <c r="V472" s="22"/>
      <c r="W472" s="22"/>
      <c r="X472" s="16"/>
      <c r="Y472" s="57"/>
    </row>
    <row r="473" spans="17:25" x14ac:dyDescent="0.25">
      <c r="Q473" s="22"/>
      <c r="R473" s="22"/>
      <c r="S473" s="22"/>
      <c r="T473" s="22"/>
      <c r="U473" s="22"/>
      <c r="V473" s="22"/>
      <c r="W473" s="22"/>
      <c r="X473" s="16"/>
      <c r="Y473" s="57"/>
    </row>
    <row r="474" spans="17:25" x14ac:dyDescent="0.25">
      <c r="Q474" s="22"/>
      <c r="R474" s="22"/>
      <c r="S474" s="22"/>
      <c r="T474" s="22"/>
      <c r="U474" s="22"/>
      <c r="V474" s="22"/>
      <c r="W474" s="22"/>
      <c r="X474" s="16"/>
      <c r="Y474" s="57"/>
    </row>
    <row r="475" spans="17:25" x14ac:dyDescent="0.25">
      <c r="Q475" s="22"/>
      <c r="R475" s="22"/>
      <c r="S475" s="22"/>
      <c r="T475" s="22"/>
      <c r="U475" s="22"/>
      <c r="V475" s="22"/>
      <c r="W475" s="22"/>
      <c r="X475" s="16"/>
      <c r="Y475" s="57"/>
    </row>
    <row r="476" spans="17:25" x14ac:dyDescent="0.25">
      <c r="Q476" s="22"/>
      <c r="R476" s="22"/>
      <c r="S476" s="22"/>
      <c r="T476" s="22"/>
      <c r="U476" s="22"/>
      <c r="V476" s="22"/>
      <c r="W476" s="22"/>
      <c r="X476" s="16"/>
      <c r="Y476" s="57"/>
    </row>
    <row r="477" spans="17:25" x14ac:dyDescent="0.25">
      <c r="Q477" s="22"/>
      <c r="R477" s="22"/>
      <c r="S477" s="22"/>
      <c r="T477" s="22"/>
      <c r="U477" s="22"/>
      <c r="V477" s="22"/>
      <c r="W477" s="22"/>
      <c r="X477" s="16"/>
      <c r="Y477" s="57"/>
    </row>
    <row r="478" spans="17:25" x14ac:dyDescent="0.25">
      <c r="Q478" s="22"/>
      <c r="R478" s="22"/>
      <c r="S478" s="22"/>
      <c r="T478" s="22"/>
      <c r="U478" s="22"/>
      <c r="V478" s="22"/>
      <c r="W478" s="22"/>
      <c r="X478" s="16"/>
      <c r="Y478" s="57"/>
    </row>
    <row r="479" spans="17:25" x14ac:dyDescent="0.25">
      <c r="Q479" s="22"/>
      <c r="R479" s="22"/>
      <c r="S479" s="22"/>
      <c r="T479" s="22"/>
      <c r="U479" s="22"/>
      <c r="V479" s="22"/>
      <c r="W479" s="22"/>
      <c r="X479" s="16"/>
      <c r="Y479" s="57"/>
    </row>
    <row r="480" spans="17:25" x14ac:dyDescent="0.25">
      <c r="Q480" s="22"/>
      <c r="R480" s="22"/>
      <c r="S480" s="22"/>
      <c r="T480" s="22"/>
      <c r="U480" s="22"/>
      <c r="V480" s="22"/>
      <c r="W480" s="22"/>
      <c r="X480" s="16"/>
      <c r="Y480" s="57"/>
    </row>
    <row r="481" spans="17:25" x14ac:dyDescent="0.25">
      <c r="Q481" s="22"/>
      <c r="R481" s="22"/>
      <c r="S481" s="22"/>
      <c r="T481" s="22"/>
      <c r="U481" s="22"/>
      <c r="V481" s="22"/>
      <c r="W481" s="22"/>
      <c r="X481" s="16"/>
      <c r="Y481" s="57"/>
    </row>
    <row r="482" spans="17:25" x14ac:dyDescent="0.25">
      <c r="Q482" s="22"/>
      <c r="R482" s="22"/>
      <c r="S482" s="22"/>
      <c r="T482" s="22"/>
      <c r="U482" s="22"/>
      <c r="V482" s="22"/>
      <c r="W482" s="22"/>
      <c r="X482" s="16"/>
      <c r="Y482" s="57"/>
    </row>
    <row r="483" spans="17:25" x14ac:dyDescent="0.25">
      <c r="Q483" s="22"/>
      <c r="R483" s="22"/>
      <c r="S483" s="22"/>
      <c r="T483" s="22"/>
      <c r="U483" s="22"/>
      <c r="V483" s="22"/>
      <c r="W483" s="22"/>
      <c r="X483" s="16"/>
      <c r="Y483" s="57"/>
    </row>
    <row r="484" spans="17:25" x14ac:dyDescent="0.25">
      <c r="Q484" s="22"/>
      <c r="R484" s="22"/>
      <c r="S484" s="22"/>
      <c r="T484" s="22"/>
      <c r="U484" s="22"/>
      <c r="V484" s="22"/>
      <c r="W484" s="22"/>
      <c r="X484" s="16"/>
      <c r="Y484" s="57"/>
    </row>
    <row r="485" spans="17:25" x14ac:dyDescent="0.25">
      <c r="Q485" s="22"/>
      <c r="R485" s="22"/>
      <c r="S485" s="22"/>
      <c r="T485" s="22"/>
      <c r="U485" s="22"/>
      <c r="V485" s="22"/>
      <c r="W485" s="22"/>
      <c r="X485" s="16"/>
      <c r="Y485" s="57"/>
    </row>
    <row r="486" spans="17:25" x14ac:dyDescent="0.25">
      <c r="Q486" s="22"/>
      <c r="R486" s="22"/>
      <c r="S486" s="22"/>
      <c r="T486" s="22"/>
      <c r="U486" s="22"/>
      <c r="V486" s="22"/>
      <c r="W486" s="22"/>
      <c r="X486" s="16"/>
      <c r="Y486" s="57"/>
    </row>
    <row r="487" spans="17:25" x14ac:dyDescent="0.25">
      <c r="Q487" s="22"/>
      <c r="R487" s="22"/>
      <c r="S487" s="22"/>
      <c r="T487" s="22"/>
      <c r="U487" s="22"/>
      <c r="V487" s="22"/>
      <c r="W487" s="22"/>
      <c r="X487" s="16"/>
      <c r="Y487" s="57"/>
    </row>
    <row r="488" spans="17:25" x14ac:dyDescent="0.25">
      <c r="Q488" s="22"/>
      <c r="R488" s="22"/>
      <c r="S488" s="22"/>
      <c r="T488" s="22"/>
      <c r="U488" s="22"/>
      <c r="V488" s="22"/>
      <c r="W488" s="22"/>
      <c r="X488" s="16"/>
      <c r="Y488" s="57"/>
    </row>
    <row r="489" spans="17:25" x14ac:dyDescent="0.25">
      <c r="Q489" s="22"/>
      <c r="R489" s="22"/>
      <c r="S489" s="22"/>
      <c r="T489" s="22"/>
      <c r="U489" s="22"/>
      <c r="V489" s="22"/>
      <c r="W489" s="22"/>
      <c r="X489" s="16"/>
      <c r="Y489" s="57"/>
    </row>
    <row r="490" spans="17:25" x14ac:dyDescent="0.25">
      <c r="Q490" s="22"/>
      <c r="R490" s="22"/>
      <c r="S490" s="22"/>
      <c r="T490" s="22"/>
      <c r="U490" s="22"/>
      <c r="V490" s="22"/>
      <c r="W490" s="22"/>
      <c r="X490" s="16"/>
      <c r="Y490" s="57"/>
    </row>
    <row r="491" spans="17:25" x14ac:dyDescent="0.25">
      <c r="Q491" s="22"/>
      <c r="R491" s="22"/>
      <c r="S491" s="22"/>
      <c r="T491" s="22"/>
      <c r="U491" s="22"/>
      <c r="V491" s="22"/>
      <c r="W491" s="22"/>
      <c r="X491" s="16"/>
      <c r="Y491" s="57"/>
    </row>
    <row r="492" spans="17:25" x14ac:dyDescent="0.25">
      <c r="Q492" s="22"/>
      <c r="R492" s="22"/>
      <c r="S492" s="22"/>
      <c r="T492" s="22"/>
      <c r="U492" s="22"/>
      <c r="V492" s="22"/>
      <c r="W492" s="22"/>
      <c r="X492" s="16"/>
      <c r="Y492" s="57"/>
    </row>
    <row r="493" spans="17:25" x14ac:dyDescent="0.25">
      <c r="Q493" s="22"/>
      <c r="R493" s="22"/>
      <c r="S493" s="22"/>
      <c r="T493" s="22"/>
      <c r="U493" s="22"/>
      <c r="V493" s="22"/>
      <c r="W493" s="22"/>
      <c r="X493" s="16"/>
      <c r="Y493" s="57"/>
    </row>
    <row r="494" spans="17:25" x14ac:dyDescent="0.25">
      <c r="Q494" s="22"/>
      <c r="R494" s="22"/>
      <c r="S494" s="22"/>
      <c r="T494" s="22"/>
      <c r="U494" s="22"/>
      <c r="V494" s="22"/>
      <c r="W494" s="22"/>
      <c r="X494" s="16"/>
      <c r="Y494" s="57"/>
    </row>
    <row r="495" spans="17:25" x14ac:dyDescent="0.25">
      <c r="Q495" s="22"/>
      <c r="R495" s="22"/>
      <c r="S495" s="22"/>
      <c r="T495" s="22"/>
      <c r="U495" s="22"/>
      <c r="V495" s="22"/>
      <c r="W495" s="22"/>
      <c r="X495" s="16"/>
      <c r="Y495" s="57"/>
    </row>
    <row r="496" spans="17:25" x14ac:dyDescent="0.25">
      <c r="Q496" s="22"/>
      <c r="R496" s="22"/>
      <c r="S496" s="22"/>
      <c r="T496" s="22"/>
      <c r="U496" s="22"/>
      <c r="V496" s="22"/>
      <c r="W496" s="22"/>
      <c r="X496" s="16"/>
      <c r="Y496" s="57"/>
    </row>
    <row r="497" spans="17:25" x14ac:dyDescent="0.25">
      <c r="Q497" s="22"/>
      <c r="R497" s="22"/>
      <c r="S497" s="22"/>
      <c r="T497" s="22"/>
      <c r="U497" s="22"/>
      <c r="V497" s="22"/>
      <c r="W497" s="22"/>
      <c r="X497" s="16"/>
      <c r="Y497" s="57"/>
    </row>
    <row r="498" spans="17:25" x14ac:dyDescent="0.25">
      <c r="Q498" s="22"/>
      <c r="R498" s="22"/>
      <c r="S498" s="22"/>
      <c r="T498" s="22"/>
      <c r="U498" s="22"/>
      <c r="V498" s="22"/>
      <c r="W498" s="22"/>
      <c r="X498" s="16"/>
      <c r="Y498" s="57"/>
    </row>
    <row r="499" spans="17:25" x14ac:dyDescent="0.25">
      <c r="Q499" s="22"/>
      <c r="R499" s="22"/>
      <c r="S499" s="22"/>
      <c r="T499" s="22"/>
      <c r="U499" s="22"/>
      <c r="V499" s="22"/>
      <c r="W499" s="22"/>
      <c r="X499" s="16"/>
      <c r="Y499" s="57"/>
    </row>
    <row r="500" spans="17:25" x14ac:dyDescent="0.25">
      <c r="Q500" s="22"/>
      <c r="R500" s="22"/>
      <c r="S500" s="22"/>
      <c r="T500" s="22"/>
      <c r="U500" s="22"/>
      <c r="V500" s="22"/>
      <c r="W500" s="22"/>
      <c r="X500" s="16"/>
      <c r="Y500" s="57"/>
    </row>
    <row r="501" spans="17:25" x14ac:dyDescent="0.25">
      <c r="Q501" s="22"/>
      <c r="R501" s="22"/>
      <c r="S501" s="22"/>
      <c r="T501" s="22"/>
      <c r="U501" s="22"/>
      <c r="V501" s="22"/>
      <c r="W501" s="22"/>
      <c r="X501" s="16"/>
      <c r="Y501" s="57"/>
    </row>
    <row r="502" spans="17:25" x14ac:dyDescent="0.25">
      <c r="Q502" s="22"/>
      <c r="R502" s="22"/>
      <c r="S502" s="22"/>
      <c r="T502" s="22"/>
      <c r="U502" s="22"/>
      <c r="V502" s="22"/>
      <c r="W502" s="22"/>
      <c r="X502" s="16"/>
      <c r="Y502" s="57"/>
    </row>
    <row r="503" spans="17:25" x14ac:dyDescent="0.25">
      <c r="Q503" s="22"/>
      <c r="R503" s="22"/>
      <c r="S503" s="22"/>
      <c r="T503" s="22"/>
      <c r="U503" s="22"/>
      <c r="V503" s="22"/>
      <c r="W503" s="22"/>
      <c r="X503" s="16"/>
      <c r="Y503" s="57"/>
    </row>
    <row r="504" spans="17:25" x14ac:dyDescent="0.25">
      <c r="Q504" s="22"/>
      <c r="R504" s="22"/>
      <c r="S504" s="22"/>
      <c r="T504" s="22"/>
      <c r="U504" s="22"/>
      <c r="V504" s="22"/>
      <c r="W504" s="22"/>
      <c r="X504" s="16"/>
      <c r="Y504" s="57"/>
    </row>
    <row r="505" spans="17:25" x14ac:dyDescent="0.25">
      <c r="Q505" s="22"/>
      <c r="R505" s="22"/>
      <c r="S505" s="22"/>
      <c r="T505" s="22"/>
      <c r="U505" s="22"/>
      <c r="V505" s="22"/>
      <c r="W505" s="22"/>
      <c r="X505" s="16"/>
      <c r="Y505" s="57"/>
    </row>
    <row r="506" spans="17:25" x14ac:dyDescent="0.25">
      <c r="Q506" s="22"/>
      <c r="R506" s="22"/>
      <c r="S506" s="22"/>
      <c r="T506" s="22"/>
      <c r="U506" s="22"/>
      <c r="V506" s="22"/>
      <c r="W506" s="22"/>
      <c r="X506" s="16"/>
      <c r="Y506" s="57"/>
    </row>
    <row r="507" spans="17:25" x14ac:dyDescent="0.25">
      <c r="Q507" s="22"/>
      <c r="R507" s="22"/>
      <c r="S507" s="22"/>
      <c r="T507" s="22"/>
      <c r="U507" s="22"/>
      <c r="V507" s="22"/>
      <c r="W507" s="22"/>
      <c r="X507" s="16"/>
      <c r="Y507" s="57"/>
    </row>
    <row r="508" spans="17:25" x14ac:dyDescent="0.25">
      <c r="Q508" s="22"/>
      <c r="R508" s="22"/>
      <c r="S508" s="22"/>
      <c r="T508" s="22"/>
      <c r="U508" s="22"/>
      <c r="V508" s="22"/>
      <c r="W508" s="22"/>
      <c r="X508" s="16"/>
      <c r="Y508" s="57"/>
    </row>
    <row r="509" spans="17:25" x14ac:dyDescent="0.25">
      <c r="Q509" s="22"/>
      <c r="R509" s="22"/>
      <c r="S509" s="22"/>
      <c r="T509" s="22"/>
      <c r="U509" s="22"/>
      <c r="V509" s="22"/>
      <c r="W509" s="22"/>
      <c r="X509" s="16"/>
      <c r="Y509" s="57"/>
    </row>
    <row r="510" spans="17:25" x14ac:dyDescent="0.25">
      <c r="Q510" s="22"/>
      <c r="R510" s="22"/>
      <c r="S510" s="22"/>
      <c r="T510" s="22"/>
      <c r="U510" s="22"/>
      <c r="V510" s="22"/>
      <c r="W510" s="22"/>
      <c r="X510" s="16"/>
      <c r="Y510" s="57"/>
    </row>
    <row r="511" spans="17:25" x14ac:dyDescent="0.25">
      <c r="Q511" s="22"/>
      <c r="R511" s="22"/>
      <c r="S511" s="22"/>
      <c r="T511" s="22"/>
      <c r="U511" s="22"/>
      <c r="V511" s="22"/>
      <c r="W511" s="22"/>
      <c r="X511" s="16"/>
      <c r="Y511" s="57"/>
    </row>
    <row r="512" spans="17:25" x14ac:dyDescent="0.25">
      <c r="Q512" s="22"/>
      <c r="R512" s="22"/>
      <c r="S512" s="22"/>
      <c r="T512" s="22"/>
      <c r="U512" s="22"/>
      <c r="V512" s="22"/>
      <c r="W512" s="22"/>
      <c r="X512" s="16"/>
      <c r="Y512" s="57"/>
    </row>
    <row r="513" spans="17:25" x14ac:dyDescent="0.25">
      <c r="Q513" s="22"/>
      <c r="R513" s="22"/>
      <c r="S513" s="22"/>
      <c r="T513" s="22"/>
      <c r="U513" s="22"/>
      <c r="V513" s="22"/>
      <c r="W513" s="22"/>
      <c r="X513" s="16"/>
      <c r="Y513" s="57"/>
    </row>
    <row r="514" spans="17:25" x14ac:dyDescent="0.25">
      <c r="Q514" s="22"/>
      <c r="R514" s="22"/>
      <c r="S514" s="22"/>
      <c r="T514" s="22"/>
      <c r="U514" s="22"/>
      <c r="V514" s="22"/>
      <c r="W514" s="22"/>
      <c r="X514" s="16"/>
      <c r="Y514" s="57"/>
    </row>
    <row r="515" spans="17:25" x14ac:dyDescent="0.25">
      <c r="Q515" s="22"/>
      <c r="R515" s="22"/>
      <c r="S515" s="22"/>
      <c r="T515" s="22"/>
      <c r="U515" s="22"/>
      <c r="V515" s="22"/>
      <c r="W515" s="22"/>
      <c r="X515" s="16"/>
      <c r="Y515" s="57"/>
    </row>
    <row r="516" spans="17:25" x14ac:dyDescent="0.25">
      <c r="Q516" s="22"/>
      <c r="R516" s="22"/>
      <c r="S516" s="22"/>
      <c r="T516" s="22"/>
      <c r="U516" s="22"/>
      <c r="V516" s="22"/>
      <c r="W516" s="22"/>
      <c r="X516" s="16"/>
      <c r="Y516" s="57"/>
    </row>
    <row r="517" spans="17:25" x14ac:dyDescent="0.25">
      <c r="Q517" s="22"/>
      <c r="R517" s="22"/>
      <c r="S517" s="22"/>
      <c r="T517" s="22"/>
      <c r="U517" s="22"/>
      <c r="V517" s="22"/>
      <c r="W517" s="22"/>
      <c r="X517" s="16"/>
      <c r="Y517" s="57"/>
    </row>
    <row r="518" spans="17:25" x14ac:dyDescent="0.25">
      <c r="Q518" s="22"/>
      <c r="R518" s="22"/>
      <c r="S518" s="22"/>
      <c r="T518" s="22"/>
      <c r="U518" s="22"/>
      <c r="V518" s="22"/>
      <c r="W518" s="22"/>
      <c r="X518" s="16"/>
      <c r="Y518" s="57"/>
    </row>
    <row r="519" spans="17:25" x14ac:dyDescent="0.25">
      <c r="Q519" s="22"/>
      <c r="R519" s="22"/>
      <c r="S519" s="22"/>
      <c r="T519" s="22"/>
      <c r="U519" s="22"/>
      <c r="V519" s="22"/>
      <c r="W519" s="22"/>
      <c r="X519" s="16"/>
      <c r="Y519" s="57"/>
    </row>
    <row r="520" spans="17:25" x14ac:dyDescent="0.25">
      <c r="Q520" s="22"/>
      <c r="R520" s="22"/>
      <c r="S520" s="22"/>
      <c r="T520" s="22"/>
      <c r="U520" s="22"/>
      <c r="V520" s="22"/>
      <c r="W520" s="22"/>
      <c r="X520" s="16"/>
      <c r="Y520" s="57"/>
    </row>
    <row r="521" spans="17:25" x14ac:dyDescent="0.25">
      <c r="Q521" s="22"/>
      <c r="R521" s="22"/>
      <c r="S521" s="22"/>
      <c r="T521" s="22"/>
      <c r="U521" s="22"/>
      <c r="V521" s="22"/>
      <c r="W521" s="22"/>
      <c r="X521" s="16"/>
      <c r="Y521" s="57"/>
    </row>
    <row r="522" spans="17:25" x14ac:dyDescent="0.25">
      <c r="Q522" s="22"/>
      <c r="R522" s="22"/>
      <c r="S522" s="22"/>
      <c r="T522" s="22"/>
      <c r="U522" s="22"/>
      <c r="V522" s="22"/>
      <c r="W522" s="22"/>
      <c r="X522" s="16"/>
      <c r="Y522" s="57"/>
    </row>
    <row r="523" spans="17:25" x14ac:dyDescent="0.25">
      <c r="Q523" s="22"/>
      <c r="R523" s="22"/>
      <c r="S523" s="22"/>
      <c r="T523" s="22"/>
      <c r="U523" s="22"/>
      <c r="V523" s="22"/>
      <c r="W523" s="22"/>
      <c r="X523" s="16"/>
      <c r="Y523" s="57"/>
    </row>
    <row r="524" spans="17:25" x14ac:dyDescent="0.25">
      <c r="Q524" s="22"/>
      <c r="R524" s="22"/>
      <c r="S524" s="22"/>
      <c r="T524" s="22"/>
      <c r="U524" s="22"/>
      <c r="V524" s="22"/>
      <c r="W524" s="22"/>
      <c r="X524" s="16"/>
      <c r="Y524" s="57"/>
    </row>
    <row r="525" spans="17:25" x14ac:dyDescent="0.25">
      <c r="Q525" s="22"/>
      <c r="R525" s="22"/>
      <c r="S525" s="22"/>
      <c r="T525" s="22"/>
      <c r="U525" s="22"/>
      <c r="V525" s="22"/>
      <c r="W525" s="22"/>
      <c r="X525" s="16"/>
      <c r="Y525" s="57"/>
    </row>
    <row r="526" spans="17:25" x14ac:dyDescent="0.25">
      <c r="Q526" s="22"/>
      <c r="R526" s="22"/>
      <c r="S526" s="22"/>
      <c r="T526" s="22"/>
      <c r="U526" s="22"/>
      <c r="V526" s="22"/>
      <c r="W526" s="22"/>
      <c r="X526" s="16"/>
      <c r="Y526" s="57"/>
    </row>
    <row r="527" spans="17:25" x14ac:dyDescent="0.25">
      <c r="Q527" s="22"/>
      <c r="R527" s="22"/>
      <c r="S527" s="22"/>
      <c r="T527" s="22"/>
      <c r="U527" s="22"/>
      <c r="V527" s="22"/>
      <c r="W527" s="22"/>
      <c r="X527" s="16"/>
      <c r="Y527" s="57"/>
    </row>
    <row r="528" spans="17:25" x14ac:dyDescent="0.25">
      <c r="Q528" s="22"/>
      <c r="R528" s="22"/>
      <c r="S528" s="22"/>
      <c r="T528" s="22"/>
      <c r="U528" s="22"/>
      <c r="V528" s="22"/>
      <c r="W528" s="22"/>
      <c r="X528" s="16"/>
      <c r="Y528" s="57"/>
    </row>
    <row r="529" spans="17:25" x14ac:dyDescent="0.25">
      <c r="Q529" s="22"/>
      <c r="R529" s="22"/>
      <c r="S529" s="22"/>
      <c r="T529" s="22"/>
      <c r="U529" s="22"/>
      <c r="V529" s="22"/>
      <c r="W529" s="22"/>
      <c r="X529" s="16"/>
      <c r="Y529" s="57"/>
    </row>
    <row r="530" spans="17:25" x14ac:dyDescent="0.25">
      <c r="Q530" s="22"/>
      <c r="R530" s="22"/>
      <c r="S530" s="22"/>
      <c r="T530" s="22"/>
      <c r="U530" s="22"/>
      <c r="V530" s="22"/>
      <c r="W530" s="22"/>
      <c r="X530" s="16"/>
      <c r="Y530" s="57"/>
    </row>
    <row r="531" spans="17:25" x14ac:dyDescent="0.25">
      <c r="Q531" s="22"/>
      <c r="R531" s="22"/>
      <c r="S531" s="22"/>
      <c r="T531" s="22"/>
      <c r="U531" s="22"/>
      <c r="V531" s="22"/>
      <c r="W531" s="22"/>
      <c r="X531" s="16"/>
      <c r="Y531" s="57"/>
    </row>
    <row r="532" spans="17:25" x14ac:dyDescent="0.25">
      <c r="Q532" s="22"/>
      <c r="R532" s="22"/>
      <c r="S532" s="22"/>
      <c r="T532" s="22"/>
      <c r="U532" s="22"/>
      <c r="V532" s="22"/>
      <c r="W532" s="22"/>
      <c r="X532" s="16"/>
      <c r="Y532" s="57"/>
    </row>
    <row r="533" spans="17:25" x14ac:dyDescent="0.25">
      <c r="Q533" s="22"/>
      <c r="R533" s="22"/>
      <c r="S533" s="22"/>
      <c r="T533" s="22"/>
      <c r="U533" s="22"/>
      <c r="V533" s="22"/>
      <c r="W533" s="22"/>
      <c r="X533" s="16"/>
      <c r="Y533" s="57"/>
    </row>
    <row r="534" spans="17:25" x14ac:dyDescent="0.25">
      <c r="Q534" s="22"/>
      <c r="R534" s="22"/>
      <c r="S534" s="22"/>
      <c r="T534" s="22"/>
      <c r="U534" s="22"/>
      <c r="V534" s="22"/>
      <c r="W534" s="22"/>
      <c r="X534" s="16"/>
      <c r="Y534" s="57"/>
    </row>
    <row r="535" spans="17:25" x14ac:dyDescent="0.25">
      <c r="Q535" s="22"/>
      <c r="R535" s="22"/>
      <c r="S535" s="22"/>
      <c r="T535" s="22"/>
      <c r="U535" s="22"/>
      <c r="V535" s="22"/>
      <c r="W535" s="22"/>
      <c r="X535" s="16"/>
      <c r="Y535" s="57"/>
    </row>
    <row r="536" spans="17:25" x14ac:dyDescent="0.25">
      <c r="Q536" s="22"/>
      <c r="R536" s="22"/>
      <c r="S536" s="22"/>
      <c r="T536" s="22"/>
      <c r="U536" s="22"/>
      <c r="V536" s="22"/>
      <c r="W536" s="22"/>
      <c r="X536" s="16"/>
      <c r="Y536" s="57"/>
    </row>
    <row r="537" spans="17:25" x14ac:dyDescent="0.25">
      <c r="Q537" s="22"/>
      <c r="R537" s="22"/>
      <c r="S537" s="22"/>
      <c r="T537" s="22"/>
      <c r="U537" s="22"/>
      <c r="V537" s="22"/>
      <c r="W537" s="22"/>
      <c r="X537" s="16"/>
      <c r="Y537" s="57"/>
    </row>
    <row r="538" spans="17:25" x14ac:dyDescent="0.25">
      <c r="Q538" s="22"/>
      <c r="R538" s="22"/>
      <c r="S538" s="22"/>
      <c r="T538" s="22"/>
      <c r="U538" s="22"/>
      <c r="V538" s="22"/>
      <c r="W538" s="22"/>
      <c r="X538" s="16"/>
      <c r="Y538" s="57"/>
    </row>
    <row r="539" spans="17:25" x14ac:dyDescent="0.25">
      <c r="Q539" s="22"/>
      <c r="R539" s="22"/>
      <c r="S539" s="22"/>
      <c r="T539" s="22"/>
      <c r="U539" s="22"/>
      <c r="V539" s="22"/>
      <c r="W539" s="22"/>
      <c r="X539" s="16"/>
      <c r="Y539" s="57"/>
    </row>
    <row r="540" spans="17:25" x14ac:dyDescent="0.25">
      <c r="Q540" s="22"/>
      <c r="R540" s="22"/>
      <c r="S540" s="22"/>
      <c r="T540" s="22"/>
      <c r="U540" s="22"/>
      <c r="V540" s="22"/>
      <c r="W540" s="22"/>
      <c r="X540" s="16"/>
      <c r="Y540" s="57"/>
    </row>
    <row r="541" spans="17:25" x14ac:dyDescent="0.25">
      <c r="Q541" s="22"/>
      <c r="R541" s="22"/>
      <c r="S541" s="22"/>
      <c r="T541" s="22"/>
      <c r="U541" s="22"/>
      <c r="V541" s="22"/>
      <c r="W541" s="22"/>
      <c r="X541" s="16"/>
      <c r="Y541" s="57"/>
    </row>
    <row r="542" spans="17:25" x14ac:dyDescent="0.25">
      <c r="Q542" s="22"/>
      <c r="R542" s="22"/>
      <c r="S542" s="22"/>
      <c r="T542" s="22"/>
      <c r="U542" s="22"/>
      <c r="V542" s="22"/>
      <c r="W542" s="22"/>
      <c r="X542" s="16"/>
      <c r="Y542" s="57"/>
    </row>
    <row r="543" spans="17:25" x14ac:dyDescent="0.25">
      <c r="Q543" s="22"/>
      <c r="R543" s="22"/>
      <c r="S543" s="22"/>
      <c r="T543" s="22"/>
      <c r="U543" s="22"/>
      <c r="V543" s="22"/>
      <c r="W543" s="22"/>
      <c r="X543" s="16"/>
      <c r="Y543" s="57"/>
    </row>
    <row r="544" spans="17:25" x14ac:dyDescent="0.25">
      <c r="Q544" s="22"/>
      <c r="R544" s="22"/>
      <c r="S544" s="22"/>
      <c r="T544" s="22"/>
      <c r="U544" s="22"/>
      <c r="V544" s="22"/>
      <c r="W544" s="22"/>
      <c r="X544" s="16"/>
      <c r="Y544" s="57"/>
    </row>
    <row r="545" spans="17:25" x14ac:dyDescent="0.25">
      <c r="Q545" s="22"/>
      <c r="R545" s="22"/>
      <c r="S545" s="22"/>
      <c r="T545" s="22"/>
      <c r="U545" s="22"/>
      <c r="V545" s="22"/>
      <c r="W545" s="22"/>
      <c r="X545" s="16"/>
      <c r="Y545" s="57"/>
    </row>
    <row r="546" spans="17:25" x14ac:dyDescent="0.25">
      <c r="Q546" s="22"/>
      <c r="R546" s="22"/>
      <c r="S546" s="22"/>
      <c r="T546" s="22"/>
      <c r="U546" s="22"/>
      <c r="V546" s="22"/>
      <c r="W546" s="22"/>
      <c r="X546" s="16"/>
      <c r="Y546" s="57"/>
    </row>
    <row r="547" spans="17:25" x14ac:dyDescent="0.25">
      <c r="Q547" s="22"/>
      <c r="R547" s="22"/>
      <c r="S547" s="22"/>
      <c r="T547" s="22"/>
      <c r="U547" s="22"/>
      <c r="V547" s="22"/>
      <c r="W547" s="22"/>
      <c r="X547" s="16"/>
      <c r="Y547" s="57"/>
    </row>
    <row r="548" spans="17:25" x14ac:dyDescent="0.25">
      <c r="Q548" s="22"/>
      <c r="R548" s="22"/>
      <c r="S548" s="22"/>
      <c r="T548" s="22"/>
      <c r="U548" s="22"/>
      <c r="V548" s="22"/>
      <c r="W548" s="22"/>
      <c r="X548" s="16"/>
      <c r="Y548" s="57"/>
    </row>
    <row r="549" spans="17:25" x14ac:dyDescent="0.25">
      <c r="Q549" s="22"/>
      <c r="R549" s="22"/>
      <c r="S549" s="22"/>
      <c r="T549" s="22"/>
      <c r="U549" s="22"/>
      <c r="V549" s="22"/>
      <c r="W549" s="22"/>
      <c r="X549" s="16"/>
      <c r="Y549" s="57"/>
    </row>
    <row r="550" spans="17:25" x14ac:dyDescent="0.25">
      <c r="Q550" s="22"/>
      <c r="R550" s="22"/>
      <c r="S550" s="22"/>
      <c r="T550" s="22"/>
      <c r="U550" s="22"/>
      <c r="V550" s="22"/>
      <c r="W550" s="22"/>
      <c r="X550" s="16"/>
      <c r="Y550" s="57"/>
    </row>
    <row r="551" spans="17:25" x14ac:dyDescent="0.25">
      <c r="Q551" s="22"/>
      <c r="R551" s="22"/>
      <c r="S551" s="22"/>
      <c r="T551" s="22"/>
      <c r="U551" s="22"/>
      <c r="V551" s="22"/>
      <c r="W551" s="22"/>
      <c r="X551" s="16"/>
      <c r="Y551" s="57"/>
    </row>
    <row r="552" spans="17:25" x14ac:dyDescent="0.25">
      <c r="Q552" s="22"/>
      <c r="R552" s="22"/>
      <c r="S552" s="22"/>
      <c r="T552" s="22"/>
      <c r="U552" s="22"/>
      <c r="V552" s="22"/>
      <c r="W552" s="22"/>
      <c r="X552" s="16"/>
      <c r="Y552" s="57"/>
    </row>
    <row r="553" spans="17:25" x14ac:dyDescent="0.25">
      <c r="Q553" s="22"/>
      <c r="R553" s="22"/>
      <c r="S553" s="22"/>
      <c r="T553" s="22"/>
      <c r="U553" s="22"/>
      <c r="V553" s="22"/>
      <c r="W553" s="22"/>
      <c r="X553" s="16"/>
      <c r="Y553" s="57"/>
    </row>
    <row r="554" spans="17:25" x14ac:dyDescent="0.25">
      <c r="Q554" s="22"/>
      <c r="R554" s="22"/>
      <c r="S554" s="22"/>
      <c r="T554" s="22"/>
      <c r="U554" s="22"/>
      <c r="V554" s="22"/>
      <c r="W554" s="22"/>
      <c r="X554" s="16"/>
      <c r="Y554" s="57"/>
    </row>
    <row r="555" spans="17:25" x14ac:dyDescent="0.25">
      <c r="Q555" s="22"/>
      <c r="R555" s="22"/>
      <c r="S555" s="22"/>
      <c r="T555" s="22"/>
      <c r="U555" s="22"/>
      <c r="V555" s="22"/>
      <c r="W555" s="22"/>
      <c r="X555" s="16"/>
      <c r="Y555" s="57"/>
    </row>
    <row r="556" spans="17:25" x14ac:dyDescent="0.25">
      <c r="Q556" s="22"/>
      <c r="R556" s="22"/>
      <c r="S556" s="22"/>
      <c r="T556" s="22"/>
      <c r="U556" s="22"/>
      <c r="V556" s="22"/>
      <c r="W556" s="22"/>
      <c r="X556" s="16"/>
      <c r="Y556" s="57"/>
    </row>
    <row r="557" spans="17:25" x14ac:dyDescent="0.25">
      <c r="Q557" s="22"/>
      <c r="R557" s="22"/>
      <c r="S557" s="22"/>
      <c r="T557" s="22"/>
      <c r="U557" s="22"/>
      <c r="V557" s="22"/>
      <c r="W557" s="22"/>
      <c r="X557" s="16"/>
      <c r="Y557" s="57"/>
    </row>
    <row r="558" spans="17:25" x14ac:dyDescent="0.25">
      <c r="Q558" s="22"/>
      <c r="R558" s="22"/>
      <c r="S558" s="22"/>
      <c r="T558" s="22"/>
      <c r="U558" s="22"/>
      <c r="V558" s="22"/>
      <c r="W558" s="22"/>
      <c r="X558" s="16"/>
      <c r="Y558" s="57"/>
    </row>
    <row r="559" spans="17:25" x14ac:dyDescent="0.25">
      <c r="Q559" s="22"/>
      <c r="R559" s="22"/>
      <c r="S559" s="22"/>
      <c r="T559" s="22"/>
      <c r="U559" s="22"/>
      <c r="V559" s="22"/>
      <c r="W559" s="22"/>
      <c r="X559" s="16"/>
      <c r="Y559" s="57"/>
    </row>
    <row r="560" spans="17:25" x14ac:dyDescent="0.25">
      <c r="Q560" s="22"/>
      <c r="R560" s="22"/>
      <c r="S560" s="22"/>
      <c r="T560" s="22"/>
      <c r="U560" s="22"/>
      <c r="V560" s="22"/>
      <c r="W560" s="22"/>
      <c r="X560" s="16"/>
      <c r="Y560" s="57"/>
    </row>
    <row r="561" spans="17:25" x14ac:dyDescent="0.25">
      <c r="Q561" s="22"/>
      <c r="R561" s="22"/>
      <c r="S561" s="22"/>
      <c r="T561" s="22"/>
      <c r="U561" s="22"/>
      <c r="V561" s="22"/>
      <c r="W561" s="22"/>
      <c r="X561" s="16"/>
      <c r="Y561" s="57"/>
    </row>
    <row r="562" spans="17:25" x14ac:dyDescent="0.25">
      <c r="Q562" s="22"/>
      <c r="R562" s="22"/>
      <c r="S562" s="22"/>
      <c r="T562" s="22"/>
      <c r="U562" s="22"/>
      <c r="V562" s="22"/>
      <c r="W562" s="22"/>
      <c r="X562" s="16"/>
      <c r="Y562" s="57"/>
    </row>
    <row r="563" spans="17:25" x14ac:dyDescent="0.25">
      <c r="Q563" s="22"/>
      <c r="R563" s="22"/>
      <c r="S563" s="22"/>
      <c r="T563" s="22"/>
      <c r="U563" s="22"/>
      <c r="V563" s="22"/>
      <c r="W563" s="22"/>
      <c r="X563" s="16"/>
      <c r="Y563" s="57"/>
    </row>
    <row r="564" spans="17:25" x14ac:dyDescent="0.25">
      <c r="Q564" s="22"/>
      <c r="R564" s="22"/>
      <c r="S564" s="22"/>
      <c r="T564" s="22"/>
      <c r="U564" s="22"/>
      <c r="V564" s="22"/>
      <c r="W564" s="22"/>
      <c r="X564" s="16"/>
      <c r="Y564" s="57"/>
    </row>
    <row r="565" spans="17:25" x14ac:dyDescent="0.25">
      <c r="Q565" s="22"/>
      <c r="R565" s="22"/>
      <c r="S565" s="22"/>
      <c r="T565" s="22"/>
      <c r="U565" s="22"/>
      <c r="V565" s="22"/>
      <c r="W565" s="22"/>
      <c r="X565" s="16"/>
      <c r="Y565" s="57"/>
    </row>
    <row r="566" spans="17:25" x14ac:dyDescent="0.25">
      <c r="Q566" s="22"/>
      <c r="R566" s="22"/>
      <c r="S566" s="22"/>
      <c r="T566" s="22"/>
      <c r="U566" s="22"/>
      <c r="V566" s="22"/>
      <c r="W566" s="22"/>
      <c r="X566" s="16"/>
      <c r="Y566" s="57"/>
    </row>
    <row r="567" spans="17:25" x14ac:dyDescent="0.25">
      <c r="Q567" s="22"/>
      <c r="R567" s="22"/>
      <c r="S567" s="22"/>
      <c r="T567" s="22"/>
      <c r="U567" s="22"/>
      <c r="V567" s="22"/>
      <c r="W567" s="22"/>
      <c r="X567" s="16"/>
      <c r="Y567" s="57"/>
    </row>
    <row r="568" spans="17:25" x14ac:dyDescent="0.25">
      <c r="Q568" s="22"/>
      <c r="R568" s="22"/>
      <c r="S568" s="22"/>
      <c r="T568" s="22"/>
      <c r="U568" s="22"/>
      <c r="V568" s="22"/>
      <c r="W568" s="22"/>
      <c r="X568" s="16"/>
      <c r="Y568" s="57"/>
    </row>
    <row r="569" spans="17:25" x14ac:dyDescent="0.25">
      <c r="Q569" s="22"/>
      <c r="R569" s="22"/>
      <c r="S569" s="22"/>
      <c r="T569" s="22"/>
      <c r="U569" s="22"/>
      <c r="V569" s="22"/>
      <c r="W569" s="22"/>
      <c r="X569" s="16"/>
      <c r="Y569" s="57"/>
    </row>
    <row r="570" spans="17:25" x14ac:dyDescent="0.25">
      <c r="Q570" s="22"/>
      <c r="R570" s="22"/>
      <c r="S570" s="22"/>
      <c r="T570" s="22"/>
      <c r="U570" s="22"/>
      <c r="V570" s="22"/>
      <c r="W570" s="22"/>
      <c r="X570" s="16"/>
      <c r="Y570" s="57"/>
    </row>
    <row r="571" spans="17:25" x14ac:dyDescent="0.25">
      <c r="Q571" s="22"/>
      <c r="R571" s="22"/>
      <c r="S571" s="22"/>
      <c r="T571" s="22"/>
      <c r="U571" s="22"/>
      <c r="V571" s="22"/>
      <c r="W571" s="22"/>
      <c r="X571" s="16"/>
      <c r="Y571" s="57"/>
    </row>
    <row r="572" spans="17:25" x14ac:dyDescent="0.25">
      <c r="Q572" s="22"/>
      <c r="R572" s="22"/>
      <c r="S572" s="22"/>
      <c r="T572" s="22"/>
      <c r="U572" s="22"/>
      <c r="V572" s="22"/>
      <c r="W572" s="22"/>
      <c r="X572" s="16"/>
      <c r="Y572" s="57"/>
    </row>
    <row r="573" spans="17:25" x14ac:dyDescent="0.25">
      <c r="Q573" s="22"/>
      <c r="R573" s="22"/>
      <c r="S573" s="22"/>
      <c r="T573" s="22"/>
      <c r="U573" s="22"/>
      <c r="V573" s="22"/>
      <c r="W573" s="22"/>
      <c r="X573" s="16"/>
      <c r="Y573" s="57"/>
    </row>
    <row r="574" spans="17:25" x14ac:dyDescent="0.25">
      <c r="Q574" s="22"/>
      <c r="R574" s="22"/>
      <c r="S574" s="22"/>
      <c r="T574" s="22"/>
      <c r="U574" s="22"/>
      <c r="V574" s="22"/>
      <c r="W574" s="22"/>
      <c r="X574" s="16"/>
      <c r="Y574" s="57"/>
    </row>
    <row r="575" spans="17:25" x14ac:dyDescent="0.25">
      <c r="Q575" s="22"/>
      <c r="R575" s="22"/>
      <c r="S575" s="22"/>
      <c r="T575" s="22"/>
      <c r="U575" s="22"/>
      <c r="V575" s="22"/>
      <c r="W575" s="22"/>
      <c r="X575" s="16"/>
      <c r="Y575" s="57"/>
    </row>
    <row r="576" spans="17:25" x14ac:dyDescent="0.25">
      <c r="Q576" s="22"/>
      <c r="R576" s="22"/>
      <c r="S576" s="22"/>
      <c r="T576" s="22"/>
      <c r="U576" s="22"/>
      <c r="V576" s="22"/>
      <c r="W576" s="22"/>
      <c r="X576" s="16"/>
      <c r="Y576" s="57"/>
    </row>
    <row r="577" spans="17:25" x14ac:dyDescent="0.25">
      <c r="Q577" s="22"/>
      <c r="R577" s="22"/>
      <c r="S577" s="22"/>
      <c r="T577" s="22"/>
      <c r="U577" s="22"/>
      <c r="V577" s="22"/>
      <c r="W577" s="22"/>
      <c r="X577" s="16"/>
      <c r="Y577" s="57"/>
    </row>
    <row r="578" spans="17:25" x14ac:dyDescent="0.25">
      <c r="Q578" s="22"/>
      <c r="R578" s="22"/>
      <c r="S578" s="22"/>
      <c r="T578" s="22"/>
      <c r="U578" s="22"/>
      <c r="V578" s="22"/>
      <c r="W578" s="22"/>
      <c r="X578" s="16"/>
      <c r="Y578" s="57"/>
    </row>
    <row r="579" spans="17:25" x14ac:dyDescent="0.25">
      <c r="Q579" s="22"/>
      <c r="R579" s="22"/>
      <c r="S579" s="22"/>
      <c r="T579" s="22"/>
      <c r="U579" s="22"/>
      <c r="V579" s="22"/>
      <c r="W579" s="22"/>
      <c r="X579" s="16"/>
      <c r="Y579" s="57"/>
    </row>
    <row r="580" spans="17:25" x14ac:dyDescent="0.25">
      <c r="Q580" s="22"/>
      <c r="R580" s="22"/>
      <c r="S580" s="22"/>
      <c r="T580" s="22"/>
      <c r="U580" s="22"/>
      <c r="V580" s="22"/>
      <c r="W580" s="22"/>
      <c r="X580" s="16"/>
      <c r="Y580" s="57"/>
    </row>
    <row r="581" spans="17:25" x14ac:dyDescent="0.25">
      <c r="Q581" s="22"/>
      <c r="R581" s="22"/>
      <c r="S581" s="22"/>
      <c r="T581" s="22"/>
      <c r="U581" s="22"/>
      <c r="V581" s="22"/>
      <c r="W581" s="22"/>
      <c r="X581" s="16"/>
      <c r="Y581" s="57"/>
    </row>
    <row r="582" spans="17:25" x14ac:dyDescent="0.25">
      <c r="Q582" s="22"/>
      <c r="R582" s="22"/>
      <c r="S582" s="22"/>
      <c r="T582" s="22"/>
      <c r="U582" s="22"/>
      <c r="V582" s="22"/>
      <c r="W582" s="22"/>
      <c r="X582" s="16"/>
      <c r="Y582" s="57"/>
    </row>
    <row r="583" spans="17:25" x14ac:dyDescent="0.25">
      <c r="Q583" s="22"/>
      <c r="R583" s="22"/>
      <c r="S583" s="22"/>
      <c r="T583" s="22"/>
      <c r="U583" s="22"/>
      <c r="V583" s="22"/>
      <c r="W583" s="22"/>
      <c r="X583" s="16"/>
      <c r="Y583" s="57"/>
    </row>
    <row r="584" spans="17:25" x14ac:dyDescent="0.25">
      <c r="Q584" s="22"/>
      <c r="R584" s="22"/>
      <c r="S584" s="22"/>
      <c r="T584" s="22"/>
      <c r="U584" s="22"/>
      <c r="V584" s="22"/>
      <c r="W584" s="22"/>
      <c r="X584" s="16"/>
      <c r="Y584" s="57"/>
    </row>
    <row r="585" spans="17:25" x14ac:dyDescent="0.25">
      <c r="Q585" s="22"/>
      <c r="R585" s="22"/>
      <c r="S585" s="22"/>
      <c r="T585" s="22"/>
      <c r="U585" s="22"/>
      <c r="V585" s="22"/>
      <c r="W585" s="22"/>
      <c r="X585" s="16"/>
      <c r="Y585" s="57"/>
    </row>
    <row r="586" spans="17:25" x14ac:dyDescent="0.25">
      <c r="Q586" s="22"/>
      <c r="R586" s="22"/>
      <c r="S586" s="22"/>
      <c r="T586" s="22"/>
      <c r="U586" s="22"/>
      <c r="V586" s="22"/>
      <c r="W586" s="22"/>
      <c r="X586" s="16"/>
      <c r="Y586" s="57"/>
    </row>
    <row r="587" spans="17:25" x14ac:dyDescent="0.25">
      <c r="Q587" s="22"/>
      <c r="R587" s="22"/>
      <c r="S587" s="22"/>
      <c r="T587" s="22"/>
      <c r="U587" s="22"/>
      <c r="V587" s="22"/>
      <c r="W587" s="22"/>
      <c r="X587" s="16"/>
      <c r="Y587" s="57"/>
    </row>
    <row r="588" spans="17:25" x14ac:dyDescent="0.25">
      <c r="Q588" s="22"/>
      <c r="R588" s="22"/>
      <c r="S588" s="22"/>
      <c r="T588" s="22"/>
      <c r="U588" s="22"/>
      <c r="V588" s="22"/>
      <c r="W588" s="22"/>
      <c r="X588" s="16"/>
      <c r="Y588" s="57"/>
    </row>
    <row r="589" spans="17:25" x14ac:dyDescent="0.25">
      <c r="Q589" s="22"/>
      <c r="R589" s="22"/>
      <c r="S589" s="22"/>
      <c r="T589" s="22"/>
      <c r="U589" s="22"/>
      <c r="V589" s="22"/>
      <c r="W589" s="22"/>
      <c r="X589" s="16"/>
      <c r="Y589" s="57"/>
    </row>
    <row r="590" spans="17:25" x14ac:dyDescent="0.25">
      <c r="Q590" s="22"/>
      <c r="R590" s="22"/>
      <c r="S590" s="22"/>
      <c r="T590" s="22"/>
      <c r="U590" s="22"/>
      <c r="V590" s="22"/>
      <c r="W590" s="22"/>
      <c r="X590" s="16"/>
      <c r="Y590" s="57"/>
    </row>
    <row r="591" spans="17:25" x14ac:dyDescent="0.25">
      <c r="Q591" s="22"/>
      <c r="R591" s="22"/>
      <c r="S591" s="22"/>
      <c r="T591" s="22"/>
      <c r="U591" s="22"/>
      <c r="V591" s="22"/>
      <c r="W591" s="22"/>
      <c r="X591" s="16"/>
      <c r="Y591" s="57"/>
    </row>
    <row r="592" spans="17:25" x14ac:dyDescent="0.25">
      <c r="Q592" s="22"/>
      <c r="R592" s="22"/>
      <c r="S592" s="22"/>
      <c r="T592" s="22"/>
      <c r="U592" s="22"/>
      <c r="V592" s="22"/>
      <c r="W592" s="22"/>
      <c r="X592" s="16"/>
      <c r="Y592" s="57"/>
    </row>
    <row r="593" spans="17:25" x14ac:dyDescent="0.25">
      <c r="Q593" s="22"/>
      <c r="R593" s="22"/>
      <c r="S593" s="22"/>
      <c r="T593" s="22"/>
      <c r="U593" s="22"/>
      <c r="V593" s="22"/>
      <c r="W593" s="22"/>
      <c r="X593" s="16"/>
      <c r="Y593" s="57"/>
    </row>
    <row r="594" spans="17:25" x14ac:dyDescent="0.25">
      <c r="Q594" s="22"/>
      <c r="R594" s="22"/>
      <c r="S594" s="22"/>
      <c r="T594" s="22"/>
      <c r="U594" s="22"/>
      <c r="V594" s="22"/>
      <c r="W594" s="22"/>
      <c r="X594" s="16"/>
      <c r="Y594" s="57"/>
    </row>
    <row r="595" spans="17:25" x14ac:dyDescent="0.25">
      <c r="Q595" s="22"/>
      <c r="R595" s="22"/>
      <c r="S595" s="22"/>
      <c r="T595" s="22"/>
      <c r="U595" s="22"/>
      <c r="V595" s="22"/>
      <c r="W595" s="22"/>
      <c r="X595" s="16"/>
      <c r="Y595" s="57"/>
    </row>
    <row r="596" spans="17:25" x14ac:dyDescent="0.25">
      <c r="Q596" s="22"/>
      <c r="R596" s="22"/>
      <c r="S596" s="22"/>
      <c r="T596" s="22"/>
      <c r="U596" s="22"/>
      <c r="V596" s="22"/>
      <c r="W596" s="22"/>
      <c r="X596" s="16"/>
      <c r="Y596" s="57"/>
    </row>
    <row r="597" spans="17:25" x14ac:dyDescent="0.25">
      <c r="Q597" s="22"/>
      <c r="R597" s="22"/>
      <c r="S597" s="22"/>
      <c r="T597" s="22"/>
      <c r="U597" s="22"/>
      <c r="V597" s="22"/>
      <c r="W597" s="22"/>
      <c r="X597" s="16"/>
      <c r="Y597" s="57"/>
    </row>
    <row r="598" spans="17:25" x14ac:dyDescent="0.25">
      <c r="Q598" s="22"/>
      <c r="R598" s="22"/>
      <c r="S598" s="22"/>
      <c r="T598" s="22"/>
      <c r="U598" s="22"/>
      <c r="V598" s="22"/>
      <c r="W598" s="22"/>
      <c r="X598" s="16"/>
      <c r="Y598" s="57"/>
    </row>
    <row r="599" spans="17:25" x14ac:dyDescent="0.25">
      <c r="Q599" s="22"/>
      <c r="R599" s="22"/>
      <c r="S599" s="22"/>
      <c r="T599" s="22"/>
      <c r="U599" s="22"/>
      <c r="V599" s="22"/>
      <c r="W599" s="22"/>
      <c r="X599" s="16"/>
      <c r="Y599" s="57"/>
    </row>
    <row r="600" spans="17:25" x14ac:dyDescent="0.25">
      <c r="Q600" s="22"/>
      <c r="R600" s="22"/>
      <c r="S600" s="22"/>
      <c r="T600" s="22"/>
      <c r="U600" s="22"/>
      <c r="V600" s="22"/>
      <c r="W600" s="22"/>
      <c r="X600" s="16"/>
      <c r="Y600" s="57"/>
    </row>
    <row r="601" spans="17:25" x14ac:dyDescent="0.25">
      <c r="Q601" s="22"/>
      <c r="R601" s="22"/>
      <c r="S601" s="22"/>
      <c r="T601" s="22"/>
      <c r="U601" s="22"/>
      <c r="V601" s="22"/>
      <c r="W601" s="22"/>
      <c r="X601" s="16"/>
      <c r="Y601" s="57"/>
    </row>
    <row r="602" spans="17:25" x14ac:dyDescent="0.25">
      <c r="Q602" s="22"/>
      <c r="R602" s="22"/>
      <c r="S602" s="22"/>
      <c r="T602" s="22"/>
      <c r="U602" s="22"/>
      <c r="V602" s="22"/>
      <c r="W602" s="22"/>
      <c r="X602" s="16"/>
      <c r="Y602" s="57"/>
    </row>
    <row r="603" spans="17:25" x14ac:dyDescent="0.25">
      <c r="Q603" s="22"/>
      <c r="R603" s="22"/>
      <c r="S603" s="22"/>
      <c r="T603" s="22"/>
      <c r="U603" s="22"/>
      <c r="V603" s="22"/>
      <c r="W603" s="22"/>
      <c r="X603" s="16"/>
      <c r="Y603" s="57"/>
    </row>
    <row r="604" spans="17:25" x14ac:dyDescent="0.25">
      <c r="Q604" s="22"/>
      <c r="R604" s="22"/>
      <c r="S604" s="22"/>
      <c r="T604" s="22"/>
      <c r="U604" s="22"/>
      <c r="V604" s="22"/>
      <c r="W604" s="22"/>
      <c r="X604" s="16"/>
      <c r="Y604" s="57"/>
    </row>
    <row r="605" spans="17:25" x14ac:dyDescent="0.25">
      <c r="Q605" s="22"/>
      <c r="R605" s="22"/>
      <c r="S605" s="22"/>
      <c r="T605" s="22"/>
      <c r="U605" s="22"/>
      <c r="V605" s="22"/>
      <c r="W605" s="22"/>
      <c r="X605" s="16"/>
      <c r="Y605" s="57"/>
    </row>
    <row r="606" spans="17:25" x14ac:dyDescent="0.25">
      <c r="Q606" s="22"/>
      <c r="R606" s="22"/>
      <c r="S606" s="22"/>
      <c r="T606" s="22"/>
      <c r="U606" s="22"/>
      <c r="V606" s="22"/>
      <c r="W606" s="22"/>
      <c r="X606" s="16"/>
      <c r="Y606" s="57"/>
    </row>
    <row r="607" spans="17:25" x14ac:dyDescent="0.25">
      <c r="Q607" s="22"/>
      <c r="R607" s="22"/>
      <c r="S607" s="22"/>
      <c r="T607" s="22"/>
      <c r="U607" s="22"/>
      <c r="V607" s="22"/>
      <c r="W607" s="22"/>
      <c r="X607" s="16"/>
      <c r="Y607" s="57"/>
    </row>
    <row r="608" spans="17:25" x14ac:dyDescent="0.25">
      <c r="Q608" s="22"/>
      <c r="R608" s="22"/>
      <c r="S608" s="22"/>
      <c r="T608" s="22"/>
      <c r="U608" s="22"/>
      <c r="V608" s="22"/>
      <c r="W608" s="22"/>
      <c r="X608" s="16"/>
      <c r="Y608" s="57"/>
    </row>
    <row r="609" spans="17:25" x14ac:dyDescent="0.25">
      <c r="Q609" s="22"/>
      <c r="R609" s="22"/>
      <c r="S609" s="22"/>
      <c r="T609" s="22"/>
      <c r="U609" s="22"/>
      <c r="V609" s="22"/>
      <c r="W609" s="22"/>
      <c r="X609" s="16"/>
      <c r="Y609" s="57"/>
    </row>
    <row r="610" spans="17:25" x14ac:dyDescent="0.25">
      <c r="Q610" s="22"/>
      <c r="R610" s="22"/>
      <c r="S610" s="22"/>
      <c r="T610" s="22"/>
      <c r="U610" s="22"/>
      <c r="V610" s="22"/>
      <c r="W610" s="22"/>
      <c r="X610" s="16"/>
      <c r="Y610" s="57"/>
    </row>
    <row r="611" spans="17:25" x14ac:dyDescent="0.25">
      <c r="Q611" s="22"/>
      <c r="R611" s="22"/>
      <c r="S611" s="22"/>
      <c r="T611" s="22"/>
      <c r="U611" s="22"/>
      <c r="V611" s="22"/>
      <c r="W611" s="22"/>
      <c r="X611" s="16"/>
      <c r="Y611" s="57"/>
    </row>
    <row r="612" spans="17:25" x14ac:dyDescent="0.25">
      <c r="Q612" s="22"/>
      <c r="R612" s="22"/>
      <c r="S612" s="22"/>
      <c r="T612" s="22"/>
      <c r="U612" s="22"/>
      <c r="V612" s="22"/>
      <c r="W612" s="22"/>
      <c r="X612" s="16"/>
      <c r="Y612" s="57"/>
    </row>
    <row r="613" spans="17:25" x14ac:dyDescent="0.25">
      <c r="Q613" s="22"/>
      <c r="R613" s="22"/>
      <c r="S613" s="22"/>
      <c r="T613" s="22"/>
      <c r="U613" s="22"/>
      <c r="V613" s="22"/>
      <c r="W613" s="22"/>
      <c r="X613" s="16"/>
      <c r="Y613" s="57"/>
    </row>
    <row r="614" spans="17:25" x14ac:dyDescent="0.25">
      <c r="Q614" s="22"/>
      <c r="R614" s="22"/>
      <c r="S614" s="22"/>
      <c r="T614" s="22"/>
      <c r="U614" s="22"/>
      <c r="V614" s="22"/>
      <c r="W614" s="22"/>
      <c r="X614" s="16"/>
      <c r="Y614" s="57"/>
    </row>
    <row r="615" spans="17:25" x14ac:dyDescent="0.25">
      <c r="Q615" s="22"/>
      <c r="R615" s="22"/>
      <c r="S615" s="22"/>
      <c r="T615" s="22"/>
      <c r="U615" s="22"/>
      <c r="V615" s="22"/>
      <c r="W615" s="22"/>
      <c r="X615" s="16"/>
      <c r="Y615" s="57"/>
    </row>
    <row r="616" spans="17:25" x14ac:dyDescent="0.25">
      <c r="Q616" s="22"/>
      <c r="R616" s="22"/>
      <c r="S616" s="22"/>
      <c r="T616" s="22"/>
      <c r="U616" s="22"/>
      <c r="V616" s="22"/>
      <c r="W616" s="22"/>
      <c r="X616" s="16"/>
      <c r="Y616" s="57"/>
    </row>
    <row r="617" spans="17:25" x14ac:dyDescent="0.25">
      <c r="Q617" s="22"/>
      <c r="R617" s="22"/>
      <c r="S617" s="22"/>
      <c r="T617" s="22"/>
      <c r="U617" s="22"/>
      <c r="V617" s="22"/>
      <c r="W617" s="22"/>
      <c r="X617" s="16"/>
      <c r="Y617" s="57"/>
    </row>
    <row r="618" spans="17:25" x14ac:dyDescent="0.25">
      <c r="Q618" s="22"/>
      <c r="R618" s="22"/>
      <c r="S618" s="22"/>
      <c r="T618" s="22"/>
      <c r="U618" s="22"/>
      <c r="V618" s="22"/>
      <c r="W618" s="22"/>
      <c r="X618" s="16"/>
      <c r="Y618" s="57"/>
    </row>
    <row r="619" spans="17:25" x14ac:dyDescent="0.25">
      <c r="Q619" s="22"/>
      <c r="R619" s="22"/>
      <c r="S619" s="22"/>
      <c r="T619" s="22"/>
      <c r="U619" s="22"/>
      <c r="V619" s="22"/>
      <c r="W619" s="22"/>
      <c r="X619" s="16"/>
      <c r="Y619" s="57"/>
    </row>
    <row r="620" spans="17:25" x14ac:dyDescent="0.25">
      <c r="Q620" s="22"/>
      <c r="R620" s="22"/>
      <c r="S620" s="22"/>
      <c r="T620" s="22"/>
      <c r="U620" s="22"/>
      <c r="V620" s="22"/>
      <c r="W620" s="22"/>
      <c r="X620" s="16"/>
      <c r="Y620" s="57"/>
    </row>
    <row r="621" spans="17:25" x14ac:dyDescent="0.25">
      <c r="Q621" s="22"/>
      <c r="R621" s="22"/>
      <c r="S621" s="22"/>
      <c r="T621" s="22"/>
      <c r="U621" s="22"/>
      <c r="V621" s="22"/>
      <c r="W621" s="22"/>
      <c r="X621" s="16"/>
      <c r="Y621" s="57"/>
    </row>
    <row r="622" spans="17:25" x14ac:dyDescent="0.25">
      <c r="Q622" s="22"/>
      <c r="R622" s="22"/>
      <c r="S622" s="22"/>
      <c r="T622" s="22"/>
      <c r="U622" s="22"/>
      <c r="V622" s="22"/>
      <c r="W622" s="22"/>
      <c r="X622" s="16"/>
      <c r="Y622" s="57"/>
    </row>
    <row r="623" spans="17:25" x14ac:dyDescent="0.25">
      <c r="Q623" s="22"/>
      <c r="R623" s="22"/>
      <c r="S623" s="22"/>
      <c r="T623" s="22"/>
      <c r="U623" s="22"/>
      <c r="V623" s="22"/>
      <c r="W623" s="22"/>
      <c r="X623" s="16"/>
      <c r="Y623" s="57"/>
    </row>
    <row r="624" spans="17:25" x14ac:dyDescent="0.25">
      <c r="Q624" s="22"/>
      <c r="R624" s="22"/>
      <c r="S624" s="22"/>
      <c r="T624" s="22"/>
      <c r="U624" s="22"/>
      <c r="V624" s="22"/>
      <c r="W624" s="22"/>
      <c r="X624" s="16"/>
      <c r="Y624" s="57"/>
    </row>
    <row r="625" spans="17:25" x14ac:dyDescent="0.25">
      <c r="Q625" s="22"/>
      <c r="R625" s="22"/>
      <c r="S625" s="22"/>
      <c r="T625" s="22"/>
      <c r="U625" s="22"/>
      <c r="V625" s="22"/>
      <c r="W625" s="22"/>
      <c r="X625" s="16"/>
      <c r="Y625" s="57"/>
    </row>
    <row r="626" spans="17:25" x14ac:dyDescent="0.25">
      <c r="Q626" s="22"/>
      <c r="R626" s="22"/>
      <c r="S626" s="22"/>
      <c r="T626" s="22"/>
      <c r="U626" s="22"/>
      <c r="V626" s="22"/>
      <c r="W626" s="22"/>
      <c r="X626" s="16"/>
      <c r="Y626" s="57"/>
    </row>
    <row r="627" spans="17:25" x14ac:dyDescent="0.25">
      <c r="Q627" s="22"/>
      <c r="R627" s="22"/>
      <c r="S627" s="22"/>
      <c r="T627" s="22"/>
      <c r="U627" s="22"/>
      <c r="V627" s="22"/>
      <c r="W627" s="22"/>
      <c r="X627" s="16"/>
      <c r="Y627" s="57"/>
    </row>
    <row r="628" spans="17:25" x14ac:dyDescent="0.25">
      <c r="Q628" s="22"/>
      <c r="R628" s="22"/>
      <c r="S628" s="22"/>
      <c r="T628" s="22"/>
      <c r="U628" s="22"/>
      <c r="V628" s="22"/>
      <c r="W628" s="22"/>
      <c r="X628" s="16"/>
      <c r="Y628" s="57"/>
    </row>
    <row r="629" spans="17:25" x14ac:dyDescent="0.25">
      <c r="Q629" s="22"/>
      <c r="R629" s="22"/>
      <c r="S629" s="22"/>
      <c r="T629" s="22"/>
      <c r="U629" s="22"/>
      <c r="V629" s="22"/>
      <c r="W629" s="22"/>
      <c r="X629" s="16"/>
      <c r="Y629" s="57"/>
    </row>
    <row r="630" spans="17:25" x14ac:dyDescent="0.25">
      <c r="Q630" s="22"/>
      <c r="R630" s="22"/>
      <c r="S630" s="22"/>
      <c r="T630" s="22"/>
      <c r="U630" s="22"/>
      <c r="V630" s="22"/>
      <c r="W630" s="22"/>
      <c r="X630" s="16"/>
      <c r="Y630" s="57"/>
    </row>
    <row r="631" spans="17:25" x14ac:dyDescent="0.25">
      <c r="Q631" s="22"/>
      <c r="R631" s="22"/>
      <c r="S631" s="22"/>
      <c r="T631" s="22"/>
      <c r="U631" s="22"/>
      <c r="V631" s="22"/>
      <c r="W631" s="22"/>
      <c r="X631" s="16"/>
      <c r="Y631" s="57"/>
    </row>
    <row r="632" spans="17:25" x14ac:dyDescent="0.25">
      <c r="Q632" s="22"/>
      <c r="R632" s="22"/>
      <c r="S632" s="22"/>
      <c r="T632" s="22"/>
      <c r="U632" s="22"/>
      <c r="V632" s="22"/>
      <c r="W632" s="22"/>
      <c r="X632" s="16"/>
      <c r="Y632" s="57"/>
    </row>
    <row r="633" spans="17:25" x14ac:dyDescent="0.25">
      <c r="Q633" s="22"/>
      <c r="R633" s="22"/>
      <c r="S633" s="22"/>
      <c r="T633" s="22"/>
      <c r="U633" s="22"/>
      <c r="V633" s="22"/>
      <c r="W633" s="22"/>
      <c r="X633" s="16"/>
      <c r="Y633" s="57"/>
    </row>
    <row r="634" spans="17:25" x14ac:dyDescent="0.25">
      <c r="Q634" s="22"/>
      <c r="R634" s="22"/>
      <c r="S634" s="22"/>
      <c r="T634" s="22"/>
      <c r="U634" s="22"/>
      <c r="V634" s="22"/>
      <c r="W634" s="22"/>
      <c r="X634" s="16"/>
      <c r="Y634" s="57"/>
    </row>
    <row r="635" spans="17:25" x14ac:dyDescent="0.25">
      <c r="Q635" s="22"/>
      <c r="R635" s="22"/>
      <c r="S635" s="22"/>
      <c r="T635" s="22"/>
      <c r="U635" s="22"/>
      <c r="V635" s="22"/>
      <c r="W635" s="22"/>
      <c r="X635" s="16"/>
      <c r="Y635" s="57"/>
    </row>
    <row r="636" spans="17:25" x14ac:dyDescent="0.25">
      <c r="Q636" s="22"/>
      <c r="R636" s="22"/>
      <c r="S636" s="22"/>
      <c r="T636" s="22"/>
      <c r="U636" s="22"/>
      <c r="V636" s="22"/>
      <c r="W636" s="22"/>
      <c r="X636" s="16"/>
      <c r="Y636" s="57"/>
    </row>
    <row r="637" spans="17:25" x14ac:dyDescent="0.25">
      <c r="Q637" s="22"/>
      <c r="R637" s="22"/>
      <c r="S637" s="22"/>
      <c r="T637" s="22"/>
      <c r="U637" s="22"/>
      <c r="V637" s="22"/>
      <c r="W637" s="22"/>
      <c r="X637" s="16"/>
      <c r="Y637" s="57"/>
    </row>
    <row r="638" spans="17:25" x14ac:dyDescent="0.25">
      <c r="Q638" s="22"/>
      <c r="R638" s="22"/>
      <c r="S638" s="22"/>
      <c r="T638" s="22"/>
      <c r="U638" s="22"/>
      <c r="V638" s="22"/>
      <c r="W638" s="22"/>
      <c r="X638" s="16"/>
      <c r="Y638" s="57"/>
    </row>
    <row r="639" spans="17:25" x14ac:dyDescent="0.25">
      <c r="Q639" s="22"/>
      <c r="R639" s="22"/>
      <c r="S639" s="22"/>
      <c r="T639" s="22"/>
      <c r="U639" s="22"/>
      <c r="V639" s="22"/>
      <c r="W639" s="22"/>
      <c r="X639" s="16"/>
      <c r="Y639" s="57"/>
    </row>
    <row r="640" spans="17:25" x14ac:dyDescent="0.25">
      <c r="Q640" s="22"/>
      <c r="R640" s="22"/>
      <c r="S640" s="22"/>
      <c r="T640" s="22"/>
      <c r="U640" s="22"/>
      <c r="V640" s="22"/>
      <c r="W640" s="22"/>
      <c r="X640" s="16"/>
      <c r="Y640" s="57"/>
    </row>
    <row r="641" spans="17:25" x14ac:dyDescent="0.25">
      <c r="Q641" s="22"/>
      <c r="R641" s="22"/>
      <c r="S641" s="22"/>
      <c r="T641" s="22"/>
      <c r="U641" s="22"/>
      <c r="V641" s="22"/>
      <c r="W641" s="22"/>
      <c r="X641" s="16"/>
      <c r="Y641" s="57"/>
    </row>
    <row r="642" spans="17:25" x14ac:dyDescent="0.25">
      <c r="Q642" s="22"/>
      <c r="R642" s="22"/>
      <c r="S642" s="22"/>
      <c r="T642" s="22"/>
      <c r="U642" s="22"/>
      <c r="V642" s="22"/>
      <c r="W642" s="22"/>
      <c r="X642" s="16"/>
      <c r="Y642" s="57"/>
    </row>
    <row r="643" spans="17:25" x14ac:dyDescent="0.25">
      <c r="Q643" s="22"/>
      <c r="R643" s="22"/>
      <c r="S643" s="22"/>
      <c r="T643" s="22"/>
      <c r="U643" s="22"/>
      <c r="V643" s="22"/>
      <c r="W643" s="22"/>
      <c r="X643" s="16"/>
      <c r="Y643" s="57"/>
    </row>
    <row r="644" spans="17:25" x14ac:dyDescent="0.25">
      <c r="Q644" s="22"/>
      <c r="R644" s="22"/>
      <c r="S644" s="22"/>
      <c r="T644" s="22"/>
      <c r="U644" s="22"/>
      <c r="V644" s="22"/>
      <c r="W644" s="22"/>
      <c r="X644" s="16"/>
      <c r="Y644" s="57"/>
    </row>
    <row r="645" spans="17:25" x14ac:dyDescent="0.25">
      <c r="Q645" s="22"/>
      <c r="R645" s="22"/>
      <c r="S645" s="22"/>
      <c r="T645" s="22"/>
      <c r="U645" s="22"/>
      <c r="V645" s="22"/>
      <c r="W645" s="22"/>
      <c r="X645" s="16"/>
      <c r="Y645" s="57"/>
    </row>
    <row r="646" spans="17:25" x14ac:dyDescent="0.25">
      <c r="Q646" s="22"/>
      <c r="R646" s="22"/>
      <c r="S646" s="22"/>
      <c r="T646" s="22"/>
      <c r="U646" s="22"/>
      <c r="V646" s="22"/>
      <c r="W646" s="22"/>
      <c r="X646" s="16"/>
      <c r="Y646" s="57"/>
    </row>
    <row r="647" spans="17:25" x14ac:dyDescent="0.25">
      <c r="Q647" s="22"/>
      <c r="R647" s="22"/>
      <c r="S647" s="22"/>
      <c r="T647" s="22"/>
      <c r="U647" s="22"/>
      <c r="V647" s="22"/>
      <c r="W647" s="22"/>
      <c r="X647" s="16"/>
      <c r="Y647" s="57"/>
    </row>
    <row r="648" spans="17:25" x14ac:dyDescent="0.25">
      <c r="Q648" s="22"/>
      <c r="R648" s="22"/>
      <c r="S648" s="22"/>
      <c r="T648" s="22"/>
      <c r="U648" s="22"/>
      <c r="V648" s="22"/>
      <c r="W648" s="22"/>
      <c r="X648" s="16"/>
      <c r="Y648" s="57"/>
    </row>
    <row r="649" spans="17:25" x14ac:dyDescent="0.25">
      <c r="Q649" s="22"/>
      <c r="R649" s="22"/>
      <c r="S649" s="22"/>
      <c r="T649" s="22"/>
      <c r="U649" s="22"/>
      <c r="V649" s="22"/>
      <c r="W649" s="22"/>
      <c r="X649" s="16"/>
      <c r="Y649" s="57"/>
    </row>
    <row r="650" spans="17:25" x14ac:dyDescent="0.25">
      <c r="Q650" s="22"/>
      <c r="R650" s="22"/>
      <c r="S650" s="22"/>
      <c r="T650" s="22"/>
      <c r="U650" s="22"/>
      <c r="V650" s="22"/>
      <c r="W650" s="22"/>
      <c r="X650" s="16"/>
      <c r="Y650" s="57"/>
    </row>
    <row r="651" spans="17:25" x14ac:dyDescent="0.25">
      <c r="Q651" s="22"/>
      <c r="R651" s="22"/>
      <c r="S651" s="22"/>
      <c r="T651" s="22"/>
      <c r="U651" s="22"/>
      <c r="V651" s="22"/>
      <c r="W651" s="22"/>
      <c r="X651" s="16"/>
      <c r="Y651" s="57"/>
    </row>
    <row r="652" spans="17:25" x14ac:dyDescent="0.25">
      <c r="Q652" s="22"/>
      <c r="R652" s="22"/>
      <c r="S652" s="22"/>
      <c r="T652" s="22"/>
      <c r="U652" s="22"/>
      <c r="V652" s="22"/>
      <c r="W652" s="22"/>
      <c r="X652" s="16"/>
      <c r="Y652" s="57"/>
    </row>
    <row r="653" spans="17:25" x14ac:dyDescent="0.25">
      <c r="Q653" s="22"/>
      <c r="R653" s="22"/>
      <c r="S653" s="22"/>
      <c r="T653" s="22"/>
      <c r="U653" s="22"/>
      <c r="V653" s="22"/>
      <c r="W653" s="22"/>
      <c r="X653" s="16"/>
      <c r="Y653" s="57"/>
    </row>
    <row r="654" spans="17:25" x14ac:dyDescent="0.25">
      <c r="Q654" s="22"/>
      <c r="R654" s="22"/>
      <c r="S654" s="22"/>
      <c r="T654" s="22"/>
      <c r="U654" s="22"/>
      <c r="V654" s="22"/>
      <c r="W654" s="22"/>
      <c r="X654" s="16"/>
      <c r="Y654" s="57"/>
    </row>
    <row r="655" spans="17:25" x14ac:dyDescent="0.25">
      <c r="Q655" s="22"/>
      <c r="R655" s="22"/>
      <c r="S655" s="22"/>
      <c r="T655" s="22"/>
      <c r="U655" s="22"/>
      <c r="V655" s="22"/>
      <c r="W655" s="22"/>
      <c r="X655" s="16"/>
      <c r="Y655" s="57"/>
    </row>
    <row r="656" spans="17:25" x14ac:dyDescent="0.25">
      <c r="Q656" s="22"/>
      <c r="R656" s="22"/>
      <c r="S656" s="22"/>
      <c r="T656" s="22"/>
      <c r="U656" s="22"/>
      <c r="V656" s="22"/>
      <c r="W656" s="22"/>
      <c r="X656" s="16"/>
      <c r="Y656" s="57"/>
    </row>
    <row r="657" spans="17:25" x14ac:dyDescent="0.25">
      <c r="Q657" s="22"/>
      <c r="R657" s="22"/>
      <c r="S657" s="22"/>
      <c r="T657" s="22"/>
      <c r="U657" s="22"/>
      <c r="V657" s="22"/>
      <c r="W657" s="22"/>
      <c r="X657" s="16"/>
      <c r="Y657" s="57"/>
    </row>
    <row r="658" spans="17:25" x14ac:dyDescent="0.25">
      <c r="Q658" s="22"/>
      <c r="R658" s="22"/>
      <c r="S658" s="22"/>
      <c r="T658" s="22"/>
      <c r="U658" s="22"/>
      <c r="V658" s="22"/>
      <c r="W658" s="22"/>
      <c r="X658" s="16"/>
      <c r="Y658" s="57"/>
    </row>
    <row r="659" spans="17:25" x14ac:dyDescent="0.25">
      <c r="Q659" s="22"/>
      <c r="R659" s="22"/>
      <c r="S659" s="22"/>
      <c r="T659" s="22"/>
      <c r="U659" s="22"/>
      <c r="V659" s="22"/>
      <c r="W659" s="22"/>
      <c r="X659" s="16"/>
      <c r="Y659" s="57"/>
    </row>
    <row r="660" spans="17:25" x14ac:dyDescent="0.25">
      <c r="Q660" s="22"/>
      <c r="R660" s="22"/>
      <c r="S660" s="22"/>
      <c r="T660" s="22"/>
      <c r="U660" s="22"/>
      <c r="V660" s="22"/>
      <c r="W660" s="22"/>
      <c r="X660" s="16"/>
      <c r="Y660" s="57"/>
    </row>
    <row r="661" spans="17:25" x14ac:dyDescent="0.25">
      <c r="Q661" s="22"/>
      <c r="R661" s="22"/>
      <c r="S661" s="22"/>
      <c r="T661" s="22"/>
      <c r="U661" s="22"/>
      <c r="V661" s="22"/>
      <c r="W661" s="22"/>
      <c r="X661" s="16"/>
      <c r="Y661" s="57"/>
    </row>
    <row r="662" spans="17:25" x14ac:dyDescent="0.25">
      <c r="Q662" s="22"/>
      <c r="R662" s="22"/>
      <c r="S662" s="22"/>
      <c r="T662" s="22"/>
      <c r="U662" s="22"/>
      <c r="V662" s="22"/>
      <c r="W662" s="22"/>
      <c r="X662" s="16"/>
      <c r="Y662" s="57"/>
    </row>
    <row r="663" spans="17:25" x14ac:dyDescent="0.25">
      <c r="Q663" s="22"/>
      <c r="R663" s="22"/>
      <c r="S663" s="22"/>
      <c r="T663" s="22"/>
      <c r="U663" s="22"/>
      <c r="V663" s="22"/>
      <c r="W663" s="22"/>
      <c r="X663" s="16"/>
      <c r="Y663" s="57"/>
    </row>
    <row r="664" spans="17:25" x14ac:dyDescent="0.25">
      <c r="Q664" s="22"/>
      <c r="R664" s="22"/>
      <c r="S664" s="22"/>
      <c r="T664" s="22"/>
      <c r="U664" s="22"/>
      <c r="V664" s="22"/>
      <c r="W664" s="22"/>
      <c r="X664" s="16"/>
      <c r="Y664" s="57"/>
    </row>
    <row r="665" spans="17:25" x14ac:dyDescent="0.25">
      <c r="Q665" s="22"/>
      <c r="R665" s="22"/>
      <c r="S665" s="22"/>
      <c r="T665" s="22"/>
      <c r="U665" s="22"/>
      <c r="V665" s="22"/>
      <c r="W665" s="22"/>
      <c r="X665" s="16"/>
      <c r="Y665" s="57"/>
    </row>
    <row r="666" spans="17:25" x14ac:dyDescent="0.25">
      <c r="Q666" s="22"/>
      <c r="R666" s="22"/>
      <c r="S666" s="22"/>
      <c r="T666" s="22"/>
      <c r="U666" s="22"/>
      <c r="V666" s="22"/>
      <c r="W666" s="22"/>
      <c r="X666" s="16"/>
      <c r="Y666" s="57"/>
    </row>
    <row r="667" spans="17:25" x14ac:dyDescent="0.25">
      <c r="Q667" s="22"/>
      <c r="R667" s="22"/>
      <c r="S667" s="22"/>
      <c r="T667" s="22"/>
      <c r="U667" s="22"/>
      <c r="V667" s="22"/>
      <c r="W667" s="22"/>
      <c r="X667" s="16"/>
      <c r="Y667" s="57"/>
    </row>
    <row r="668" spans="17:25" x14ac:dyDescent="0.25">
      <c r="Q668" s="22"/>
      <c r="R668" s="22"/>
      <c r="S668" s="22"/>
      <c r="T668" s="22"/>
      <c r="U668" s="22"/>
      <c r="V668" s="22"/>
      <c r="W668" s="22"/>
      <c r="X668" s="16"/>
      <c r="Y668" s="57"/>
    </row>
    <row r="669" spans="17:25" x14ac:dyDescent="0.25">
      <c r="Q669" s="22"/>
      <c r="R669" s="22"/>
      <c r="S669" s="22"/>
      <c r="T669" s="22"/>
      <c r="U669" s="22"/>
      <c r="V669" s="22"/>
      <c r="W669" s="22"/>
      <c r="X669" s="16"/>
      <c r="Y669" s="57"/>
    </row>
    <row r="670" spans="17:25" x14ac:dyDescent="0.25">
      <c r="Q670" s="22"/>
      <c r="R670" s="22"/>
      <c r="S670" s="22"/>
      <c r="T670" s="22"/>
      <c r="U670" s="22"/>
      <c r="V670" s="22"/>
      <c r="W670" s="22"/>
      <c r="X670" s="16"/>
      <c r="Y670" s="57"/>
    </row>
    <row r="671" spans="17:25" x14ac:dyDescent="0.25">
      <c r="Q671" s="22"/>
      <c r="R671" s="22"/>
      <c r="S671" s="22"/>
      <c r="T671" s="22"/>
      <c r="U671" s="22"/>
      <c r="V671" s="22"/>
      <c r="W671" s="22"/>
      <c r="X671" s="16"/>
      <c r="Y671" s="57"/>
    </row>
    <row r="672" spans="17:25" x14ac:dyDescent="0.25">
      <c r="Q672" s="22"/>
      <c r="R672" s="22"/>
      <c r="S672" s="22"/>
      <c r="T672" s="22"/>
      <c r="U672" s="22"/>
      <c r="V672" s="22"/>
      <c r="W672" s="22"/>
      <c r="X672" s="16"/>
      <c r="Y672" s="57"/>
    </row>
    <row r="673" spans="17:25" x14ac:dyDescent="0.25">
      <c r="Q673" s="22"/>
      <c r="R673" s="22"/>
      <c r="S673" s="22"/>
      <c r="T673" s="22"/>
      <c r="U673" s="22"/>
      <c r="V673" s="22"/>
      <c r="W673" s="22"/>
      <c r="X673" s="16"/>
      <c r="Y673" s="57"/>
    </row>
    <row r="674" spans="17:25" x14ac:dyDescent="0.25">
      <c r="Q674" s="22"/>
      <c r="R674" s="22"/>
      <c r="S674" s="22"/>
      <c r="T674" s="22"/>
      <c r="U674" s="22"/>
      <c r="V674" s="22"/>
      <c r="W674" s="22"/>
      <c r="X674" s="16"/>
      <c r="Y674" s="57"/>
    </row>
    <row r="675" spans="17:25" x14ac:dyDescent="0.25">
      <c r="Q675" s="22"/>
      <c r="R675" s="22"/>
      <c r="S675" s="22"/>
      <c r="T675" s="22"/>
      <c r="U675" s="22"/>
      <c r="V675" s="22"/>
      <c r="W675" s="22"/>
      <c r="X675" s="16"/>
      <c r="Y675" s="57"/>
    </row>
    <row r="676" spans="17:25" x14ac:dyDescent="0.25">
      <c r="Q676" s="22"/>
      <c r="R676" s="22"/>
      <c r="S676" s="22"/>
      <c r="T676" s="22"/>
      <c r="U676" s="22"/>
      <c r="V676" s="22"/>
      <c r="W676" s="22"/>
      <c r="X676" s="16"/>
      <c r="Y676" s="57"/>
    </row>
    <row r="677" spans="17:25" x14ac:dyDescent="0.25">
      <c r="Q677" s="22"/>
      <c r="R677" s="22"/>
      <c r="S677" s="22"/>
      <c r="T677" s="22"/>
      <c r="U677" s="22"/>
      <c r="V677" s="22"/>
      <c r="W677" s="22"/>
      <c r="X677" s="16"/>
      <c r="Y677" s="57"/>
    </row>
    <row r="678" spans="17:25" x14ac:dyDescent="0.25">
      <c r="Q678" s="22"/>
      <c r="R678" s="22"/>
      <c r="S678" s="22"/>
      <c r="T678" s="22"/>
      <c r="U678" s="22"/>
      <c r="V678" s="22"/>
      <c r="W678" s="22"/>
      <c r="X678" s="16"/>
      <c r="Y678" s="57"/>
    </row>
    <row r="679" spans="17:25" x14ac:dyDescent="0.25">
      <c r="Q679" s="22"/>
      <c r="R679" s="22"/>
      <c r="S679" s="22"/>
      <c r="T679" s="22"/>
      <c r="U679" s="22"/>
      <c r="V679" s="22"/>
      <c r="W679" s="22"/>
      <c r="X679" s="16"/>
      <c r="Y679" s="57"/>
    </row>
    <row r="680" spans="17:25" x14ac:dyDescent="0.25">
      <c r="Q680" s="22"/>
      <c r="R680" s="22"/>
      <c r="S680" s="22"/>
      <c r="T680" s="22"/>
      <c r="U680" s="22"/>
      <c r="V680" s="22"/>
      <c r="W680" s="22"/>
      <c r="X680" s="16"/>
      <c r="Y680" s="57"/>
    </row>
    <row r="681" spans="17:25" x14ac:dyDescent="0.25">
      <c r="Q681" s="22"/>
      <c r="R681" s="22"/>
      <c r="S681" s="22"/>
      <c r="T681" s="22"/>
      <c r="U681" s="22"/>
      <c r="V681" s="22"/>
      <c r="W681" s="22"/>
      <c r="X681" s="16"/>
      <c r="Y681" s="57"/>
    </row>
    <row r="682" spans="17:25" x14ac:dyDescent="0.25">
      <c r="Q682" s="22"/>
      <c r="R682" s="22"/>
      <c r="S682" s="22"/>
      <c r="T682" s="22"/>
      <c r="U682" s="22"/>
      <c r="V682" s="22"/>
      <c r="W682" s="22"/>
      <c r="X682" s="16"/>
      <c r="Y682" s="57"/>
    </row>
    <row r="683" spans="17:25" x14ac:dyDescent="0.25">
      <c r="Q683" s="22"/>
      <c r="R683" s="22"/>
      <c r="S683" s="22"/>
      <c r="T683" s="22"/>
      <c r="U683" s="22"/>
      <c r="V683" s="22"/>
      <c r="W683" s="22"/>
      <c r="X683" s="16"/>
      <c r="Y683" s="57"/>
    </row>
    <row r="684" spans="17:25" x14ac:dyDescent="0.25">
      <c r="Q684" s="22"/>
      <c r="R684" s="22"/>
      <c r="S684" s="22"/>
      <c r="T684" s="22"/>
      <c r="U684" s="22"/>
      <c r="V684" s="22"/>
      <c r="W684" s="22"/>
      <c r="X684" s="16"/>
      <c r="Y684" s="57"/>
    </row>
    <row r="685" spans="17:25" x14ac:dyDescent="0.25">
      <c r="Q685" s="22"/>
      <c r="R685" s="22"/>
      <c r="S685" s="22"/>
      <c r="T685" s="22"/>
      <c r="U685" s="22"/>
      <c r="V685" s="22"/>
      <c r="W685" s="22"/>
      <c r="X685" s="16"/>
      <c r="Y685" s="57"/>
    </row>
    <row r="686" spans="17:25" x14ac:dyDescent="0.25">
      <c r="Q686" s="22"/>
      <c r="R686" s="22"/>
      <c r="S686" s="22"/>
      <c r="T686" s="22"/>
      <c r="U686" s="22"/>
      <c r="V686" s="22"/>
      <c r="W686" s="22"/>
      <c r="X686" s="16"/>
      <c r="Y686" s="57"/>
    </row>
    <row r="687" spans="17:25" x14ac:dyDescent="0.25">
      <c r="Q687" s="22"/>
      <c r="R687" s="22"/>
      <c r="S687" s="22"/>
      <c r="T687" s="22"/>
      <c r="U687" s="22"/>
      <c r="V687" s="22"/>
      <c r="W687" s="22"/>
      <c r="X687" s="16"/>
      <c r="Y687" s="57"/>
    </row>
    <row r="688" spans="17:25" x14ac:dyDescent="0.25">
      <c r="Q688" s="22"/>
      <c r="R688" s="22"/>
      <c r="S688" s="22"/>
      <c r="T688" s="22"/>
      <c r="U688" s="22"/>
      <c r="V688" s="22"/>
      <c r="W688" s="22"/>
      <c r="X688" s="16"/>
      <c r="Y688" s="57"/>
    </row>
    <row r="689" spans="17:25" x14ac:dyDescent="0.25">
      <c r="Q689" s="22"/>
      <c r="R689" s="22"/>
      <c r="S689" s="22"/>
      <c r="T689" s="22"/>
      <c r="U689" s="22"/>
      <c r="V689" s="22"/>
      <c r="W689" s="22"/>
      <c r="X689" s="16"/>
      <c r="Y689" s="57"/>
    </row>
    <row r="690" spans="17:25" x14ac:dyDescent="0.25">
      <c r="Q690" s="22"/>
      <c r="R690" s="22"/>
      <c r="S690" s="22"/>
      <c r="T690" s="22"/>
      <c r="U690" s="22"/>
      <c r="V690" s="22"/>
      <c r="W690" s="22"/>
      <c r="X690" s="16"/>
      <c r="Y690" s="57"/>
    </row>
    <row r="691" spans="17:25" x14ac:dyDescent="0.25">
      <c r="Q691" s="22"/>
      <c r="R691" s="22"/>
      <c r="S691" s="22"/>
      <c r="T691" s="22"/>
      <c r="U691" s="22"/>
      <c r="V691" s="22"/>
      <c r="W691" s="22"/>
      <c r="X691" s="16"/>
      <c r="Y691" s="57"/>
    </row>
    <row r="692" spans="17:25" x14ac:dyDescent="0.25">
      <c r="Q692" s="22"/>
      <c r="R692" s="22"/>
      <c r="S692" s="22"/>
      <c r="T692" s="22"/>
      <c r="U692" s="22"/>
      <c r="V692" s="22"/>
      <c r="W692" s="22"/>
      <c r="X692" s="16"/>
      <c r="Y692" s="57"/>
    </row>
    <row r="693" spans="17:25" x14ac:dyDescent="0.25">
      <c r="Q693" s="22"/>
      <c r="R693" s="22"/>
      <c r="S693" s="22"/>
      <c r="T693" s="22"/>
      <c r="U693" s="22"/>
      <c r="V693" s="22"/>
      <c r="W693" s="22"/>
      <c r="X693" s="16"/>
      <c r="Y693" s="57"/>
    </row>
    <row r="694" spans="17:25" x14ac:dyDescent="0.25">
      <c r="Q694" s="22"/>
      <c r="R694" s="22"/>
      <c r="S694" s="22"/>
      <c r="T694" s="22"/>
      <c r="U694" s="22"/>
      <c r="V694" s="22"/>
      <c r="W694" s="22"/>
      <c r="X694" s="16"/>
      <c r="Y694" s="57"/>
    </row>
    <row r="695" spans="17:25" x14ac:dyDescent="0.25">
      <c r="Q695" s="22"/>
      <c r="R695" s="22"/>
      <c r="S695" s="22"/>
      <c r="T695" s="22"/>
      <c r="U695" s="22"/>
      <c r="V695" s="22"/>
      <c r="W695" s="22"/>
      <c r="X695" s="16"/>
      <c r="Y695" s="57"/>
    </row>
    <row r="696" spans="17:25" x14ac:dyDescent="0.25">
      <c r="Q696" s="22"/>
      <c r="R696" s="22"/>
      <c r="S696" s="22"/>
      <c r="T696" s="22"/>
      <c r="U696" s="22"/>
      <c r="V696" s="22"/>
      <c r="W696" s="22"/>
      <c r="X696" s="16"/>
      <c r="Y696" s="57"/>
    </row>
    <row r="697" spans="17:25" x14ac:dyDescent="0.25">
      <c r="Q697" s="22"/>
      <c r="R697" s="22"/>
      <c r="S697" s="22"/>
      <c r="T697" s="22"/>
      <c r="U697" s="22"/>
      <c r="V697" s="22"/>
      <c r="W697" s="22"/>
      <c r="X697" s="16"/>
      <c r="Y697" s="57"/>
    </row>
    <row r="698" spans="17:25" x14ac:dyDescent="0.25">
      <c r="Q698" s="22"/>
      <c r="R698" s="22"/>
      <c r="S698" s="22"/>
      <c r="T698" s="22"/>
      <c r="U698" s="22"/>
      <c r="V698" s="22"/>
      <c r="W698" s="22"/>
      <c r="X698" s="16"/>
      <c r="Y698" s="57"/>
    </row>
    <row r="699" spans="17:25" x14ac:dyDescent="0.25">
      <c r="Q699" s="22"/>
      <c r="R699" s="22"/>
      <c r="S699" s="22"/>
      <c r="T699" s="22"/>
      <c r="U699" s="22"/>
      <c r="V699" s="22"/>
      <c r="W699" s="22"/>
      <c r="X699" s="16"/>
      <c r="Y699" s="57"/>
    </row>
    <row r="700" spans="17:25" x14ac:dyDescent="0.25">
      <c r="Q700" s="22"/>
      <c r="R700" s="22"/>
      <c r="S700" s="22"/>
      <c r="T700" s="22"/>
      <c r="U700" s="22"/>
      <c r="V700" s="22"/>
      <c r="W700" s="22"/>
      <c r="X700" s="16"/>
      <c r="Y700" s="57"/>
    </row>
    <row r="701" spans="17:25" x14ac:dyDescent="0.25">
      <c r="Q701" s="22"/>
      <c r="R701" s="22"/>
      <c r="S701" s="22"/>
      <c r="T701" s="22"/>
      <c r="U701" s="22"/>
      <c r="V701" s="22"/>
      <c r="W701" s="22"/>
      <c r="X701" s="16"/>
      <c r="Y701" s="57"/>
    </row>
    <row r="702" spans="17:25" x14ac:dyDescent="0.25">
      <c r="Q702" s="22"/>
      <c r="R702" s="22"/>
      <c r="S702" s="22"/>
      <c r="T702" s="22"/>
      <c r="U702" s="22"/>
      <c r="V702" s="22"/>
      <c r="W702" s="22"/>
      <c r="X702" s="16"/>
      <c r="Y702" s="57"/>
    </row>
    <row r="703" spans="17:25" x14ac:dyDescent="0.25">
      <c r="Q703" s="22"/>
      <c r="R703" s="22"/>
      <c r="S703" s="22"/>
      <c r="T703" s="22"/>
      <c r="U703" s="22"/>
      <c r="V703" s="22"/>
      <c r="W703" s="22"/>
      <c r="X703" s="16"/>
      <c r="Y703" s="57"/>
    </row>
    <row r="704" spans="17:25" x14ac:dyDescent="0.25">
      <c r="Q704" s="22"/>
      <c r="R704" s="22"/>
      <c r="S704" s="22"/>
      <c r="T704" s="22"/>
      <c r="U704" s="22"/>
      <c r="V704" s="22"/>
      <c r="W704" s="22"/>
      <c r="X704" s="16"/>
      <c r="Y704" s="57"/>
    </row>
    <row r="705" spans="17:25" x14ac:dyDescent="0.25">
      <c r="Q705" s="22"/>
      <c r="R705" s="22"/>
      <c r="S705" s="22"/>
      <c r="T705" s="22"/>
      <c r="U705" s="22"/>
      <c r="V705" s="22"/>
      <c r="W705" s="22"/>
      <c r="X705" s="16"/>
      <c r="Y705" s="57"/>
    </row>
    <row r="706" spans="17:25" x14ac:dyDescent="0.25">
      <c r="Q706" s="22"/>
      <c r="R706" s="22"/>
      <c r="S706" s="22"/>
      <c r="T706" s="22"/>
      <c r="U706" s="22"/>
      <c r="V706" s="22"/>
      <c r="W706" s="22"/>
      <c r="X706" s="16"/>
      <c r="Y706" s="57"/>
    </row>
    <row r="707" spans="17:25" x14ac:dyDescent="0.25">
      <c r="Q707" s="22"/>
      <c r="R707" s="22"/>
      <c r="S707" s="22"/>
      <c r="T707" s="22"/>
      <c r="U707" s="22"/>
      <c r="V707" s="22"/>
      <c r="W707" s="22"/>
      <c r="X707" s="16"/>
      <c r="Y707" s="57"/>
    </row>
    <row r="708" spans="17:25" x14ac:dyDescent="0.25">
      <c r="Q708" s="22"/>
      <c r="R708" s="22"/>
      <c r="S708" s="22"/>
      <c r="T708" s="22"/>
      <c r="U708" s="22"/>
      <c r="V708" s="22"/>
      <c r="W708" s="22"/>
      <c r="X708" s="16"/>
      <c r="Y708" s="57"/>
    </row>
    <row r="709" spans="17:25" x14ac:dyDescent="0.25">
      <c r="Q709" s="22"/>
      <c r="R709" s="22"/>
      <c r="S709" s="22"/>
      <c r="T709" s="22"/>
      <c r="U709" s="22"/>
      <c r="V709" s="22"/>
      <c r="W709" s="22"/>
      <c r="X709" s="16"/>
      <c r="Y709" s="57"/>
    </row>
    <row r="710" spans="17:25" x14ac:dyDescent="0.25">
      <c r="Q710" s="22"/>
      <c r="R710" s="22"/>
      <c r="S710" s="22"/>
      <c r="T710" s="22"/>
      <c r="U710" s="22"/>
      <c r="V710" s="22"/>
      <c r="W710" s="22"/>
      <c r="X710" s="16"/>
      <c r="Y710" s="57"/>
    </row>
    <row r="711" spans="17:25" x14ac:dyDescent="0.25">
      <c r="Q711" s="22"/>
      <c r="R711" s="22"/>
      <c r="S711" s="22"/>
      <c r="T711" s="22"/>
      <c r="U711" s="22"/>
      <c r="V711" s="22"/>
      <c r="W711" s="22"/>
      <c r="X711" s="16"/>
      <c r="Y711" s="57"/>
    </row>
    <row r="712" spans="17:25" x14ac:dyDescent="0.25">
      <c r="Q712" s="22"/>
      <c r="R712" s="22"/>
      <c r="S712" s="22"/>
      <c r="T712" s="22"/>
      <c r="U712" s="22"/>
      <c r="V712" s="22"/>
      <c r="W712" s="22"/>
      <c r="X712" s="16"/>
      <c r="Y712" s="57"/>
    </row>
    <row r="713" spans="17:25" x14ac:dyDescent="0.25">
      <c r="Q713" s="22"/>
      <c r="R713" s="22"/>
      <c r="S713" s="22"/>
      <c r="T713" s="22"/>
      <c r="U713" s="22"/>
      <c r="V713" s="22"/>
      <c r="W713" s="22"/>
      <c r="X713" s="16"/>
      <c r="Y713" s="57"/>
    </row>
    <row r="714" spans="17:25" x14ac:dyDescent="0.25">
      <c r="Q714" s="22"/>
      <c r="R714" s="22"/>
      <c r="S714" s="22"/>
      <c r="T714" s="22"/>
      <c r="U714" s="22"/>
      <c r="V714" s="22"/>
      <c r="W714" s="22"/>
      <c r="X714" s="16"/>
      <c r="Y714" s="57"/>
    </row>
    <row r="715" spans="17:25" x14ac:dyDescent="0.25">
      <c r="Q715" s="22"/>
      <c r="R715" s="22"/>
      <c r="S715" s="22"/>
      <c r="T715" s="22"/>
      <c r="U715" s="22"/>
      <c r="V715" s="22"/>
      <c r="W715" s="22"/>
      <c r="X715" s="16"/>
      <c r="Y715" s="57"/>
    </row>
    <row r="716" spans="17:25" x14ac:dyDescent="0.25">
      <c r="Q716" s="22"/>
      <c r="R716" s="22"/>
      <c r="S716" s="22"/>
      <c r="T716" s="22"/>
      <c r="U716" s="22"/>
      <c r="V716" s="22"/>
      <c r="W716" s="22"/>
      <c r="X716" s="16"/>
      <c r="Y716" s="57"/>
    </row>
    <row r="717" spans="17:25" x14ac:dyDescent="0.25">
      <c r="Q717" s="22"/>
      <c r="R717" s="22"/>
      <c r="S717" s="22"/>
      <c r="T717" s="22"/>
      <c r="U717" s="22"/>
      <c r="V717" s="22"/>
      <c r="W717" s="22"/>
      <c r="X717" s="16"/>
      <c r="Y717" s="57"/>
    </row>
    <row r="718" spans="17:25" x14ac:dyDescent="0.25">
      <c r="Q718" s="22"/>
      <c r="R718" s="22"/>
      <c r="S718" s="22"/>
      <c r="T718" s="22"/>
      <c r="U718" s="22"/>
      <c r="V718" s="22"/>
      <c r="W718" s="22"/>
      <c r="X718" s="16"/>
      <c r="Y718" s="57"/>
    </row>
    <row r="719" spans="17:25" x14ac:dyDescent="0.25">
      <c r="Q719" s="22"/>
      <c r="R719" s="22"/>
      <c r="S719" s="22"/>
      <c r="T719" s="22"/>
      <c r="U719" s="22"/>
      <c r="V719" s="22"/>
      <c r="W719" s="22"/>
      <c r="X719" s="16"/>
      <c r="Y719" s="57"/>
    </row>
    <row r="720" spans="17:25" x14ac:dyDescent="0.25">
      <c r="Q720" s="22"/>
      <c r="R720" s="22"/>
      <c r="S720" s="22"/>
      <c r="T720" s="22"/>
      <c r="U720" s="22"/>
      <c r="V720" s="22"/>
      <c r="W720" s="22"/>
      <c r="X720" s="16"/>
      <c r="Y720" s="57"/>
    </row>
    <row r="721" spans="17:25" x14ac:dyDescent="0.25">
      <c r="Q721" s="22"/>
      <c r="R721" s="22"/>
      <c r="S721" s="22"/>
      <c r="T721" s="22"/>
      <c r="U721" s="22"/>
      <c r="V721" s="22"/>
      <c r="W721" s="22"/>
      <c r="X721" s="16"/>
      <c r="Y721" s="57"/>
    </row>
    <row r="722" spans="17:25" x14ac:dyDescent="0.25">
      <c r="Q722" s="22"/>
      <c r="R722" s="22"/>
      <c r="S722" s="22"/>
      <c r="T722" s="22"/>
      <c r="U722" s="22"/>
      <c r="V722" s="22"/>
      <c r="W722" s="22"/>
      <c r="X722" s="16"/>
      <c r="Y722" s="57"/>
    </row>
    <row r="723" spans="17:25" x14ac:dyDescent="0.25">
      <c r="Q723" s="22"/>
      <c r="R723" s="22"/>
      <c r="S723" s="22"/>
      <c r="T723" s="22"/>
      <c r="U723" s="22"/>
      <c r="V723" s="22"/>
      <c r="W723" s="22"/>
      <c r="X723" s="16"/>
      <c r="Y723" s="57"/>
    </row>
    <row r="724" spans="17:25" x14ac:dyDescent="0.25">
      <c r="Q724" s="22"/>
      <c r="R724" s="22"/>
      <c r="S724" s="22"/>
      <c r="T724" s="22"/>
      <c r="U724" s="22"/>
      <c r="V724" s="22"/>
      <c r="W724" s="22"/>
      <c r="X724" s="16"/>
      <c r="Y724" s="57"/>
    </row>
    <row r="725" spans="17:25" x14ac:dyDescent="0.25">
      <c r="Q725" s="22"/>
      <c r="R725" s="22"/>
      <c r="S725" s="22"/>
      <c r="T725" s="22"/>
      <c r="U725" s="22"/>
      <c r="V725" s="22"/>
      <c r="W725" s="22"/>
      <c r="X725" s="16"/>
      <c r="Y725" s="57"/>
    </row>
    <row r="726" spans="17:25" x14ac:dyDescent="0.25">
      <c r="Q726" s="22"/>
      <c r="R726" s="22"/>
      <c r="S726" s="22"/>
      <c r="T726" s="22"/>
      <c r="U726" s="22"/>
      <c r="V726" s="22"/>
      <c r="W726" s="22"/>
      <c r="X726" s="16"/>
      <c r="Y726" s="57"/>
    </row>
    <row r="727" spans="17:25" x14ac:dyDescent="0.25">
      <c r="Q727" s="22"/>
      <c r="R727" s="22"/>
      <c r="S727" s="22"/>
      <c r="T727" s="22"/>
      <c r="U727" s="22"/>
      <c r="V727" s="22"/>
      <c r="W727" s="22"/>
      <c r="X727" s="16"/>
      <c r="Y727" s="57"/>
    </row>
    <row r="728" spans="17:25" x14ac:dyDescent="0.25">
      <c r="Q728" s="22"/>
      <c r="R728" s="22"/>
      <c r="S728" s="22"/>
      <c r="T728" s="22"/>
      <c r="U728" s="22"/>
      <c r="V728" s="22"/>
      <c r="W728" s="22"/>
      <c r="X728" s="16"/>
      <c r="Y728" s="57"/>
    </row>
    <row r="729" spans="17:25" x14ac:dyDescent="0.25">
      <c r="Q729" s="22"/>
      <c r="R729" s="22"/>
      <c r="S729" s="22"/>
      <c r="T729" s="22"/>
      <c r="U729" s="22"/>
      <c r="V729" s="22"/>
      <c r="W729" s="22"/>
      <c r="X729" s="16"/>
      <c r="Y729" s="57"/>
    </row>
    <row r="730" spans="17:25" x14ac:dyDescent="0.25">
      <c r="Q730" s="22"/>
      <c r="R730" s="22"/>
      <c r="S730" s="22"/>
      <c r="T730" s="22"/>
      <c r="U730" s="22"/>
      <c r="V730" s="22"/>
      <c r="W730" s="22"/>
      <c r="X730" s="16"/>
      <c r="Y730" s="57"/>
    </row>
    <row r="731" spans="17:25" x14ac:dyDescent="0.25">
      <c r="Q731" s="22"/>
      <c r="R731" s="22"/>
      <c r="S731" s="22"/>
      <c r="T731" s="22"/>
      <c r="U731" s="22"/>
      <c r="V731" s="22"/>
      <c r="W731" s="22"/>
      <c r="X731" s="16"/>
      <c r="Y731" s="57"/>
    </row>
    <row r="732" spans="17:25" x14ac:dyDescent="0.25">
      <c r="Q732" s="22"/>
      <c r="R732" s="22"/>
      <c r="S732" s="22"/>
      <c r="T732" s="22"/>
      <c r="U732" s="22"/>
      <c r="V732" s="22"/>
      <c r="W732" s="22"/>
      <c r="X732" s="16"/>
      <c r="Y732" s="57"/>
    </row>
    <row r="733" spans="17:25" x14ac:dyDescent="0.25">
      <c r="Q733" s="22"/>
      <c r="R733" s="22"/>
      <c r="S733" s="22"/>
      <c r="T733" s="22"/>
      <c r="U733" s="22"/>
      <c r="V733" s="22"/>
      <c r="W733" s="22"/>
      <c r="X733" s="16"/>
      <c r="Y733" s="57"/>
    </row>
    <row r="734" spans="17:25" x14ac:dyDescent="0.25">
      <c r="Q734" s="22"/>
      <c r="R734" s="22"/>
      <c r="S734" s="22"/>
      <c r="T734" s="22"/>
      <c r="U734" s="22"/>
      <c r="V734" s="22"/>
      <c r="W734" s="22"/>
      <c r="X734" s="16"/>
      <c r="Y734" s="57"/>
    </row>
    <row r="735" spans="17:25" x14ac:dyDescent="0.25">
      <c r="Q735" s="22"/>
      <c r="R735" s="22"/>
      <c r="S735" s="22"/>
      <c r="T735" s="22"/>
      <c r="U735" s="22"/>
      <c r="V735" s="22"/>
      <c r="W735" s="22"/>
      <c r="X735" s="16"/>
      <c r="Y735" s="57"/>
    </row>
    <row r="736" spans="17:25" x14ac:dyDescent="0.25">
      <c r="Q736" s="22"/>
      <c r="R736" s="22"/>
      <c r="S736" s="22"/>
      <c r="T736" s="22"/>
      <c r="U736" s="22"/>
      <c r="V736" s="22"/>
      <c r="W736" s="22"/>
      <c r="X736" s="16"/>
      <c r="Y736" s="57"/>
    </row>
    <row r="737" spans="17:25" x14ac:dyDescent="0.25">
      <c r="Q737" s="22"/>
      <c r="R737" s="22"/>
      <c r="S737" s="22"/>
      <c r="T737" s="22"/>
      <c r="U737" s="22"/>
      <c r="V737" s="22"/>
      <c r="W737" s="22"/>
      <c r="X737" s="16"/>
      <c r="Y737" s="57"/>
    </row>
    <row r="738" spans="17:25" x14ac:dyDescent="0.25">
      <c r="Q738" s="22"/>
      <c r="R738" s="22"/>
      <c r="S738" s="22"/>
      <c r="T738" s="22"/>
      <c r="U738" s="22"/>
      <c r="V738" s="22"/>
      <c r="W738" s="22"/>
      <c r="X738" s="16"/>
      <c r="Y738" s="57"/>
    </row>
    <row r="739" spans="17:25" x14ac:dyDescent="0.25">
      <c r="Q739" s="22"/>
      <c r="R739" s="22"/>
      <c r="S739" s="22"/>
      <c r="T739" s="22"/>
      <c r="U739" s="22"/>
      <c r="V739" s="22"/>
      <c r="W739" s="22"/>
      <c r="X739" s="16"/>
      <c r="Y739" s="57"/>
    </row>
    <row r="740" spans="17:25" x14ac:dyDescent="0.25">
      <c r="Q740" s="22"/>
      <c r="R740" s="22"/>
      <c r="S740" s="22"/>
      <c r="T740" s="22"/>
      <c r="U740" s="22"/>
      <c r="V740" s="22"/>
      <c r="W740" s="22"/>
      <c r="X740" s="16"/>
      <c r="Y740" s="57"/>
    </row>
    <row r="741" spans="17:25" x14ac:dyDescent="0.25">
      <c r="Q741" s="22"/>
      <c r="R741" s="22"/>
      <c r="S741" s="22"/>
      <c r="T741" s="22"/>
      <c r="U741" s="22"/>
      <c r="V741" s="22"/>
      <c r="W741" s="22"/>
      <c r="X741" s="16"/>
      <c r="Y741" s="57"/>
    </row>
    <row r="742" spans="17:25" x14ac:dyDescent="0.25">
      <c r="Q742" s="22"/>
      <c r="R742" s="22"/>
      <c r="S742" s="22"/>
      <c r="T742" s="22"/>
      <c r="U742" s="22"/>
      <c r="V742" s="22"/>
      <c r="W742" s="22"/>
      <c r="X742" s="16"/>
      <c r="Y742" s="57"/>
    </row>
    <row r="743" spans="17:25" x14ac:dyDescent="0.25">
      <c r="Q743" s="22"/>
      <c r="R743" s="22"/>
      <c r="S743" s="22"/>
      <c r="T743" s="22"/>
      <c r="U743" s="22"/>
      <c r="V743" s="22"/>
      <c r="W743" s="22"/>
      <c r="X743" s="16"/>
      <c r="Y743" s="57"/>
    </row>
    <row r="744" spans="17:25" x14ac:dyDescent="0.25">
      <c r="Q744" s="22"/>
      <c r="R744" s="22"/>
      <c r="S744" s="22"/>
      <c r="T744" s="22"/>
      <c r="U744" s="22"/>
      <c r="V744" s="22"/>
      <c r="W744" s="22"/>
      <c r="X744" s="16"/>
      <c r="Y744" s="57"/>
    </row>
    <row r="745" spans="17:25" x14ac:dyDescent="0.25">
      <c r="Q745" s="22"/>
      <c r="R745" s="22"/>
      <c r="S745" s="22"/>
      <c r="T745" s="22"/>
      <c r="U745" s="22"/>
      <c r="V745" s="22"/>
      <c r="W745" s="22"/>
      <c r="X745" s="16"/>
      <c r="Y745" s="57"/>
    </row>
    <row r="746" spans="17:25" x14ac:dyDescent="0.25">
      <c r="Q746" s="22"/>
      <c r="R746" s="22"/>
      <c r="S746" s="22"/>
      <c r="T746" s="22"/>
      <c r="U746" s="22"/>
      <c r="V746" s="22"/>
      <c r="W746" s="22"/>
      <c r="X746" s="16"/>
      <c r="Y746" s="57"/>
    </row>
    <row r="747" spans="17:25" x14ac:dyDescent="0.25">
      <c r="Q747" s="22"/>
      <c r="R747" s="22"/>
      <c r="S747" s="22"/>
      <c r="T747" s="22"/>
      <c r="U747" s="22"/>
      <c r="V747" s="22"/>
      <c r="W747" s="22"/>
      <c r="X747" s="16"/>
      <c r="Y747" s="57"/>
    </row>
    <row r="748" spans="17:25" x14ac:dyDescent="0.25">
      <c r="Q748" s="22"/>
      <c r="R748" s="22"/>
      <c r="S748" s="22"/>
      <c r="T748" s="22"/>
      <c r="U748" s="22"/>
      <c r="V748" s="22"/>
      <c r="W748" s="22"/>
      <c r="X748" s="16"/>
      <c r="Y748" s="57"/>
    </row>
    <row r="749" spans="17:25" x14ac:dyDescent="0.25">
      <c r="Q749" s="22"/>
      <c r="R749" s="22"/>
      <c r="S749" s="22"/>
      <c r="T749" s="22"/>
      <c r="U749" s="22"/>
      <c r="V749" s="22"/>
      <c r="W749" s="22"/>
      <c r="X749" s="16"/>
      <c r="Y749" s="57"/>
    </row>
    <row r="750" spans="17:25" x14ac:dyDescent="0.25">
      <c r="Q750" s="22"/>
      <c r="R750" s="22"/>
      <c r="S750" s="22"/>
      <c r="T750" s="22"/>
      <c r="U750" s="22"/>
      <c r="V750" s="22"/>
      <c r="W750" s="22"/>
      <c r="X750" s="16"/>
      <c r="Y750" s="57"/>
    </row>
    <row r="751" spans="17:25" x14ac:dyDescent="0.25">
      <c r="Q751" s="22"/>
      <c r="R751" s="22"/>
      <c r="S751" s="22"/>
      <c r="T751" s="22"/>
      <c r="U751" s="22"/>
      <c r="V751" s="22"/>
      <c r="W751" s="22"/>
      <c r="X751" s="16"/>
      <c r="Y751" s="57"/>
    </row>
    <row r="752" spans="17:25" x14ac:dyDescent="0.25">
      <c r="Q752" s="22"/>
      <c r="R752" s="22"/>
      <c r="S752" s="22"/>
      <c r="T752" s="22"/>
      <c r="U752" s="22"/>
      <c r="V752" s="22"/>
      <c r="W752" s="22"/>
      <c r="X752" s="16"/>
      <c r="Y752" s="57"/>
    </row>
    <row r="753" spans="17:25" x14ac:dyDescent="0.25">
      <c r="Q753" s="22"/>
      <c r="R753" s="22"/>
      <c r="S753" s="22"/>
      <c r="T753" s="22"/>
      <c r="U753" s="22"/>
      <c r="V753" s="22"/>
      <c r="W753" s="22"/>
      <c r="X753" s="16"/>
      <c r="Y753" s="57"/>
    </row>
    <row r="754" spans="17:25" x14ac:dyDescent="0.25">
      <c r="Q754" s="22"/>
      <c r="R754" s="22"/>
      <c r="S754" s="22"/>
      <c r="T754" s="22"/>
      <c r="U754" s="22"/>
      <c r="V754" s="22"/>
      <c r="W754" s="22"/>
      <c r="X754" s="16"/>
      <c r="Y754" s="57"/>
    </row>
    <row r="755" spans="17:25" x14ac:dyDescent="0.25">
      <c r="Q755" s="22"/>
      <c r="R755" s="22"/>
      <c r="S755" s="22"/>
      <c r="T755" s="22"/>
      <c r="U755" s="22"/>
      <c r="V755" s="22"/>
      <c r="W755" s="22"/>
      <c r="X755" s="16"/>
      <c r="Y755" s="57"/>
    </row>
    <row r="756" spans="17:25" x14ac:dyDescent="0.25">
      <c r="Q756" s="22"/>
      <c r="R756" s="22"/>
      <c r="S756" s="22"/>
      <c r="T756" s="22"/>
      <c r="U756" s="22"/>
      <c r="V756" s="22"/>
      <c r="W756" s="22"/>
      <c r="X756" s="16"/>
      <c r="Y756" s="57"/>
    </row>
    <row r="757" spans="17:25" x14ac:dyDescent="0.25">
      <c r="Q757" s="22"/>
      <c r="R757" s="22"/>
      <c r="S757" s="22"/>
      <c r="T757" s="22"/>
      <c r="U757" s="22"/>
      <c r="V757" s="22"/>
      <c r="W757" s="22"/>
      <c r="X757" s="16"/>
      <c r="Y757" s="57"/>
    </row>
    <row r="758" spans="17:25" x14ac:dyDescent="0.25">
      <c r="Q758" s="22"/>
      <c r="R758" s="22"/>
      <c r="S758" s="22"/>
      <c r="T758" s="22"/>
      <c r="U758" s="22"/>
      <c r="V758" s="22"/>
      <c r="W758" s="22"/>
      <c r="X758" s="16"/>
      <c r="Y758" s="57"/>
    </row>
    <row r="759" spans="17:25" x14ac:dyDescent="0.25">
      <c r="Q759" s="22"/>
      <c r="R759" s="22"/>
      <c r="S759" s="22"/>
      <c r="T759" s="22"/>
      <c r="U759" s="22"/>
      <c r="V759" s="22"/>
      <c r="W759" s="22"/>
      <c r="X759" s="16"/>
      <c r="Y759" s="57"/>
    </row>
    <row r="760" spans="17:25" x14ac:dyDescent="0.25">
      <c r="Q760" s="22"/>
      <c r="R760" s="22"/>
      <c r="S760" s="22"/>
      <c r="T760" s="22"/>
      <c r="U760" s="22"/>
      <c r="V760" s="22"/>
      <c r="W760" s="22"/>
      <c r="X760" s="16"/>
      <c r="Y760" s="57"/>
    </row>
    <row r="761" spans="17:25" x14ac:dyDescent="0.25">
      <c r="Q761" s="22"/>
      <c r="R761" s="22"/>
      <c r="S761" s="22"/>
      <c r="T761" s="22"/>
      <c r="U761" s="22"/>
      <c r="V761" s="22"/>
      <c r="W761" s="22"/>
      <c r="X761" s="16"/>
      <c r="Y761" s="57"/>
    </row>
    <row r="762" spans="17:25" x14ac:dyDescent="0.25">
      <c r="Q762" s="22"/>
      <c r="R762" s="22"/>
      <c r="S762" s="22"/>
      <c r="T762" s="22"/>
      <c r="U762" s="22"/>
      <c r="V762" s="22"/>
      <c r="W762" s="22"/>
      <c r="X762" s="16"/>
      <c r="Y762" s="57"/>
    </row>
    <row r="763" spans="17:25" x14ac:dyDescent="0.25">
      <c r="Q763" s="22"/>
      <c r="R763" s="22"/>
      <c r="S763" s="22"/>
      <c r="T763" s="22"/>
      <c r="U763" s="22"/>
      <c r="V763" s="22"/>
      <c r="W763" s="22"/>
      <c r="X763" s="16"/>
      <c r="Y763" s="57"/>
    </row>
    <row r="764" spans="17:25" x14ac:dyDescent="0.25">
      <c r="Q764" s="22"/>
      <c r="R764" s="22"/>
      <c r="S764" s="22"/>
      <c r="T764" s="22"/>
      <c r="U764" s="22"/>
      <c r="V764" s="22"/>
      <c r="W764" s="22"/>
      <c r="X764" s="16"/>
      <c r="Y764" s="57"/>
    </row>
    <row r="765" spans="17:25" x14ac:dyDescent="0.25">
      <c r="Q765" s="22"/>
      <c r="R765" s="22"/>
      <c r="S765" s="22"/>
      <c r="T765" s="22"/>
      <c r="U765" s="22"/>
      <c r="V765" s="22"/>
      <c r="W765" s="22"/>
      <c r="X765" s="16"/>
      <c r="Y765" s="57"/>
    </row>
    <row r="766" spans="17:25" x14ac:dyDescent="0.25">
      <c r="Q766" s="22"/>
      <c r="R766" s="22"/>
      <c r="S766" s="22"/>
      <c r="T766" s="22"/>
      <c r="U766" s="22"/>
      <c r="V766" s="22"/>
      <c r="W766" s="22"/>
      <c r="X766" s="16"/>
      <c r="Y766" s="57"/>
    </row>
    <row r="767" spans="17:25" x14ac:dyDescent="0.25">
      <c r="Q767" s="22"/>
      <c r="R767" s="22"/>
      <c r="S767" s="22"/>
      <c r="T767" s="22"/>
      <c r="U767" s="22"/>
      <c r="V767" s="22"/>
      <c r="W767" s="22"/>
      <c r="X767" s="16"/>
      <c r="Y767" s="57"/>
    </row>
    <row r="768" spans="17:25" x14ac:dyDescent="0.25">
      <c r="Q768" s="22"/>
      <c r="R768" s="22"/>
      <c r="S768" s="22"/>
      <c r="T768" s="22"/>
      <c r="U768" s="22"/>
      <c r="V768" s="22"/>
      <c r="W768" s="22"/>
      <c r="X768" s="16"/>
      <c r="Y768" s="57"/>
    </row>
    <row r="769" spans="17:25" x14ac:dyDescent="0.25">
      <c r="Q769" s="22"/>
      <c r="R769" s="22"/>
      <c r="S769" s="22"/>
      <c r="T769" s="22"/>
      <c r="U769" s="22"/>
      <c r="V769" s="22"/>
      <c r="W769" s="22"/>
      <c r="X769" s="16"/>
      <c r="Y769" s="57"/>
    </row>
    <row r="770" spans="17:25" x14ac:dyDescent="0.25">
      <c r="Q770" s="22"/>
      <c r="R770" s="22"/>
      <c r="S770" s="22"/>
      <c r="T770" s="22"/>
      <c r="U770" s="22"/>
      <c r="V770" s="22"/>
      <c r="W770" s="22"/>
      <c r="X770" s="16"/>
      <c r="Y770" s="57"/>
    </row>
    <row r="771" spans="17:25" x14ac:dyDescent="0.25">
      <c r="Q771" s="22"/>
      <c r="R771" s="22"/>
      <c r="S771" s="22"/>
      <c r="T771" s="22"/>
      <c r="U771" s="22"/>
      <c r="V771" s="22"/>
      <c r="W771" s="22"/>
      <c r="X771" s="16"/>
      <c r="Y771" s="57"/>
    </row>
    <row r="772" spans="17:25" x14ac:dyDescent="0.25">
      <c r="Q772" s="22"/>
      <c r="R772" s="22"/>
      <c r="S772" s="22"/>
      <c r="T772" s="22"/>
      <c r="U772" s="22"/>
      <c r="V772" s="22"/>
      <c r="W772" s="22"/>
      <c r="X772" s="16"/>
      <c r="Y772" s="57"/>
    </row>
    <row r="773" spans="17:25" x14ac:dyDescent="0.25">
      <c r="Q773" s="22"/>
      <c r="R773" s="22"/>
      <c r="S773" s="22"/>
      <c r="T773" s="22"/>
      <c r="U773" s="22"/>
      <c r="V773" s="22"/>
      <c r="W773" s="22"/>
      <c r="X773" s="16"/>
      <c r="Y773" s="57"/>
    </row>
    <row r="774" spans="17:25" x14ac:dyDescent="0.25">
      <c r="Q774" s="22"/>
      <c r="R774" s="22"/>
      <c r="S774" s="22"/>
      <c r="T774" s="22"/>
      <c r="U774" s="22"/>
      <c r="V774" s="22"/>
      <c r="W774" s="22"/>
      <c r="X774" s="16"/>
      <c r="Y774" s="57"/>
    </row>
    <row r="775" spans="17:25" x14ac:dyDescent="0.25">
      <c r="Q775" s="22"/>
      <c r="R775" s="22"/>
      <c r="S775" s="22"/>
      <c r="T775" s="22"/>
      <c r="U775" s="22"/>
      <c r="V775" s="22"/>
      <c r="W775" s="22"/>
      <c r="X775" s="16"/>
      <c r="Y775" s="57"/>
    </row>
    <row r="776" spans="17:25" x14ac:dyDescent="0.25">
      <c r="Q776" s="22"/>
      <c r="R776" s="22"/>
      <c r="S776" s="22"/>
      <c r="T776" s="22"/>
      <c r="U776" s="22"/>
      <c r="V776" s="22"/>
      <c r="W776" s="22"/>
      <c r="X776" s="16"/>
      <c r="Y776" s="57"/>
    </row>
    <row r="777" spans="17:25" x14ac:dyDescent="0.25">
      <c r="Q777" s="22"/>
      <c r="R777" s="22"/>
      <c r="S777" s="22"/>
      <c r="T777" s="22"/>
      <c r="U777" s="22"/>
      <c r="V777" s="22"/>
      <c r="W777" s="22"/>
      <c r="X777" s="16"/>
      <c r="Y777" s="57"/>
    </row>
    <row r="778" spans="17:25" x14ac:dyDescent="0.25">
      <c r="Q778" s="22"/>
      <c r="R778" s="22"/>
      <c r="S778" s="22"/>
      <c r="T778" s="22"/>
      <c r="U778" s="22"/>
      <c r="V778" s="22"/>
      <c r="W778" s="22"/>
      <c r="X778" s="16"/>
      <c r="Y778" s="57"/>
    </row>
    <row r="779" spans="17:25" x14ac:dyDescent="0.25">
      <c r="Q779" s="22"/>
      <c r="R779" s="22"/>
      <c r="S779" s="22"/>
      <c r="T779" s="22"/>
      <c r="U779" s="22"/>
      <c r="V779" s="22"/>
      <c r="W779" s="22"/>
      <c r="X779" s="16"/>
      <c r="Y779" s="57"/>
    </row>
    <row r="780" spans="17:25" x14ac:dyDescent="0.25">
      <c r="Q780" s="22"/>
      <c r="R780" s="22"/>
      <c r="S780" s="22"/>
      <c r="T780" s="22"/>
      <c r="U780" s="22"/>
      <c r="V780" s="22"/>
      <c r="W780" s="22"/>
      <c r="X780" s="16"/>
      <c r="Y780" s="57"/>
    </row>
    <row r="781" spans="17:25" x14ac:dyDescent="0.25">
      <c r="Q781" s="22"/>
      <c r="R781" s="22"/>
      <c r="S781" s="22"/>
      <c r="T781" s="22"/>
      <c r="U781" s="22"/>
      <c r="V781" s="22"/>
      <c r="W781" s="22"/>
      <c r="X781" s="16"/>
      <c r="Y781" s="57"/>
    </row>
    <row r="782" spans="17:25" x14ac:dyDescent="0.25">
      <c r="Q782" s="22"/>
      <c r="R782" s="22"/>
      <c r="S782" s="22"/>
      <c r="T782" s="22"/>
      <c r="U782" s="22"/>
      <c r="V782" s="22"/>
      <c r="W782" s="22"/>
      <c r="X782" s="16"/>
      <c r="Y782" s="57"/>
    </row>
    <row r="783" spans="17:25" x14ac:dyDescent="0.25">
      <c r="Q783" s="22"/>
      <c r="R783" s="22"/>
      <c r="S783" s="22"/>
      <c r="T783" s="22"/>
      <c r="U783" s="22"/>
      <c r="V783" s="22"/>
      <c r="W783" s="22"/>
      <c r="X783" s="16"/>
      <c r="Y783" s="57"/>
    </row>
    <row r="784" spans="17:25" x14ac:dyDescent="0.25">
      <c r="Q784" s="22"/>
      <c r="R784" s="22"/>
      <c r="S784" s="22"/>
      <c r="T784" s="22"/>
      <c r="U784" s="22"/>
      <c r="V784" s="22"/>
      <c r="W784" s="22"/>
      <c r="X784" s="16"/>
      <c r="Y784" s="57"/>
    </row>
    <row r="785" spans="17:25" x14ac:dyDescent="0.25">
      <c r="Q785" s="22"/>
      <c r="R785" s="22"/>
      <c r="S785" s="22"/>
      <c r="T785" s="22"/>
      <c r="U785" s="22"/>
      <c r="V785" s="22"/>
      <c r="W785" s="22"/>
      <c r="X785" s="16"/>
      <c r="Y785" s="57"/>
    </row>
    <row r="786" spans="17:25" x14ac:dyDescent="0.25">
      <c r="Q786" s="22"/>
      <c r="R786" s="22"/>
      <c r="S786" s="22"/>
      <c r="T786" s="22"/>
      <c r="U786" s="22"/>
      <c r="V786" s="22"/>
      <c r="W786" s="22"/>
      <c r="X786" s="16"/>
      <c r="Y786" s="57"/>
    </row>
    <row r="787" spans="17:25" x14ac:dyDescent="0.25">
      <c r="Q787" s="22"/>
      <c r="R787" s="22"/>
      <c r="S787" s="22"/>
      <c r="T787" s="22"/>
      <c r="U787" s="22"/>
      <c r="V787" s="22"/>
      <c r="W787" s="22"/>
      <c r="X787" s="16"/>
      <c r="Y787" s="57"/>
    </row>
    <row r="788" spans="17:25" x14ac:dyDescent="0.25">
      <c r="Q788" s="22"/>
      <c r="R788" s="22"/>
      <c r="S788" s="22"/>
      <c r="T788" s="22"/>
      <c r="U788" s="22"/>
      <c r="V788" s="22"/>
      <c r="W788" s="22"/>
      <c r="X788" s="16"/>
      <c r="Y788" s="57"/>
    </row>
    <row r="789" spans="17:25" x14ac:dyDescent="0.25">
      <c r="Q789" s="22"/>
      <c r="R789" s="22"/>
      <c r="S789" s="22"/>
      <c r="T789" s="22"/>
      <c r="U789" s="22"/>
      <c r="V789" s="22"/>
      <c r="W789" s="22"/>
      <c r="X789" s="16"/>
      <c r="Y789" s="57"/>
    </row>
    <row r="790" spans="17:25" x14ac:dyDescent="0.25">
      <c r="Q790" s="22"/>
      <c r="R790" s="22"/>
      <c r="S790" s="22"/>
      <c r="T790" s="22"/>
      <c r="U790" s="22"/>
      <c r="V790" s="22"/>
      <c r="W790" s="22"/>
      <c r="X790" s="16"/>
      <c r="Y790" s="57"/>
    </row>
    <row r="791" spans="17:25" x14ac:dyDescent="0.25">
      <c r="Q791" s="22"/>
      <c r="R791" s="22"/>
      <c r="S791" s="22"/>
      <c r="T791" s="22"/>
      <c r="U791" s="22"/>
      <c r="V791" s="22"/>
      <c r="W791" s="22"/>
      <c r="X791" s="16"/>
      <c r="Y791" s="57"/>
    </row>
    <row r="792" spans="17:25" x14ac:dyDescent="0.25">
      <c r="Q792" s="22"/>
      <c r="R792" s="22"/>
      <c r="S792" s="22"/>
      <c r="T792" s="22"/>
      <c r="U792" s="22"/>
      <c r="V792" s="22"/>
      <c r="W792" s="22"/>
      <c r="X792" s="16"/>
      <c r="Y792" s="57"/>
    </row>
    <row r="793" spans="17:25" x14ac:dyDescent="0.25">
      <c r="Q793" s="22"/>
      <c r="R793" s="22"/>
      <c r="S793" s="22"/>
      <c r="T793" s="22"/>
      <c r="U793" s="22"/>
      <c r="V793" s="22"/>
      <c r="W793" s="22"/>
      <c r="X793" s="16"/>
      <c r="Y793" s="57"/>
    </row>
    <row r="794" spans="17:25" x14ac:dyDescent="0.25">
      <c r="Q794" s="22"/>
      <c r="R794" s="22"/>
      <c r="S794" s="22"/>
      <c r="T794" s="22"/>
      <c r="U794" s="22"/>
      <c r="V794" s="22"/>
      <c r="W794" s="22"/>
      <c r="X794" s="16"/>
      <c r="Y794" s="57"/>
    </row>
    <row r="795" spans="17:25" x14ac:dyDescent="0.25">
      <c r="Q795" s="22"/>
      <c r="R795" s="22"/>
      <c r="S795" s="22"/>
      <c r="T795" s="22"/>
      <c r="U795" s="22"/>
      <c r="V795" s="22"/>
      <c r="W795" s="22"/>
      <c r="X795" s="16"/>
      <c r="Y795" s="57"/>
    </row>
    <row r="796" spans="17:25" x14ac:dyDescent="0.25">
      <c r="Q796" s="22"/>
      <c r="R796" s="22"/>
      <c r="S796" s="22"/>
      <c r="T796" s="22"/>
      <c r="U796" s="22"/>
      <c r="V796" s="22"/>
      <c r="W796" s="22"/>
      <c r="X796" s="16"/>
      <c r="Y796" s="57"/>
    </row>
    <row r="797" spans="17:25" x14ac:dyDescent="0.25">
      <c r="Q797" s="22"/>
      <c r="R797" s="22"/>
      <c r="S797" s="22"/>
      <c r="T797" s="22"/>
      <c r="U797" s="22"/>
      <c r="V797" s="22"/>
      <c r="W797" s="22"/>
      <c r="X797" s="16"/>
      <c r="Y797" s="57"/>
    </row>
    <row r="798" spans="17:25" x14ac:dyDescent="0.25">
      <c r="Q798" s="22"/>
      <c r="R798" s="22"/>
      <c r="S798" s="22"/>
      <c r="T798" s="22"/>
      <c r="U798" s="22"/>
      <c r="V798" s="22"/>
      <c r="W798" s="22"/>
      <c r="X798" s="16"/>
      <c r="Y798" s="57"/>
    </row>
    <row r="799" spans="17:25" x14ac:dyDescent="0.25">
      <c r="Q799" s="22"/>
      <c r="R799" s="22"/>
      <c r="S799" s="22"/>
      <c r="T799" s="22"/>
      <c r="U799" s="22"/>
      <c r="V799" s="22"/>
      <c r="W799" s="22"/>
      <c r="X799" s="16"/>
      <c r="Y799" s="57"/>
    </row>
    <row r="800" spans="17:25" x14ac:dyDescent="0.25">
      <c r="Q800" s="22"/>
      <c r="R800" s="22"/>
      <c r="S800" s="22"/>
      <c r="T800" s="22"/>
      <c r="U800" s="22"/>
      <c r="V800" s="22"/>
      <c r="W800" s="22"/>
      <c r="X800" s="16"/>
      <c r="Y800" s="57"/>
    </row>
    <row r="801" spans="17:25" x14ac:dyDescent="0.25">
      <c r="Q801" s="22"/>
      <c r="R801" s="22"/>
      <c r="S801" s="22"/>
      <c r="T801" s="22"/>
      <c r="U801" s="22"/>
      <c r="V801" s="22"/>
      <c r="W801" s="22"/>
      <c r="X801" s="16"/>
      <c r="Y801" s="57"/>
    </row>
    <row r="802" spans="17:25" x14ac:dyDescent="0.25">
      <c r="Q802" s="22"/>
      <c r="R802" s="22"/>
      <c r="S802" s="22"/>
      <c r="T802" s="22"/>
      <c r="U802" s="22"/>
      <c r="V802" s="22"/>
      <c r="W802" s="22"/>
      <c r="X802" s="16"/>
      <c r="Y802" s="57"/>
    </row>
    <row r="803" spans="17:25" x14ac:dyDescent="0.25">
      <c r="Q803" s="22"/>
      <c r="R803" s="22"/>
      <c r="S803" s="22"/>
      <c r="T803" s="22"/>
      <c r="U803" s="22"/>
      <c r="V803" s="22"/>
      <c r="W803" s="22"/>
      <c r="X803" s="16"/>
      <c r="Y803" s="57"/>
    </row>
    <row r="804" spans="17:25" x14ac:dyDescent="0.25">
      <c r="Q804" s="22"/>
      <c r="R804" s="22"/>
      <c r="S804" s="22"/>
      <c r="T804" s="22"/>
      <c r="U804" s="22"/>
      <c r="V804" s="22"/>
      <c r="W804" s="22"/>
      <c r="X804" s="16"/>
      <c r="Y804" s="57"/>
    </row>
    <row r="805" spans="17:25" x14ac:dyDescent="0.25">
      <c r="Q805" s="22"/>
      <c r="R805" s="22"/>
      <c r="S805" s="22"/>
      <c r="T805" s="22"/>
      <c r="U805" s="22"/>
      <c r="V805" s="22"/>
      <c r="W805" s="22"/>
      <c r="X805" s="16"/>
      <c r="Y805" s="57"/>
    </row>
    <row r="806" spans="17:25" x14ac:dyDescent="0.25">
      <c r="Q806" s="22"/>
      <c r="R806" s="22"/>
      <c r="S806" s="22"/>
      <c r="T806" s="22"/>
      <c r="U806" s="22"/>
      <c r="V806" s="22"/>
      <c r="W806" s="22"/>
      <c r="X806" s="16"/>
      <c r="Y806" s="57"/>
    </row>
    <row r="807" spans="17:25" x14ac:dyDescent="0.25">
      <c r="Q807" s="22"/>
      <c r="R807" s="22"/>
      <c r="S807" s="22"/>
      <c r="T807" s="22"/>
      <c r="U807" s="22"/>
      <c r="V807" s="22"/>
      <c r="W807" s="22"/>
      <c r="X807" s="16"/>
      <c r="Y807" s="57"/>
    </row>
    <row r="808" spans="17:25" x14ac:dyDescent="0.25">
      <c r="Q808" s="22"/>
      <c r="R808" s="22"/>
      <c r="S808" s="22"/>
      <c r="T808" s="22"/>
      <c r="U808" s="22"/>
      <c r="V808" s="22"/>
      <c r="W808" s="22"/>
      <c r="X808" s="16"/>
      <c r="Y808" s="57"/>
    </row>
    <row r="809" spans="17:25" x14ac:dyDescent="0.25">
      <c r="Q809" s="22"/>
      <c r="R809" s="22"/>
      <c r="S809" s="22"/>
      <c r="T809" s="22"/>
      <c r="U809" s="22"/>
      <c r="V809" s="22"/>
      <c r="W809" s="22"/>
      <c r="X809" s="16"/>
      <c r="Y809" s="57"/>
    </row>
    <row r="810" spans="17:25" x14ac:dyDescent="0.25">
      <c r="Q810" s="22"/>
      <c r="R810" s="22"/>
      <c r="S810" s="22"/>
      <c r="T810" s="22"/>
      <c r="U810" s="22"/>
      <c r="V810" s="22"/>
      <c r="W810" s="22"/>
      <c r="X810" s="16"/>
      <c r="Y810" s="57"/>
    </row>
    <row r="811" spans="17:25" x14ac:dyDescent="0.25">
      <c r="Q811" s="22"/>
      <c r="R811" s="22"/>
      <c r="S811" s="22"/>
      <c r="T811" s="22"/>
      <c r="U811" s="22"/>
      <c r="V811" s="22"/>
      <c r="W811" s="22"/>
      <c r="X811" s="16"/>
      <c r="Y811" s="57"/>
    </row>
    <row r="812" spans="17:25" x14ac:dyDescent="0.25">
      <c r="Q812" s="22"/>
      <c r="R812" s="22"/>
      <c r="S812" s="22"/>
      <c r="T812" s="22"/>
      <c r="U812" s="22"/>
      <c r="V812" s="22"/>
      <c r="W812" s="22"/>
      <c r="X812" s="16"/>
      <c r="Y812" s="57"/>
    </row>
    <row r="813" spans="17:25" x14ac:dyDescent="0.25">
      <c r="Q813" s="22"/>
      <c r="R813" s="22"/>
      <c r="S813" s="22"/>
      <c r="T813" s="22"/>
      <c r="U813" s="22"/>
      <c r="V813" s="22"/>
      <c r="W813" s="22"/>
      <c r="X813" s="16"/>
      <c r="Y813" s="57"/>
    </row>
    <row r="814" spans="17:25" x14ac:dyDescent="0.25">
      <c r="Q814" s="22"/>
      <c r="R814" s="22"/>
      <c r="S814" s="22"/>
      <c r="T814" s="22"/>
      <c r="U814" s="22"/>
      <c r="V814" s="22"/>
      <c r="W814" s="22"/>
      <c r="X814" s="16"/>
      <c r="Y814" s="57"/>
    </row>
    <row r="815" spans="17:25" x14ac:dyDescent="0.25">
      <c r="Q815" s="22"/>
      <c r="R815" s="22"/>
      <c r="S815" s="22"/>
      <c r="T815" s="22"/>
      <c r="U815" s="22"/>
      <c r="V815" s="22"/>
      <c r="W815" s="22"/>
      <c r="X815" s="16"/>
      <c r="Y815" s="57"/>
    </row>
    <row r="816" spans="17:25" x14ac:dyDescent="0.25">
      <c r="Q816" s="22"/>
      <c r="R816" s="22"/>
      <c r="S816" s="22"/>
      <c r="T816" s="22"/>
      <c r="U816" s="22"/>
      <c r="V816" s="22"/>
      <c r="W816" s="22"/>
      <c r="X816" s="16"/>
      <c r="Y816" s="57"/>
    </row>
    <row r="817" spans="17:25" x14ac:dyDescent="0.25">
      <c r="Q817" s="22"/>
      <c r="R817" s="22"/>
      <c r="S817" s="22"/>
      <c r="T817" s="22"/>
      <c r="U817" s="22"/>
      <c r="V817" s="22"/>
      <c r="W817" s="22"/>
      <c r="X817" s="16"/>
      <c r="Y817" s="57"/>
    </row>
    <row r="818" spans="17:25" x14ac:dyDescent="0.25">
      <c r="Q818" s="22"/>
      <c r="R818" s="22"/>
      <c r="S818" s="22"/>
      <c r="T818" s="22"/>
      <c r="U818" s="22"/>
      <c r="V818" s="22"/>
      <c r="W818" s="22"/>
      <c r="X818" s="16"/>
      <c r="Y818" s="57"/>
    </row>
    <row r="819" spans="17:25" x14ac:dyDescent="0.25">
      <c r="Q819" s="22"/>
      <c r="R819" s="22"/>
      <c r="S819" s="22"/>
      <c r="T819" s="22"/>
      <c r="U819" s="22"/>
      <c r="V819" s="22"/>
      <c r="W819" s="22"/>
      <c r="X819" s="16"/>
      <c r="Y819" s="57"/>
    </row>
    <row r="820" spans="17:25" x14ac:dyDescent="0.25">
      <c r="Q820" s="22"/>
      <c r="R820" s="22"/>
      <c r="S820" s="22"/>
      <c r="T820" s="22"/>
      <c r="U820" s="22"/>
      <c r="V820" s="22"/>
      <c r="W820" s="22"/>
      <c r="X820" s="16"/>
      <c r="Y820" s="57"/>
    </row>
    <row r="821" spans="17:25" x14ac:dyDescent="0.25">
      <c r="Q821" s="22"/>
      <c r="R821" s="22"/>
      <c r="S821" s="22"/>
      <c r="T821" s="22"/>
      <c r="U821" s="22"/>
      <c r="V821" s="22"/>
      <c r="W821" s="22"/>
      <c r="X821" s="16"/>
      <c r="Y821" s="57"/>
    </row>
    <row r="822" spans="17:25" x14ac:dyDescent="0.25">
      <c r="Q822" s="22"/>
      <c r="R822" s="22"/>
      <c r="S822" s="22"/>
      <c r="T822" s="22"/>
      <c r="U822" s="22"/>
      <c r="V822" s="22"/>
      <c r="W822" s="22"/>
      <c r="X822" s="16"/>
      <c r="Y822" s="57"/>
    </row>
    <row r="823" spans="17:25" x14ac:dyDescent="0.25">
      <c r="Q823" s="22"/>
      <c r="R823" s="22"/>
      <c r="S823" s="22"/>
      <c r="T823" s="22"/>
      <c r="U823" s="22"/>
      <c r="V823" s="22"/>
      <c r="W823" s="22"/>
      <c r="X823" s="16"/>
      <c r="Y823" s="57"/>
    </row>
    <row r="824" spans="17:25" x14ac:dyDescent="0.25">
      <c r="Q824" s="22"/>
      <c r="R824" s="22"/>
      <c r="S824" s="22"/>
      <c r="T824" s="22"/>
      <c r="U824" s="22"/>
      <c r="V824" s="22"/>
      <c r="W824" s="22"/>
      <c r="X824" s="16"/>
      <c r="Y824" s="57"/>
    </row>
    <row r="825" spans="17:25" x14ac:dyDescent="0.25">
      <c r="Q825" s="22"/>
      <c r="R825" s="22"/>
      <c r="S825" s="22"/>
      <c r="T825" s="22"/>
      <c r="U825" s="22"/>
      <c r="V825" s="22"/>
      <c r="W825" s="22"/>
      <c r="X825" s="16"/>
      <c r="Y825" s="57"/>
    </row>
    <row r="826" spans="17:25" x14ac:dyDescent="0.25">
      <c r="Q826" s="22"/>
      <c r="R826" s="22"/>
      <c r="S826" s="22"/>
      <c r="T826" s="22"/>
      <c r="U826" s="22"/>
      <c r="V826" s="22"/>
      <c r="W826" s="22"/>
      <c r="X826" s="16"/>
      <c r="Y826" s="57"/>
    </row>
    <row r="827" spans="17:25" x14ac:dyDescent="0.25">
      <c r="Q827" s="22"/>
      <c r="R827" s="22"/>
      <c r="S827" s="22"/>
      <c r="T827" s="22"/>
      <c r="U827" s="22"/>
      <c r="V827" s="22"/>
      <c r="W827" s="22"/>
      <c r="X827" s="16"/>
      <c r="Y827" s="57"/>
    </row>
    <row r="828" spans="17:25" x14ac:dyDescent="0.25">
      <c r="Q828" s="22"/>
      <c r="R828" s="22"/>
      <c r="S828" s="22"/>
      <c r="T828" s="22"/>
      <c r="U828" s="22"/>
      <c r="V828" s="22"/>
      <c r="W828" s="22"/>
      <c r="X828" s="16"/>
      <c r="Y828" s="57"/>
    </row>
    <row r="829" spans="17:25" x14ac:dyDescent="0.25">
      <c r="Q829" s="22"/>
      <c r="R829" s="22"/>
      <c r="S829" s="22"/>
      <c r="T829" s="22"/>
      <c r="U829" s="22"/>
      <c r="V829" s="22"/>
      <c r="W829" s="22"/>
      <c r="X829" s="16"/>
      <c r="Y829" s="57"/>
    </row>
    <row r="830" spans="17:25" x14ac:dyDescent="0.25">
      <c r="Q830" s="22"/>
      <c r="R830" s="22"/>
      <c r="S830" s="22"/>
      <c r="T830" s="22"/>
      <c r="U830" s="22"/>
      <c r="V830" s="22"/>
      <c r="W830" s="22"/>
      <c r="X830" s="16"/>
      <c r="Y830" s="57"/>
    </row>
    <row r="831" spans="17:25" x14ac:dyDescent="0.25">
      <c r="Q831" s="22"/>
      <c r="R831" s="22"/>
      <c r="S831" s="22"/>
      <c r="T831" s="22"/>
      <c r="U831" s="22"/>
      <c r="V831" s="22"/>
      <c r="W831" s="22"/>
      <c r="X831" s="16"/>
      <c r="Y831" s="57"/>
    </row>
    <row r="832" spans="17:25" x14ac:dyDescent="0.25">
      <c r="Q832" s="22"/>
      <c r="R832" s="22"/>
      <c r="S832" s="22"/>
      <c r="T832" s="22"/>
      <c r="U832" s="22"/>
      <c r="V832" s="22"/>
      <c r="W832" s="22"/>
      <c r="X832" s="16"/>
      <c r="Y832" s="57"/>
    </row>
    <row r="833" spans="17:25" x14ac:dyDescent="0.25">
      <c r="Q833" s="22"/>
      <c r="R833" s="22"/>
      <c r="S833" s="22"/>
      <c r="T833" s="22"/>
      <c r="U833" s="22"/>
      <c r="V833" s="22"/>
      <c r="W833" s="22"/>
      <c r="X833" s="16"/>
      <c r="Y833" s="57"/>
    </row>
    <row r="834" spans="17:25" x14ac:dyDescent="0.25">
      <c r="Q834" s="22"/>
      <c r="R834" s="22"/>
      <c r="S834" s="22"/>
      <c r="T834" s="22"/>
      <c r="U834" s="22"/>
      <c r="V834" s="22"/>
      <c r="W834" s="22"/>
      <c r="X834" s="16"/>
      <c r="Y834" s="57"/>
    </row>
    <row r="835" spans="17:25" x14ac:dyDescent="0.25">
      <c r="Q835" s="22"/>
      <c r="R835" s="22"/>
      <c r="S835" s="22"/>
      <c r="T835" s="22"/>
      <c r="U835" s="22"/>
      <c r="V835" s="22"/>
      <c r="W835" s="22"/>
      <c r="X835" s="16"/>
      <c r="Y835" s="57"/>
    </row>
    <row r="836" spans="17:25" x14ac:dyDescent="0.25">
      <c r="Q836" s="22"/>
      <c r="R836" s="22"/>
      <c r="S836" s="22"/>
      <c r="T836" s="22"/>
      <c r="U836" s="22"/>
      <c r="V836" s="22"/>
      <c r="W836" s="22"/>
      <c r="X836" s="16"/>
      <c r="Y836" s="57"/>
    </row>
    <row r="837" spans="17:25" x14ac:dyDescent="0.25">
      <c r="Q837" s="22"/>
      <c r="R837" s="22"/>
      <c r="S837" s="22"/>
      <c r="T837" s="22"/>
      <c r="U837" s="22"/>
      <c r="V837" s="22"/>
      <c r="W837" s="22"/>
      <c r="X837" s="16"/>
      <c r="Y837" s="57"/>
    </row>
    <row r="838" spans="17:25" x14ac:dyDescent="0.25">
      <c r="Q838" s="22"/>
      <c r="R838" s="22"/>
      <c r="S838" s="22"/>
      <c r="T838" s="22"/>
      <c r="U838" s="22"/>
      <c r="V838" s="22"/>
      <c r="W838" s="22"/>
      <c r="X838" s="16"/>
      <c r="Y838" s="57"/>
    </row>
    <row r="839" spans="17:25" x14ac:dyDescent="0.25">
      <c r="Q839" s="22"/>
      <c r="R839" s="22"/>
      <c r="S839" s="22"/>
      <c r="T839" s="22"/>
      <c r="U839" s="22"/>
      <c r="V839" s="22"/>
      <c r="W839" s="22"/>
      <c r="X839" s="16"/>
      <c r="Y839" s="57"/>
    </row>
    <row r="840" spans="17:25" x14ac:dyDescent="0.25">
      <c r="Q840" s="22"/>
      <c r="R840" s="22"/>
      <c r="S840" s="22"/>
      <c r="T840" s="22"/>
      <c r="U840" s="22"/>
      <c r="V840" s="22"/>
      <c r="W840" s="22"/>
      <c r="X840" s="16"/>
      <c r="Y840" s="57"/>
    </row>
    <row r="841" spans="17:25" x14ac:dyDescent="0.25">
      <c r="Q841" s="22"/>
      <c r="R841" s="22"/>
      <c r="S841" s="22"/>
      <c r="T841" s="22"/>
      <c r="U841" s="22"/>
      <c r="V841" s="22"/>
      <c r="W841" s="22"/>
      <c r="X841" s="16"/>
      <c r="Y841" s="57"/>
    </row>
    <row r="842" spans="17:25" x14ac:dyDescent="0.25">
      <c r="Q842" s="22"/>
      <c r="R842" s="22"/>
      <c r="S842" s="22"/>
      <c r="T842" s="22"/>
      <c r="U842" s="22"/>
      <c r="V842" s="22"/>
      <c r="W842" s="22"/>
      <c r="X842" s="16"/>
      <c r="Y842" s="57"/>
    </row>
    <row r="843" spans="17:25" x14ac:dyDescent="0.25">
      <c r="Q843" s="22"/>
      <c r="R843" s="22"/>
      <c r="S843" s="22"/>
      <c r="T843" s="22"/>
      <c r="U843" s="22"/>
      <c r="V843" s="22"/>
      <c r="W843" s="22"/>
      <c r="X843" s="16"/>
      <c r="Y843" s="57"/>
    </row>
    <row r="844" spans="17:25" x14ac:dyDescent="0.25">
      <c r="Q844" s="22"/>
      <c r="R844" s="22"/>
      <c r="S844" s="22"/>
      <c r="T844" s="22"/>
      <c r="U844" s="22"/>
      <c r="V844" s="22"/>
      <c r="W844" s="22"/>
      <c r="X844" s="16"/>
      <c r="Y844" s="57"/>
    </row>
    <row r="845" spans="17:25" x14ac:dyDescent="0.25">
      <c r="Q845" s="22"/>
      <c r="R845" s="22"/>
      <c r="S845" s="22"/>
      <c r="T845" s="22"/>
      <c r="U845" s="22"/>
      <c r="V845" s="22"/>
      <c r="W845" s="22"/>
      <c r="X845" s="16"/>
      <c r="Y845" s="57"/>
    </row>
    <row r="846" spans="17:25" x14ac:dyDescent="0.25">
      <c r="Q846" s="22"/>
      <c r="R846" s="22"/>
      <c r="S846" s="22"/>
      <c r="T846" s="22"/>
      <c r="U846" s="22"/>
      <c r="V846" s="22"/>
      <c r="W846" s="22"/>
      <c r="X846" s="16"/>
      <c r="Y846" s="57"/>
    </row>
    <row r="847" spans="17:25" x14ac:dyDescent="0.25">
      <c r="Q847" s="22"/>
      <c r="R847" s="22"/>
      <c r="S847" s="22"/>
      <c r="T847" s="22"/>
      <c r="U847" s="22"/>
      <c r="V847" s="22"/>
      <c r="W847" s="22"/>
      <c r="X847" s="16"/>
      <c r="Y847" s="57"/>
    </row>
    <row r="848" spans="17:25" x14ac:dyDescent="0.25">
      <c r="Q848" s="22"/>
      <c r="R848" s="22"/>
      <c r="S848" s="22"/>
      <c r="T848" s="22"/>
      <c r="U848" s="22"/>
      <c r="V848" s="22"/>
      <c r="W848" s="22"/>
      <c r="X848" s="16"/>
      <c r="Y848" s="57"/>
    </row>
    <row r="849" spans="17:25" x14ac:dyDescent="0.25">
      <c r="Q849" s="22"/>
      <c r="R849" s="22"/>
      <c r="S849" s="22"/>
      <c r="T849" s="22"/>
      <c r="U849" s="22"/>
      <c r="V849" s="22"/>
      <c r="W849" s="22"/>
      <c r="X849" s="16"/>
      <c r="Y849" s="57"/>
    </row>
    <row r="850" spans="17:25" x14ac:dyDescent="0.25">
      <c r="Q850" s="22"/>
      <c r="R850" s="22"/>
      <c r="S850" s="22"/>
      <c r="T850" s="22"/>
      <c r="U850" s="22"/>
      <c r="V850" s="22"/>
      <c r="W850" s="22"/>
      <c r="X850" s="16"/>
      <c r="Y850" s="57"/>
    </row>
    <row r="851" spans="17:25" x14ac:dyDescent="0.25">
      <c r="Q851" s="22"/>
      <c r="R851" s="22"/>
      <c r="S851" s="22"/>
      <c r="T851" s="22"/>
      <c r="U851" s="22"/>
      <c r="V851" s="22"/>
      <c r="W851" s="22"/>
      <c r="X851" s="16"/>
      <c r="Y851" s="57"/>
    </row>
    <row r="852" spans="17:25" x14ac:dyDescent="0.25">
      <c r="Q852" s="22"/>
      <c r="R852" s="22"/>
      <c r="S852" s="22"/>
      <c r="T852" s="22"/>
      <c r="U852" s="22"/>
      <c r="V852" s="22"/>
      <c r="W852" s="22"/>
      <c r="X852" s="16"/>
      <c r="Y852" s="57"/>
    </row>
    <row r="853" spans="17:25" x14ac:dyDescent="0.25">
      <c r="Q853" s="22"/>
      <c r="R853" s="22"/>
      <c r="S853" s="22"/>
      <c r="T853" s="22"/>
      <c r="U853" s="22"/>
      <c r="V853" s="22"/>
      <c r="W853" s="22"/>
      <c r="X853" s="16"/>
      <c r="Y853" s="57"/>
    </row>
    <row r="854" spans="17:25" x14ac:dyDescent="0.25">
      <c r="Q854" s="22"/>
      <c r="R854" s="22"/>
      <c r="S854" s="22"/>
      <c r="T854" s="22"/>
      <c r="U854" s="22"/>
      <c r="V854" s="22"/>
      <c r="W854" s="22"/>
      <c r="X854" s="16"/>
      <c r="Y854" s="57"/>
    </row>
    <row r="855" spans="17:25" x14ac:dyDescent="0.25">
      <c r="Q855" s="22"/>
      <c r="R855" s="22"/>
      <c r="S855" s="22"/>
      <c r="T855" s="22"/>
      <c r="U855" s="22"/>
      <c r="V855" s="22"/>
      <c r="W855" s="22"/>
      <c r="X855" s="16"/>
      <c r="Y855" s="57"/>
    </row>
    <row r="856" spans="17:25" x14ac:dyDescent="0.25">
      <c r="Q856" s="22"/>
      <c r="R856" s="22"/>
      <c r="S856" s="22"/>
      <c r="T856" s="22"/>
      <c r="U856" s="22"/>
      <c r="V856" s="22"/>
      <c r="W856" s="22"/>
      <c r="X856" s="16"/>
      <c r="Y856" s="57"/>
    </row>
    <row r="857" spans="17:25" x14ac:dyDescent="0.25">
      <c r="Q857" s="22"/>
      <c r="R857" s="22"/>
      <c r="S857" s="22"/>
      <c r="T857" s="22"/>
      <c r="U857" s="22"/>
      <c r="V857" s="22"/>
      <c r="W857" s="22"/>
      <c r="X857" s="16"/>
      <c r="Y857" s="57"/>
    </row>
    <row r="858" spans="17:25" x14ac:dyDescent="0.25">
      <c r="Q858" s="22"/>
      <c r="R858" s="22"/>
      <c r="S858" s="22"/>
      <c r="T858" s="22"/>
      <c r="U858" s="22"/>
      <c r="V858" s="22"/>
      <c r="W858" s="22"/>
      <c r="X858" s="16"/>
      <c r="Y858" s="57"/>
    </row>
    <row r="859" spans="17:25" x14ac:dyDescent="0.25">
      <c r="Q859" s="22"/>
      <c r="R859" s="22"/>
      <c r="S859" s="22"/>
      <c r="T859" s="22"/>
      <c r="U859" s="22"/>
      <c r="V859" s="22"/>
      <c r="W859" s="22"/>
      <c r="X859" s="16"/>
      <c r="Y859" s="57"/>
    </row>
    <row r="860" spans="17:25" x14ac:dyDescent="0.25">
      <c r="Q860" s="22"/>
      <c r="R860" s="22"/>
      <c r="S860" s="22"/>
      <c r="T860" s="22"/>
      <c r="U860" s="22"/>
      <c r="V860" s="22"/>
      <c r="W860" s="22"/>
      <c r="X860" s="16"/>
      <c r="Y860" s="57"/>
    </row>
    <row r="861" spans="17:25" x14ac:dyDescent="0.25">
      <c r="Q861" s="22"/>
      <c r="R861" s="22"/>
      <c r="S861" s="22"/>
      <c r="T861" s="22"/>
      <c r="U861" s="22"/>
      <c r="V861" s="22"/>
      <c r="W861" s="22"/>
      <c r="X861" s="16"/>
      <c r="Y861" s="57"/>
    </row>
    <row r="862" spans="17:25" x14ac:dyDescent="0.25">
      <c r="Q862" s="22"/>
      <c r="R862" s="22"/>
      <c r="S862" s="22"/>
      <c r="T862" s="22"/>
      <c r="U862" s="22"/>
      <c r="V862" s="22"/>
      <c r="W862" s="22"/>
      <c r="X862" s="16"/>
      <c r="Y862" s="57"/>
    </row>
    <row r="863" spans="17:25" x14ac:dyDescent="0.25">
      <c r="Q863" s="22"/>
      <c r="R863" s="22"/>
      <c r="S863" s="22"/>
      <c r="T863" s="22"/>
      <c r="U863" s="22"/>
      <c r="V863" s="22"/>
      <c r="W863" s="22"/>
      <c r="X863" s="16"/>
      <c r="Y863" s="57"/>
    </row>
    <row r="864" spans="17:25" x14ac:dyDescent="0.25">
      <c r="Q864" s="22"/>
      <c r="R864" s="22"/>
      <c r="S864" s="22"/>
      <c r="T864" s="22"/>
      <c r="U864" s="22"/>
      <c r="V864" s="22"/>
      <c r="W864" s="22"/>
      <c r="X864" s="16"/>
      <c r="Y864" s="57"/>
    </row>
    <row r="865" spans="17:25" x14ac:dyDescent="0.25">
      <c r="Q865" s="22"/>
      <c r="R865" s="22"/>
      <c r="S865" s="22"/>
      <c r="T865" s="22"/>
      <c r="U865" s="22"/>
      <c r="V865" s="22"/>
      <c r="W865" s="22"/>
      <c r="X865" s="16"/>
      <c r="Y865" s="57"/>
    </row>
    <row r="866" spans="17:25" x14ac:dyDescent="0.25">
      <c r="Q866" s="22"/>
      <c r="R866" s="22"/>
      <c r="S866" s="22"/>
      <c r="T866" s="22"/>
      <c r="U866" s="22"/>
      <c r="V866" s="22"/>
      <c r="W866" s="22"/>
      <c r="X866" s="16"/>
      <c r="Y866" s="57"/>
    </row>
    <row r="867" spans="17:25" x14ac:dyDescent="0.25">
      <c r="Q867" s="22"/>
      <c r="R867" s="22"/>
      <c r="S867" s="22"/>
      <c r="T867" s="22"/>
      <c r="U867" s="22"/>
      <c r="V867" s="22"/>
      <c r="W867" s="22"/>
      <c r="X867" s="16"/>
      <c r="Y867" s="57"/>
    </row>
    <row r="868" spans="17:25" x14ac:dyDescent="0.25">
      <c r="Q868" s="22"/>
      <c r="R868" s="22"/>
      <c r="S868" s="22"/>
      <c r="T868" s="22"/>
      <c r="U868" s="22"/>
      <c r="V868" s="22"/>
      <c r="W868" s="22"/>
      <c r="X868" s="16"/>
      <c r="Y868" s="57"/>
    </row>
    <row r="869" spans="17:25" x14ac:dyDescent="0.25">
      <c r="Q869" s="22"/>
      <c r="R869" s="22"/>
      <c r="S869" s="22"/>
      <c r="T869" s="22"/>
      <c r="U869" s="22"/>
      <c r="V869" s="22"/>
      <c r="W869" s="22"/>
      <c r="X869" s="16"/>
      <c r="Y869" s="57"/>
    </row>
    <row r="870" spans="17:25" x14ac:dyDescent="0.25">
      <c r="Q870" s="22"/>
      <c r="R870" s="22"/>
      <c r="S870" s="22"/>
      <c r="T870" s="22"/>
      <c r="U870" s="22"/>
      <c r="V870" s="22"/>
      <c r="W870" s="22"/>
      <c r="X870" s="16"/>
      <c r="Y870" s="57"/>
    </row>
    <row r="871" spans="17:25" x14ac:dyDescent="0.25">
      <c r="Q871" s="22"/>
      <c r="R871" s="22"/>
      <c r="S871" s="22"/>
      <c r="T871" s="22"/>
      <c r="U871" s="22"/>
      <c r="V871" s="22"/>
      <c r="W871" s="22"/>
      <c r="X871" s="16"/>
      <c r="Y871" s="57"/>
    </row>
    <row r="872" spans="17:25" x14ac:dyDescent="0.25">
      <c r="Q872" s="22"/>
      <c r="R872" s="22"/>
      <c r="S872" s="22"/>
      <c r="T872" s="22"/>
      <c r="U872" s="22"/>
      <c r="V872" s="22"/>
      <c r="W872" s="22"/>
      <c r="X872" s="16"/>
      <c r="Y872" s="57"/>
    </row>
    <row r="873" spans="17:25" x14ac:dyDescent="0.25">
      <c r="Q873" s="22"/>
      <c r="R873" s="22"/>
      <c r="S873" s="22"/>
      <c r="T873" s="22"/>
      <c r="U873" s="22"/>
      <c r="V873" s="22"/>
      <c r="W873" s="22"/>
      <c r="X873" s="16"/>
      <c r="Y873" s="57"/>
    </row>
    <row r="874" spans="17:25" x14ac:dyDescent="0.25">
      <c r="Q874" s="22"/>
      <c r="R874" s="22"/>
      <c r="S874" s="22"/>
      <c r="T874" s="22"/>
      <c r="U874" s="22"/>
      <c r="V874" s="22"/>
      <c r="W874" s="22"/>
      <c r="X874" s="16"/>
      <c r="Y874" s="57"/>
    </row>
    <row r="875" spans="17:25" x14ac:dyDescent="0.25">
      <c r="Q875" s="22"/>
      <c r="R875" s="22"/>
      <c r="S875" s="22"/>
      <c r="T875" s="22"/>
      <c r="U875" s="22"/>
      <c r="V875" s="22"/>
      <c r="W875" s="22"/>
      <c r="X875" s="16"/>
      <c r="Y875" s="57"/>
    </row>
    <row r="876" spans="17:25" x14ac:dyDescent="0.25">
      <c r="Q876" s="22"/>
      <c r="R876" s="22"/>
      <c r="S876" s="22"/>
      <c r="T876" s="22"/>
      <c r="U876" s="22"/>
      <c r="V876" s="22"/>
      <c r="W876" s="22"/>
      <c r="X876" s="16"/>
      <c r="Y876" s="57"/>
    </row>
    <row r="877" spans="17:25" x14ac:dyDescent="0.25">
      <c r="Q877" s="22"/>
      <c r="R877" s="22"/>
      <c r="S877" s="22"/>
      <c r="T877" s="22"/>
      <c r="U877" s="22"/>
      <c r="V877" s="22"/>
      <c r="W877" s="22"/>
      <c r="X877" s="16"/>
      <c r="Y877" s="57"/>
    </row>
    <row r="878" spans="17:25" x14ac:dyDescent="0.25">
      <c r="Q878" s="22"/>
      <c r="R878" s="22"/>
      <c r="S878" s="22"/>
      <c r="T878" s="22"/>
      <c r="U878" s="22"/>
      <c r="V878" s="22"/>
      <c r="W878" s="22"/>
      <c r="X878" s="16"/>
      <c r="Y878" s="57"/>
    </row>
    <row r="879" spans="17:25" x14ac:dyDescent="0.25">
      <c r="Q879" s="22"/>
      <c r="R879" s="22"/>
      <c r="S879" s="22"/>
      <c r="T879" s="22"/>
      <c r="U879" s="22"/>
      <c r="V879" s="22"/>
      <c r="W879" s="22"/>
      <c r="X879" s="16"/>
      <c r="Y879" s="57"/>
    </row>
    <row r="880" spans="17:25" x14ac:dyDescent="0.25">
      <c r="Q880" s="22"/>
      <c r="R880" s="22"/>
      <c r="S880" s="22"/>
      <c r="T880" s="22"/>
      <c r="U880" s="22"/>
      <c r="V880" s="22"/>
      <c r="W880" s="22"/>
      <c r="X880" s="16"/>
      <c r="Y880" s="57"/>
    </row>
    <row r="881" spans="17:25" x14ac:dyDescent="0.25">
      <c r="Q881" s="22"/>
      <c r="R881" s="22"/>
      <c r="S881" s="22"/>
      <c r="T881" s="22"/>
      <c r="U881" s="22"/>
      <c r="V881" s="22"/>
      <c r="W881" s="22"/>
      <c r="X881" s="16"/>
      <c r="Y881" s="57"/>
    </row>
    <row r="882" spans="17:25" x14ac:dyDescent="0.25">
      <c r="Q882" s="22"/>
      <c r="R882" s="22"/>
      <c r="S882" s="22"/>
      <c r="T882" s="22"/>
      <c r="U882" s="22"/>
      <c r="V882" s="22"/>
      <c r="W882" s="22"/>
      <c r="X882" s="16"/>
      <c r="Y882" s="57"/>
    </row>
    <row r="883" spans="17:25" x14ac:dyDescent="0.25">
      <c r="Q883" s="22"/>
      <c r="R883" s="22"/>
      <c r="S883" s="22"/>
      <c r="T883" s="22"/>
      <c r="U883" s="22"/>
      <c r="V883" s="22"/>
      <c r="W883" s="22"/>
      <c r="X883" s="16"/>
      <c r="Y883" s="57"/>
    </row>
    <row r="884" spans="17:25" x14ac:dyDescent="0.25">
      <c r="Q884" s="22"/>
      <c r="R884" s="22"/>
      <c r="S884" s="22"/>
      <c r="T884" s="22"/>
      <c r="U884" s="22"/>
      <c r="V884" s="22"/>
      <c r="W884" s="22"/>
      <c r="X884" s="16"/>
      <c r="Y884" s="57"/>
    </row>
    <row r="885" spans="17:25" x14ac:dyDescent="0.25">
      <c r="Q885" s="22"/>
      <c r="R885" s="22"/>
      <c r="S885" s="22"/>
      <c r="T885" s="22"/>
      <c r="U885" s="22"/>
      <c r="V885" s="22"/>
      <c r="W885" s="22"/>
      <c r="X885" s="16"/>
      <c r="Y885" s="57"/>
    </row>
    <row r="886" spans="17:25" x14ac:dyDescent="0.25">
      <c r="Q886" s="22"/>
      <c r="R886" s="22"/>
      <c r="S886" s="22"/>
      <c r="T886" s="22"/>
      <c r="U886" s="22"/>
      <c r="V886" s="22"/>
      <c r="W886" s="22"/>
      <c r="X886" s="16"/>
      <c r="Y886" s="57"/>
    </row>
    <row r="887" spans="17:25" x14ac:dyDescent="0.25">
      <c r="Q887" s="22"/>
      <c r="R887" s="22"/>
      <c r="S887" s="22"/>
      <c r="T887" s="22"/>
      <c r="U887" s="22"/>
      <c r="V887" s="22"/>
      <c r="W887" s="22"/>
      <c r="X887" s="16"/>
      <c r="Y887" s="57"/>
    </row>
    <row r="888" spans="17:25" x14ac:dyDescent="0.25">
      <c r="Q888" s="22"/>
      <c r="R888" s="22"/>
      <c r="S888" s="22"/>
      <c r="T888" s="22"/>
      <c r="U888" s="22"/>
      <c r="V888" s="22"/>
      <c r="W888" s="22"/>
      <c r="X888" s="16"/>
      <c r="Y888" s="57"/>
    </row>
    <row r="889" spans="17:25" x14ac:dyDescent="0.25">
      <c r="Q889" s="22"/>
      <c r="R889" s="22"/>
      <c r="S889" s="22"/>
      <c r="T889" s="22"/>
      <c r="U889" s="22"/>
      <c r="V889" s="22"/>
      <c r="W889" s="22"/>
      <c r="X889" s="16"/>
      <c r="Y889" s="57"/>
    </row>
    <row r="890" spans="17:25" x14ac:dyDescent="0.25">
      <c r="Q890" s="22"/>
      <c r="R890" s="22"/>
      <c r="S890" s="22"/>
      <c r="T890" s="22"/>
      <c r="U890" s="22"/>
      <c r="V890" s="22"/>
      <c r="W890" s="22"/>
      <c r="X890" s="16"/>
      <c r="Y890" s="57"/>
    </row>
    <row r="891" spans="17:25" x14ac:dyDescent="0.25">
      <c r="Q891" s="22"/>
      <c r="R891" s="22"/>
      <c r="S891" s="22"/>
      <c r="T891" s="22"/>
      <c r="U891" s="22"/>
      <c r="V891" s="22"/>
      <c r="W891" s="22"/>
      <c r="X891" s="16"/>
      <c r="Y891" s="57"/>
    </row>
    <row r="892" spans="17:25" x14ac:dyDescent="0.25">
      <c r="Q892" s="22"/>
      <c r="R892" s="22"/>
      <c r="S892" s="22"/>
      <c r="T892" s="22"/>
      <c r="U892" s="22"/>
      <c r="V892" s="22"/>
      <c r="W892" s="22"/>
      <c r="X892" s="16"/>
      <c r="Y892" s="57"/>
    </row>
    <row r="893" spans="17:25" x14ac:dyDescent="0.25">
      <c r="Q893" s="22"/>
      <c r="R893" s="22"/>
      <c r="S893" s="22"/>
      <c r="T893" s="22"/>
      <c r="U893" s="22"/>
      <c r="V893" s="22"/>
      <c r="W893" s="22"/>
      <c r="X893" s="16"/>
      <c r="Y893" s="57"/>
    </row>
    <row r="894" spans="17:25" x14ac:dyDescent="0.25">
      <c r="Q894" s="22"/>
      <c r="R894" s="22"/>
      <c r="S894" s="22"/>
      <c r="T894" s="22"/>
      <c r="U894" s="22"/>
      <c r="V894" s="22"/>
      <c r="W894" s="22"/>
      <c r="X894" s="16"/>
      <c r="Y894" s="57"/>
    </row>
    <row r="895" spans="17:25" x14ac:dyDescent="0.25">
      <c r="Q895" s="22"/>
      <c r="R895" s="22"/>
      <c r="S895" s="22"/>
      <c r="T895" s="22"/>
      <c r="U895" s="22"/>
      <c r="V895" s="22"/>
      <c r="W895" s="22"/>
      <c r="X895" s="16"/>
      <c r="Y895" s="57"/>
    </row>
    <row r="896" spans="17:25" x14ac:dyDescent="0.25">
      <c r="Q896" s="22"/>
      <c r="R896" s="22"/>
      <c r="S896" s="22"/>
      <c r="T896" s="22"/>
      <c r="U896" s="22"/>
      <c r="V896" s="22"/>
      <c r="W896" s="22"/>
      <c r="X896" s="16"/>
      <c r="Y896" s="57"/>
    </row>
    <row r="897" spans="17:25" x14ac:dyDescent="0.25">
      <c r="Q897" s="22"/>
      <c r="R897" s="22"/>
      <c r="S897" s="22"/>
      <c r="T897" s="22"/>
      <c r="U897" s="22"/>
      <c r="V897" s="22"/>
      <c r="W897" s="22"/>
      <c r="X897" s="16"/>
      <c r="Y897" s="57"/>
    </row>
    <row r="898" spans="17:25" x14ac:dyDescent="0.25">
      <c r="Q898" s="22"/>
      <c r="R898" s="22"/>
      <c r="S898" s="22"/>
      <c r="T898" s="22"/>
      <c r="U898" s="22"/>
      <c r="V898" s="22"/>
      <c r="W898" s="22"/>
      <c r="X898" s="16"/>
      <c r="Y898" s="57"/>
    </row>
    <row r="899" spans="17:25" x14ac:dyDescent="0.25">
      <c r="Q899" s="22"/>
      <c r="R899" s="22"/>
      <c r="S899" s="22"/>
      <c r="T899" s="22"/>
      <c r="U899" s="22"/>
      <c r="V899" s="22"/>
      <c r="W899" s="22"/>
      <c r="X899" s="16"/>
      <c r="Y899" s="57"/>
    </row>
    <row r="900" spans="17:25" x14ac:dyDescent="0.25">
      <c r="Q900" s="22"/>
      <c r="R900" s="22"/>
      <c r="S900" s="22"/>
      <c r="T900" s="22"/>
      <c r="U900" s="22"/>
      <c r="V900" s="22"/>
      <c r="W900" s="22"/>
      <c r="X900" s="16"/>
      <c r="Y900" s="57"/>
    </row>
    <row r="901" spans="17:25" x14ac:dyDescent="0.25">
      <c r="Q901" s="22"/>
      <c r="R901" s="22"/>
      <c r="S901" s="22"/>
      <c r="T901" s="22"/>
      <c r="U901" s="22"/>
      <c r="V901" s="22"/>
      <c r="W901" s="22"/>
      <c r="X901" s="16"/>
      <c r="Y901" s="57"/>
    </row>
    <row r="902" spans="17:25" x14ac:dyDescent="0.25">
      <c r="Q902" s="22"/>
      <c r="R902" s="22"/>
      <c r="S902" s="22"/>
      <c r="T902" s="22"/>
      <c r="U902" s="22"/>
      <c r="V902" s="22"/>
      <c r="W902" s="22"/>
      <c r="X902" s="16"/>
      <c r="Y902" s="57"/>
    </row>
    <row r="903" spans="17:25" x14ac:dyDescent="0.25">
      <c r="Q903" s="22"/>
      <c r="R903" s="22"/>
      <c r="S903" s="22"/>
      <c r="T903" s="22"/>
      <c r="U903" s="22"/>
      <c r="V903" s="22"/>
      <c r="W903" s="22"/>
      <c r="X903" s="16"/>
      <c r="Y903" s="57"/>
    </row>
    <row r="904" spans="17:25" x14ac:dyDescent="0.25">
      <c r="Q904" s="22"/>
      <c r="R904" s="22"/>
      <c r="S904" s="22"/>
      <c r="T904" s="22"/>
      <c r="U904" s="22"/>
      <c r="V904" s="22"/>
      <c r="W904" s="22"/>
      <c r="X904" s="16"/>
      <c r="Y904" s="57"/>
    </row>
    <row r="905" spans="17:25" x14ac:dyDescent="0.25">
      <c r="Q905" s="22"/>
      <c r="R905" s="22"/>
      <c r="S905" s="22"/>
      <c r="T905" s="22"/>
      <c r="U905" s="22"/>
      <c r="V905" s="22"/>
      <c r="W905" s="22"/>
      <c r="X905" s="16"/>
      <c r="Y905" s="57"/>
    </row>
    <row r="906" spans="17:25" x14ac:dyDescent="0.25">
      <c r="Q906" s="22"/>
      <c r="R906" s="22"/>
      <c r="S906" s="22"/>
      <c r="T906" s="22"/>
      <c r="U906" s="22"/>
      <c r="V906" s="22"/>
      <c r="W906" s="22"/>
      <c r="X906" s="16"/>
      <c r="Y906" s="57"/>
    </row>
    <row r="907" spans="17:25" x14ac:dyDescent="0.25">
      <c r="Q907" s="22"/>
      <c r="R907" s="22"/>
      <c r="S907" s="22"/>
      <c r="T907" s="22"/>
      <c r="U907" s="22"/>
      <c r="V907" s="22"/>
      <c r="W907" s="22"/>
      <c r="X907" s="16"/>
      <c r="Y907" s="57"/>
    </row>
    <row r="908" spans="17:25" x14ac:dyDescent="0.25">
      <c r="Q908" s="22"/>
      <c r="R908" s="22"/>
      <c r="S908" s="22"/>
      <c r="T908" s="22"/>
      <c r="U908" s="22"/>
      <c r="V908" s="22"/>
      <c r="W908" s="22"/>
      <c r="X908" s="16"/>
      <c r="Y908" s="57"/>
    </row>
    <row r="909" spans="17:25" x14ac:dyDescent="0.25">
      <c r="Q909" s="22"/>
      <c r="R909" s="22"/>
      <c r="S909" s="22"/>
      <c r="T909" s="22"/>
      <c r="U909" s="22"/>
      <c r="V909" s="22"/>
      <c r="W909" s="22"/>
      <c r="X909" s="16"/>
      <c r="Y909" s="57"/>
    </row>
    <row r="910" spans="17:25" x14ac:dyDescent="0.25">
      <c r="Q910" s="22"/>
      <c r="R910" s="22"/>
      <c r="S910" s="22"/>
      <c r="T910" s="22"/>
      <c r="U910" s="22"/>
      <c r="V910" s="22"/>
      <c r="W910" s="22"/>
      <c r="X910" s="16"/>
      <c r="Y910" s="57"/>
    </row>
    <row r="911" spans="17:25" x14ac:dyDescent="0.25">
      <c r="Q911" s="22"/>
      <c r="R911" s="22"/>
      <c r="S911" s="22"/>
      <c r="T911" s="22"/>
      <c r="U911" s="22"/>
      <c r="V911" s="22"/>
      <c r="W911" s="22"/>
      <c r="X911" s="16"/>
      <c r="Y911" s="57"/>
    </row>
    <row r="912" spans="17:25" x14ac:dyDescent="0.25">
      <c r="Q912" s="22"/>
      <c r="R912" s="22"/>
      <c r="S912" s="22"/>
      <c r="T912" s="22"/>
      <c r="U912" s="22"/>
      <c r="V912" s="22"/>
      <c r="W912" s="22"/>
      <c r="X912" s="16"/>
      <c r="Y912" s="57"/>
    </row>
    <row r="913" spans="17:25" x14ac:dyDescent="0.25">
      <c r="Q913" s="22"/>
      <c r="R913" s="22"/>
      <c r="S913" s="22"/>
      <c r="T913" s="22"/>
      <c r="U913" s="22"/>
      <c r="V913" s="22"/>
      <c r="W913" s="22"/>
      <c r="X913" s="16"/>
      <c r="Y913" s="57"/>
    </row>
    <row r="914" spans="17:25" x14ac:dyDescent="0.25">
      <c r="Q914" s="22"/>
      <c r="R914" s="22"/>
      <c r="S914" s="22"/>
      <c r="T914" s="22"/>
      <c r="U914" s="22"/>
      <c r="V914" s="22"/>
      <c r="W914" s="22"/>
      <c r="X914" s="16"/>
      <c r="Y914" s="57"/>
    </row>
    <row r="915" spans="17:25" x14ac:dyDescent="0.25">
      <c r="Q915" s="22"/>
      <c r="R915" s="22"/>
      <c r="S915" s="22"/>
      <c r="T915" s="22"/>
      <c r="U915" s="22"/>
      <c r="V915" s="22"/>
      <c r="W915" s="22"/>
      <c r="X915" s="16"/>
      <c r="Y915" s="57"/>
    </row>
    <row r="916" spans="17:25" x14ac:dyDescent="0.25">
      <c r="Q916" s="22"/>
      <c r="R916" s="22"/>
      <c r="S916" s="22"/>
      <c r="T916" s="22"/>
      <c r="U916" s="22"/>
      <c r="V916" s="22"/>
      <c r="W916" s="22"/>
      <c r="X916" s="16"/>
      <c r="Y916" s="57"/>
    </row>
    <row r="917" spans="17:25" x14ac:dyDescent="0.25">
      <c r="Q917" s="22"/>
      <c r="R917" s="22"/>
      <c r="S917" s="22"/>
      <c r="T917" s="22"/>
      <c r="U917" s="22"/>
      <c r="V917" s="22"/>
      <c r="W917" s="22"/>
      <c r="X917" s="16"/>
      <c r="Y917" s="57"/>
    </row>
    <row r="918" spans="17:25" x14ac:dyDescent="0.25">
      <c r="Q918" s="22"/>
      <c r="R918" s="22"/>
      <c r="S918" s="22"/>
      <c r="T918" s="22"/>
      <c r="U918" s="22"/>
      <c r="V918" s="22"/>
      <c r="W918" s="22"/>
      <c r="X918" s="16"/>
      <c r="Y918" s="57"/>
    </row>
    <row r="919" spans="17:25" x14ac:dyDescent="0.25">
      <c r="Q919" s="22"/>
      <c r="R919" s="22"/>
      <c r="S919" s="22"/>
      <c r="T919" s="22"/>
      <c r="U919" s="22"/>
      <c r="V919" s="22"/>
      <c r="W919" s="22"/>
      <c r="X919" s="16"/>
      <c r="Y919" s="57"/>
    </row>
    <row r="920" spans="17:25" x14ac:dyDescent="0.25">
      <c r="Q920" s="22"/>
      <c r="R920" s="22"/>
      <c r="S920" s="22"/>
      <c r="T920" s="22"/>
      <c r="U920" s="22"/>
      <c r="V920" s="22"/>
      <c r="W920" s="22"/>
      <c r="X920" s="16"/>
      <c r="Y920" s="57"/>
    </row>
    <row r="921" spans="17:25" x14ac:dyDescent="0.25">
      <c r="Q921" s="22"/>
      <c r="R921" s="22"/>
      <c r="S921" s="22"/>
      <c r="T921" s="22"/>
      <c r="U921" s="22"/>
      <c r="V921" s="22"/>
      <c r="W921" s="22"/>
      <c r="X921" s="16"/>
      <c r="Y921" s="57"/>
    </row>
    <row r="922" spans="17:25" x14ac:dyDescent="0.25">
      <c r="Q922" s="22"/>
      <c r="R922" s="22"/>
      <c r="S922" s="22"/>
      <c r="T922" s="22"/>
      <c r="U922" s="22"/>
      <c r="V922" s="22"/>
      <c r="W922" s="22"/>
      <c r="X922" s="16"/>
      <c r="Y922" s="57"/>
    </row>
    <row r="923" spans="17:25" x14ac:dyDescent="0.25">
      <c r="Q923" s="22"/>
      <c r="R923" s="22"/>
      <c r="S923" s="22"/>
      <c r="T923" s="22"/>
      <c r="U923" s="22"/>
      <c r="V923" s="22"/>
      <c r="W923" s="22"/>
      <c r="X923" s="16"/>
      <c r="Y923" s="57"/>
    </row>
    <row r="924" spans="17:25" x14ac:dyDescent="0.25">
      <c r="Q924" s="22"/>
      <c r="R924" s="22"/>
      <c r="S924" s="22"/>
      <c r="T924" s="22"/>
      <c r="U924" s="22"/>
      <c r="V924" s="22"/>
      <c r="W924" s="22"/>
      <c r="X924" s="16"/>
      <c r="Y924" s="57"/>
    </row>
    <row r="925" spans="17:25" x14ac:dyDescent="0.25">
      <c r="Q925" s="22"/>
      <c r="R925" s="22"/>
      <c r="S925" s="22"/>
      <c r="T925" s="22"/>
      <c r="U925" s="22"/>
      <c r="V925" s="22"/>
      <c r="W925" s="22"/>
      <c r="X925" s="16"/>
      <c r="Y925" s="57"/>
    </row>
    <row r="926" spans="17:25" x14ac:dyDescent="0.25">
      <c r="Q926" s="22"/>
      <c r="R926" s="22"/>
      <c r="S926" s="22"/>
      <c r="T926" s="22"/>
      <c r="U926" s="22"/>
      <c r="V926" s="22"/>
      <c r="W926" s="22"/>
      <c r="X926" s="16"/>
      <c r="Y926" s="57"/>
    </row>
    <row r="927" spans="17:25" x14ac:dyDescent="0.25">
      <c r="Q927" s="22"/>
      <c r="R927" s="22"/>
      <c r="S927" s="22"/>
      <c r="T927" s="22"/>
      <c r="U927" s="22"/>
      <c r="V927" s="22"/>
      <c r="W927" s="22"/>
      <c r="X927" s="16"/>
      <c r="Y927" s="57"/>
    </row>
    <row r="928" spans="17:25" x14ac:dyDescent="0.25">
      <c r="Q928" s="22"/>
      <c r="R928" s="22"/>
      <c r="S928" s="22"/>
      <c r="T928" s="22"/>
      <c r="U928" s="22"/>
      <c r="V928" s="22"/>
      <c r="W928" s="22"/>
      <c r="X928" s="16"/>
      <c r="Y928" s="57"/>
    </row>
    <row r="929" spans="17:25" x14ac:dyDescent="0.25">
      <c r="Q929" s="22"/>
      <c r="R929" s="22"/>
      <c r="S929" s="22"/>
      <c r="T929" s="22"/>
      <c r="U929" s="22"/>
      <c r="V929" s="22"/>
      <c r="W929" s="22"/>
      <c r="X929" s="16"/>
      <c r="Y929" s="57"/>
    </row>
    <row r="930" spans="17:25" x14ac:dyDescent="0.25">
      <c r="Q930" s="22"/>
      <c r="R930" s="22"/>
      <c r="S930" s="22"/>
      <c r="T930" s="22"/>
      <c r="U930" s="22"/>
      <c r="V930" s="22"/>
      <c r="W930" s="22"/>
      <c r="X930" s="16"/>
      <c r="Y930" s="57"/>
    </row>
    <row r="931" spans="17:25" x14ac:dyDescent="0.25">
      <c r="Q931" s="22"/>
      <c r="R931" s="22"/>
      <c r="S931" s="22"/>
      <c r="T931" s="22"/>
      <c r="U931" s="22"/>
      <c r="V931" s="22"/>
      <c r="W931" s="22"/>
      <c r="X931" s="16"/>
      <c r="Y931" s="57"/>
    </row>
    <row r="932" spans="17:25" x14ac:dyDescent="0.25">
      <c r="Q932" s="22"/>
      <c r="R932" s="22"/>
      <c r="S932" s="22"/>
      <c r="T932" s="22"/>
      <c r="U932" s="22"/>
      <c r="V932" s="22"/>
      <c r="W932" s="22"/>
      <c r="X932" s="16"/>
      <c r="Y932" s="57"/>
    </row>
    <row r="933" spans="17:25" x14ac:dyDescent="0.25">
      <c r="Q933" s="22"/>
      <c r="R933" s="22"/>
      <c r="S933" s="22"/>
      <c r="T933" s="22"/>
      <c r="U933" s="22"/>
      <c r="V933" s="22"/>
      <c r="W933" s="22"/>
      <c r="X933" s="16"/>
      <c r="Y933" s="57"/>
    </row>
    <row r="934" spans="17:25" x14ac:dyDescent="0.25">
      <c r="Q934" s="22"/>
      <c r="R934" s="22"/>
      <c r="S934" s="22"/>
      <c r="T934" s="22"/>
      <c r="U934" s="22"/>
      <c r="V934" s="22"/>
      <c r="W934" s="22"/>
      <c r="X934" s="16"/>
      <c r="Y934" s="57"/>
    </row>
    <row r="935" spans="17:25" x14ac:dyDescent="0.25">
      <c r="Q935" s="22"/>
      <c r="R935" s="22"/>
      <c r="S935" s="22"/>
      <c r="T935" s="22"/>
      <c r="U935" s="22"/>
      <c r="V935" s="22"/>
      <c r="W935" s="22"/>
      <c r="X935" s="16"/>
      <c r="Y935" s="57"/>
    </row>
    <row r="936" spans="17:25" x14ac:dyDescent="0.25">
      <c r="Q936" s="22"/>
      <c r="R936" s="22"/>
      <c r="S936" s="22"/>
      <c r="T936" s="22"/>
      <c r="U936" s="22"/>
      <c r="V936" s="22"/>
      <c r="W936" s="22"/>
      <c r="X936" s="16"/>
      <c r="Y936" s="57"/>
    </row>
    <row r="937" spans="17:25" x14ac:dyDescent="0.25">
      <c r="Q937" s="22"/>
      <c r="R937" s="22"/>
      <c r="S937" s="22"/>
      <c r="T937" s="22"/>
      <c r="U937" s="22"/>
      <c r="V937" s="22"/>
      <c r="W937" s="22"/>
      <c r="X937" s="16"/>
      <c r="Y937" s="57"/>
    </row>
    <row r="938" spans="17:25" x14ac:dyDescent="0.25">
      <c r="Q938" s="22"/>
      <c r="R938" s="22"/>
      <c r="S938" s="22"/>
      <c r="T938" s="22"/>
      <c r="U938" s="22"/>
      <c r="V938" s="22"/>
      <c r="W938" s="22"/>
      <c r="X938" s="16"/>
      <c r="Y938" s="57"/>
    </row>
    <row r="939" spans="17:25" x14ac:dyDescent="0.25">
      <c r="Q939" s="22"/>
      <c r="R939" s="22"/>
      <c r="S939" s="22"/>
      <c r="T939" s="22"/>
      <c r="U939" s="22"/>
      <c r="V939" s="22"/>
      <c r="W939" s="22"/>
      <c r="X939" s="16"/>
      <c r="Y939" s="57"/>
    </row>
    <row r="940" spans="17:25" x14ac:dyDescent="0.25">
      <c r="Q940" s="22"/>
      <c r="R940" s="22"/>
      <c r="S940" s="22"/>
      <c r="T940" s="22"/>
      <c r="U940" s="22"/>
      <c r="V940" s="22"/>
      <c r="W940" s="22"/>
      <c r="X940" s="16"/>
      <c r="Y940" s="57"/>
    </row>
    <row r="941" spans="17:25" x14ac:dyDescent="0.25">
      <c r="Q941" s="22"/>
      <c r="R941" s="22"/>
      <c r="S941" s="22"/>
      <c r="T941" s="22"/>
      <c r="U941" s="22"/>
      <c r="V941" s="22"/>
      <c r="W941" s="22"/>
      <c r="X941" s="16"/>
      <c r="Y941" s="57"/>
    </row>
    <row r="942" spans="17:25" x14ac:dyDescent="0.25">
      <c r="Q942" s="22"/>
      <c r="R942" s="22"/>
      <c r="S942" s="22"/>
      <c r="T942" s="22"/>
      <c r="U942" s="22"/>
      <c r="V942" s="22"/>
      <c r="W942" s="22"/>
      <c r="X942" s="16"/>
      <c r="Y942" s="57"/>
    </row>
    <row r="943" spans="17:25" x14ac:dyDescent="0.25">
      <c r="Q943" s="22"/>
      <c r="R943" s="22"/>
      <c r="S943" s="22"/>
      <c r="T943" s="22"/>
      <c r="U943" s="22"/>
      <c r="V943" s="22"/>
      <c r="W943" s="22"/>
      <c r="X943" s="16"/>
      <c r="Y943" s="57"/>
    </row>
    <row r="944" spans="17:25" x14ac:dyDescent="0.25">
      <c r="Q944" s="22"/>
      <c r="R944" s="22"/>
      <c r="S944" s="22"/>
      <c r="T944" s="22"/>
      <c r="U944" s="22"/>
      <c r="V944" s="22"/>
      <c r="W944" s="22"/>
      <c r="X944" s="16"/>
      <c r="Y944" s="57"/>
    </row>
    <row r="945" spans="17:25" x14ac:dyDescent="0.25">
      <c r="Q945" s="22"/>
      <c r="R945" s="22"/>
      <c r="S945" s="22"/>
      <c r="T945" s="22"/>
      <c r="U945" s="22"/>
      <c r="V945" s="22"/>
      <c r="W945" s="22"/>
      <c r="X945" s="16"/>
      <c r="Y945" s="57"/>
    </row>
    <row r="946" spans="17:25" x14ac:dyDescent="0.25">
      <c r="Q946" s="22"/>
      <c r="R946" s="22"/>
      <c r="S946" s="22"/>
      <c r="T946" s="22"/>
      <c r="U946" s="22"/>
      <c r="V946" s="22"/>
      <c r="W946" s="22"/>
      <c r="X946" s="16"/>
      <c r="Y946" s="57"/>
    </row>
    <row r="947" spans="17:25" x14ac:dyDescent="0.25">
      <c r="Q947" s="22"/>
      <c r="R947" s="22"/>
      <c r="S947" s="22"/>
      <c r="T947" s="22"/>
      <c r="U947" s="22"/>
      <c r="V947" s="22"/>
      <c r="W947" s="22"/>
      <c r="X947" s="16"/>
      <c r="Y947" s="57"/>
    </row>
    <row r="948" spans="17:25" x14ac:dyDescent="0.25">
      <c r="Q948" s="22"/>
      <c r="R948" s="22"/>
      <c r="S948" s="22"/>
      <c r="T948" s="22"/>
      <c r="U948" s="22"/>
      <c r="V948" s="22"/>
      <c r="W948" s="22"/>
      <c r="X948" s="16"/>
      <c r="Y948" s="57"/>
    </row>
    <row r="949" spans="17:25" x14ac:dyDescent="0.25">
      <c r="Q949" s="22"/>
      <c r="R949" s="22"/>
      <c r="S949" s="22"/>
      <c r="T949" s="22"/>
      <c r="U949" s="22"/>
      <c r="V949" s="22"/>
      <c r="W949" s="22"/>
      <c r="X949" s="16"/>
      <c r="Y949" s="57"/>
    </row>
    <row r="950" spans="17:25" x14ac:dyDescent="0.25">
      <c r="Q950" s="22"/>
      <c r="R950" s="22"/>
      <c r="S950" s="22"/>
      <c r="T950" s="22"/>
      <c r="U950" s="22"/>
      <c r="V950" s="22"/>
      <c r="W950" s="22"/>
      <c r="X950" s="16"/>
      <c r="Y950" s="57"/>
    </row>
    <row r="951" spans="17:25" x14ac:dyDescent="0.25">
      <c r="Q951" s="22"/>
      <c r="R951" s="22"/>
      <c r="S951" s="22"/>
      <c r="T951" s="22"/>
      <c r="U951" s="22"/>
      <c r="V951" s="22"/>
      <c r="W951" s="22"/>
      <c r="X951" s="16"/>
      <c r="Y951" s="57"/>
    </row>
    <row r="952" spans="17:25" x14ac:dyDescent="0.25">
      <c r="Q952" s="22"/>
      <c r="R952" s="22"/>
      <c r="S952" s="22"/>
      <c r="T952" s="22"/>
      <c r="U952" s="22"/>
      <c r="V952" s="22"/>
      <c r="W952" s="22"/>
      <c r="X952" s="16"/>
      <c r="Y952" s="57"/>
    </row>
    <row r="953" spans="17:25" x14ac:dyDescent="0.25">
      <c r="Q953" s="22"/>
      <c r="R953" s="22"/>
      <c r="S953" s="22"/>
      <c r="T953" s="22"/>
      <c r="U953" s="22"/>
      <c r="V953" s="22"/>
      <c r="W953" s="22"/>
      <c r="X953" s="16"/>
      <c r="Y953" s="57"/>
    </row>
    <row r="954" spans="17:25" x14ac:dyDescent="0.25">
      <c r="Q954" s="22"/>
      <c r="R954" s="22"/>
      <c r="S954" s="22"/>
      <c r="T954" s="22"/>
      <c r="U954" s="22"/>
      <c r="V954" s="22"/>
      <c r="W954" s="22"/>
      <c r="X954" s="16"/>
      <c r="Y954" s="57"/>
    </row>
    <row r="955" spans="17:25" x14ac:dyDescent="0.25">
      <c r="Q955" s="22"/>
      <c r="R955" s="22"/>
      <c r="S955" s="22"/>
      <c r="T955" s="22"/>
      <c r="U955" s="22"/>
      <c r="V955" s="22"/>
      <c r="W955" s="22"/>
      <c r="X955" s="16"/>
      <c r="Y955" s="57"/>
    </row>
    <row r="956" spans="17:25" x14ac:dyDescent="0.25">
      <c r="Q956" s="22"/>
      <c r="R956" s="22"/>
      <c r="S956" s="22"/>
      <c r="T956" s="22"/>
      <c r="U956" s="22"/>
      <c r="V956" s="22"/>
      <c r="W956" s="22"/>
      <c r="X956" s="16"/>
      <c r="Y956" s="57"/>
    </row>
    <row r="957" spans="17:25" x14ac:dyDescent="0.25">
      <c r="Q957" s="22"/>
      <c r="R957" s="22"/>
      <c r="S957" s="22"/>
      <c r="T957" s="22"/>
      <c r="U957" s="22"/>
      <c r="V957" s="22"/>
      <c r="W957" s="22"/>
      <c r="X957" s="16"/>
      <c r="Y957" s="57"/>
    </row>
    <row r="958" spans="17:25" x14ac:dyDescent="0.25">
      <c r="Q958" s="22"/>
      <c r="R958" s="22"/>
      <c r="S958" s="22"/>
      <c r="T958" s="22"/>
      <c r="U958" s="22"/>
      <c r="V958" s="22"/>
      <c r="W958" s="22"/>
      <c r="X958" s="16"/>
      <c r="Y958" s="57"/>
    </row>
    <row r="959" spans="17:25" x14ac:dyDescent="0.25">
      <c r="Q959" s="22"/>
      <c r="R959" s="22"/>
      <c r="S959" s="22"/>
      <c r="T959" s="22"/>
      <c r="U959" s="22"/>
      <c r="V959" s="22"/>
      <c r="W959" s="22"/>
      <c r="X959" s="16"/>
      <c r="Y959" s="57"/>
    </row>
    <row r="960" spans="17:25" x14ac:dyDescent="0.25">
      <c r="Q960" s="22"/>
      <c r="R960" s="22"/>
      <c r="S960" s="22"/>
      <c r="T960" s="22"/>
      <c r="U960" s="22"/>
      <c r="V960" s="22"/>
      <c r="W960" s="22"/>
      <c r="X960" s="16"/>
      <c r="Y960" s="57"/>
    </row>
    <row r="961" spans="17:25" x14ac:dyDescent="0.25">
      <c r="Q961" s="22"/>
      <c r="R961" s="22"/>
      <c r="S961" s="22"/>
      <c r="T961" s="22"/>
      <c r="U961" s="22"/>
      <c r="V961" s="22"/>
      <c r="W961" s="22"/>
      <c r="X961" s="16"/>
      <c r="Y961" s="57"/>
    </row>
    <row r="962" spans="17:25" x14ac:dyDescent="0.25">
      <c r="Q962" s="22"/>
      <c r="R962" s="22"/>
      <c r="S962" s="22"/>
      <c r="T962" s="22"/>
      <c r="U962" s="22"/>
      <c r="V962" s="22"/>
      <c r="W962" s="22"/>
      <c r="X962" s="16"/>
      <c r="Y962" s="57"/>
    </row>
    <row r="963" spans="17:25" x14ac:dyDescent="0.25">
      <c r="Q963" s="22"/>
      <c r="R963" s="22"/>
      <c r="S963" s="22"/>
      <c r="T963" s="22"/>
      <c r="U963" s="22"/>
      <c r="V963" s="22"/>
      <c r="W963" s="22"/>
      <c r="X963" s="16"/>
      <c r="Y963" s="57"/>
    </row>
    <row r="964" spans="17:25" x14ac:dyDescent="0.25">
      <c r="Q964" s="22"/>
      <c r="R964" s="22"/>
      <c r="S964" s="22"/>
      <c r="T964" s="22"/>
      <c r="U964" s="22"/>
      <c r="V964" s="22"/>
      <c r="W964" s="22"/>
      <c r="X964" s="16"/>
      <c r="Y964" s="57"/>
    </row>
    <row r="965" spans="17:25" x14ac:dyDescent="0.25">
      <c r="Q965" s="22"/>
      <c r="R965" s="22"/>
      <c r="S965" s="22"/>
      <c r="T965" s="22"/>
      <c r="U965" s="22"/>
      <c r="V965" s="22"/>
      <c r="W965" s="22"/>
      <c r="X965" s="16"/>
      <c r="Y965" s="57"/>
    </row>
    <row r="966" spans="17:25" x14ac:dyDescent="0.25">
      <c r="Q966" s="22"/>
      <c r="R966" s="22"/>
      <c r="S966" s="22"/>
      <c r="T966" s="22"/>
      <c r="U966" s="22"/>
      <c r="V966" s="22"/>
      <c r="W966" s="22"/>
      <c r="X966" s="16"/>
      <c r="Y966" s="57"/>
    </row>
    <row r="967" spans="17:25" x14ac:dyDescent="0.25">
      <c r="Q967" s="22"/>
      <c r="R967" s="22"/>
      <c r="S967" s="22"/>
      <c r="T967" s="22"/>
      <c r="U967" s="22"/>
      <c r="V967" s="22"/>
      <c r="W967" s="22"/>
      <c r="X967" s="16"/>
      <c r="Y967" s="57"/>
    </row>
    <row r="968" spans="17:25" x14ac:dyDescent="0.25">
      <c r="Q968" s="22"/>
      <c r="R968" s="22"/>
      <c r="S968" s="22"/>
      <c r="T968" s="22"/>
      <c r="U968" s="22"/>
      <c r="V968" s="22"/>
      <c r="W968" s="22"/>
      <c r="X968" s="16"/>
      <c r="Y968" s="57"/>
    </row>
    <row r="969" spans="17:25" x14ac:dyDescent="0.25">
      <c r="Q969" s="22"/>
      <c r="R969" s="22"/>
      <c r="S969" s="22"/>
      <c r="T969" s="22"/>
      <c r="U969" s="22"/>
      <c r="V969" s="22"/>
      <c r="W969" s="22"/>
      <c r="X969" s="16"/>
      <c r="Y969" s="57"/>
    </row>
    <row r="970" spans="17:25" x14ac:dyDescent="0.25">
      <c r="Q970" s="22"/>
      <c r="R970" s="22"/>
      <c r="S970" s="22"/>
      <c r="T970" s="22"/>
      <c r="U970" s="22"/>
      <c r="V970" s="22"/>
      <c r="W970" s="22"/>
      <c r="X970" s="16"/>
      <c r="Y970" s="57"/>
    </row>
    <row r="971" spans="17:25" x14ac:dyDescent="0.25">
      <c r="Q971" s="22"/>
      <c r="R971" s="22"/>
      <c r="S971" s="22"/>
      <c r="T971" s="22"/>
      <c r="U971" s="22"/>
      <c r="V971" s="22"/>
      <c r="W971" s="22"/>
      <c r="X971" s="16"/>
      <c r="Y971" s="57"/>
    </row>
    <row r="972" spans="17:25" x14ac:dyDescent="0.25">
      <c r="Q972" s="22"/>
      <c r="R972" s="22"/>
      <c r="S972" s="22"/>
      <c r="T972" s="22"/>
      <c r="U972" s="22"/>
      <c r="V972" s="22"/>
      <c r="W972" s="22"/>
      <c r="X972" s="16"/>
      <c r="Y972" s="57"/>
    </row>
    <row r="973" spans="17:25" x14ac:dyDescent="0.25">
      <c r="Q973" s="22"/>
      <c r="R973" s="22"/>
      <c r="S973" s="22"/>
      <c r="T973" s="22"/>
      <c r="U973" s="22"/>
      <c r="V973" s="22"/>
      <c r="W973" s="22"/>
      <c r="X973" s="16"/>
      <c r="Y973" s="57"/>
    </row>
    <row r="974" spans="17:25" x14ac:dyDescent="0.25">
      <c r="Q974" s="22"/>
      <c r="R974" s="22"/>
      <c r="S974" s="22"/>
      <c r="T974" s="22"/>
      <c r="U974" s="22"/>
      <c r="V974" s="22"/>
      <c r="W974" s="22"/>
      <c r="X974" s="16"/>
      <c r="Y974" s="57"/>
    </row>
    <row r="975" spans="17:25" x14ac:dyDescent="0.25">
      <c r="Q975" s="22"/>
      <c r="R975" s="22"/>
      <c r="S975" s="22"/>
      <c r="T975" s="22"/>
      <c r="U975" s="22"/>
      <c r="V975" s="22"/>
      <c r="W975" s="22"/>
      <c r="X975" s="16"/>
      <c r="Y975" s="57"/>
    </row>
    <row r="976" spans="17:25" x14ac:dyDescent="0.25">
      <c r="Q976" s="22"/>
      <c r="R976" s="22"/>
      <c r="S976" s="22"/>
      <c r="T976" s="22"/>
      <c r="U976" s="22"/>
      <c r="V976" s="22"/>
      <c r="W976" s="22"/>
      <c r="X976" s="16"/>
      <c r="Y976" s="57"/>
    </row>
    <row r="977" spans="17:25" x14ac:dyDescent="0.25">
      <c r="Q977" s="22"/>
      <c r="R977" s="22"/>
      <c r="S977" s="22"/>
      <c r="T977" s="22"/>
      <c r="U977" s="22"/>
      <c r="V977" s="22"/>
      <c r="W977" s="22"/>
      <c r="X977" s="16"/>
      <c r="Y977" s="57"/>
    </row>
    <row r="978" spans="17:25" x14ac:dyDescent="0.25">
      <c r="Q978" s="22"/>
      <c r="R978" s="22"/>
      <c r="S978" s="22"/>
      <c r="T978" s="22"/>
      <c r="U978" s="22"/>
      <c r="V978" s="22"/>
      <c r="W978" s="22"/>
      <c r="X978" s="16"/>
      <c r="Y978" s="57"/>
    </row>
    <row r="979" spans="17:25" x14ac:dyDescent="0.25">
      <c r="Q979" s="22"/>
      <c r="R979" s="22"/>
      <c r="S979" s="22"/>
      <c r="T979" s="22"/>
      <c r="U979" s="22"/>
      <c r="V979" s="22"/>
      <c r="W979" s="22"/>
      <c r="X979" s="16"/>
      <c r="Y979" s="57"/>
    </row>
    <row r="980" spans="17:25" x14ac:dyDescent="0.25">
      <c r="Q980" s="22"/>
      <c r="R980" s="22"/>
      <c r="S980" s="22"/>
      <c r="T980" s="22"/>
      <c r="U980" s="22"/>
      <c r="V980" s="22"/>
      <c r="W980" s="22"/>
      <c r="X980" s="16"/>
      <c r="Y980" s="57"/>
    </row>
    <row r="981" spans="17:25" x14ac:dyDescent="0.25">
      <c r="Q981" s="22"/>
      <c r="R981" s="22"/>
      <c r="S981" s="22"/>
      <c r="T981" s="22"/>
      <c r="U981" s="22"/>
      <c r="V981" s="22"/>
      <c r="W981" s="22"/>
      <c r="X981" s="16"/>
      <c r="Y981" s="57"/>
    </row>
    <row r="982" spans="17:25" x14ac:dyDescent="0.25">
      <c r="Q982" s="22"/>
      <c r="R982" s="22"/>
      <c r="S982" s="22"/>
      <c r="T982" s="22"/>
      <c r="U982" s="22"/>
      <c r="V982" s="22"/>
      <c r="W982" s="22"/>
      <c r="X982" s="16"/>
      <c r="Y982" s="57"/>
    </row>
    <row r="983" spans="17:25" x14ac:dyDescent="0.25">
      <c r="Q983" s="22"/>
      <c r="R983" s="22"/>
      <c r="S983" s="22"/>
      <c r="T983" s="22"/>
      <c r="U983" s="22"/>
      <c r="V983" s="22"/>
      <c r="W983" s="22"/>
      <c r="X983" s="16"/>
      <c r="Y983" s="57"/>
    </row>
    <row r="984" spans="17:25" x14ac:dyDescent="0.25">
      <c r="Q984" s="22"/>
      <c r="R984" s="22"/>
      <c r="S984" s="22"/>
      <c r="T984" s="22"/>
      <c r="U984" s="22"/>
      <c r="V984" s="22"/>
      <c r="W984" s="22"/>
      <c r="X984" s="16"/>
      <c r="Y984" s="57"/>
    </row>
    <row r="985" spans="17:25" x14ac:dyDescent="0.25">
      <c r="Q985" s="22"/>
      <c r="R985" s="22"/>
      <c r="S985" s="22"/>
      <c r="T985" s="22"/>
      <c r="U985" s="22"/>
      <c r="V985" s="22"/>
      <c r="W985" s="22"/>
      <c r="X985" s="16"/>
      <c r="Y985" s="57"/>
    </row>
    <row r="986" spans="17:25" x14ac:dyDescent="0.25">
      <c r="Q986" s="22"/>
      <c r="R986" s="22"/>
      <c r="S986" s="22"/>
      <c r="T986" s="22"/>
      <c r="U986" s="22"/>
      <c r="V986" s="22"/>
      <c r="W986" s="22"/>
      <c r="X986" s="16"/>
      <c r="Y986" s="57"/>
    </row>
    <row r="987" spans="17:25" x14ac:dyDescent="0.25">
      <c r="Q987" s="22"/>
      <c r="R987" s="22"/>
      <c r="S987" s="22"/>
      <c r="T987" s="22"/>
      <c r="U987" s="22"/>
      <c r="V987" s="22"/>
      <c r="W987" s="22"/>
      <c r="X987" s="16"/>
      <c r="Y987" s="57"/>
    </row>
    <row r="988" spans="17:25" x14ac:dyDescent="0.25">
      <c r="Q988" s="22"/>
      <c r="R988" s="22"/>
      <c r="S988" s="22"/>
      <c r="T988" s="22"/>
      <c r="U988" s="22"/>
      <c r="V988" s="22"/>
      <c r="W988" s="22"/>
      <c r="X988" s="16"/>
      <c r="Y988" s="57"/>
    </row>
    <row r="989" spans="17:25" x14ac:dyDescent="0.25">
      <c r="Q989" s="22"/>
      <c r="R989" s="22"/>
      <c r="S989" s="22"/>
      <c r="T989" s="22"/>
      <c r="U989" s="22"/>
      <c r="V989" s="22"/>
      <c r="W989" s="22"/>
      <c r="X989" s="16"/>
      <c r="Y989" s="57"/>
    </row>
    <row r="990" spans="17:25" x14ac:dyDescent="0.25">
      <c r="Q990" s="22"/>
      <c r="R990" s="22"/>
      <c r="S990" s="22"/>
      <c r="T990" s="22"/>
      <c r="U990" s="22"/>
      <c r="V990" s="22"/>
      <c r="W990" s="22"/>
      <c r="X990" s="16"/>
      <c r="Y990" s="57"/>
    </row>
    <row r="991" spans="17:25" x14ac:dyDescent="0.25">
      <c r="Q991" s="22"/>
      <c r="R991" s="22"/>
      <c r="S991" s="22"/>
      <c r="T991" s="22"/>
      <c r="U991" s="22"/>
      <c r="V991" s="22"/>
      <c r="W991" s="22"/>
      <c r="X991" s="16"/>
      <c r="Y991" s="57"/>
    </row>
    <row r="992" spans="17:25" x14ac:dyDescent="0.25">
      <c r="Q992" s="22"/>
      <c r="R992" s="22"/>
      <c r="S992" s="22"/>
      <c r="T992" s="22"/>
      <c r="U992" s="22"/>
      <c r="V992" s="22"/>
      <c r="W992" s="22"/>
      <c r="X992" s="16"/>
      <c r="Y992" s="57"/>
    </row>
    <row r="993" spans="17:25" x14ac:dyDescent="0.25">
      <c r="Q993" s="22"/>
      <c r="R993" s="22"/>
      <c r="S993" s="22"/>
      <c r="T993" s="22"/>
      <c r="U993" s="22"/>
      <c r="V993" s="22"/>
      <c r="W993" s="22"/>
      <c r="X993" s="16"/>
      <c r="Y993" s="57"/>
    </row>
    <row r="994" spans="17:25" x14ac:dyDescent="0.25">
      <c r="Q994" s="22"/>
      <c r="R994" s="22"/>
      <c r="S994" s="22"/>
      <c r="T994" s="22"/>
      <c r="U994" s="22"/>
      <c r="V994" s="22"/>
      <c r="W994" s="22"/>
      <c r="X994" s="16"/>
      <c r="Y994" s="57"/>
    </row>
    <row r="995" spans="17:25" x14ac:dyDescent="0.25">
      <c r="Q995" s="22"/>
      <c r="R995" s="22"/>
      <c r="S995" s="22"/>
      <c r="T995" s="22"/>
      <c r="U995" s="22"/>
      <c r="V995" s="22"/>
      <c r="W995" s="22"/>
      <c r="X995" s="16"/>
      <c r="Y995" s="57"/>
    </row>
    <row r="996" spans="17:25" x14ac:dyDescent="0.25">
      <c r="Q996" s="22"/>
      <c r="R996" s="22"/>
      <c r="S996" s="22"/>
      <c r="T996" s="22"/>
      <c r="U996" s="22"/>
      <c r="V996" s="22"/>
      <c r="W996" s="22"/>
      <c r="X996" s="16"/>
      <c r="Y996" s="57"/>
    </row>
    <row r="997" spans="17:25" x14ac:dyDescent="0.25">
      <c r="Q997" s="22"/>
      <c r="R997" s="22"/>
      <c r="S997" s="22"/>
      <c r="T997" s="22"/>
      <c r="U997" s="22"/>
      <c r="V997" s="22"/>
      <c r="W997" s="22"/>
      <c r="X997" s="16"/>
      <c r="Y997" s="57"/>
    </row>
    <row r="998" spans="17:25" x14ac:dyDescent="0.25">
      <c r="Q998" s="22"/>
      <c r="R998" s="22"/>
      <c r="S998" s="22"/>
      <c r="T998" s="22"/>
      <c r="U998" s="22"/>
      <c r="V998" s="22"/>
      <c r="W998" s="22"/>
      <c r="X998" s="16"/>
      <c r="Y998" s="57"/>
    </row>
    <row r="999" spans="17:25" x14ac:dyDescent="0.25">
      <c r="Q999" s="22"/>
      <c r="R999" s="22"/>
      <c r="S999" s="22"/>
      <c r="T999" s="22"/>
      <c r="U999" s="22"/>
      <c r="V999" s="22"/>
      <c r="W999" s="22"/>
      <c r="X999" s="16"/>
      <c r="Y999" s="57"/>
    </row>
    <row r="1000" spans="17:25" x14ac:dyDescent="0.25">
      <c r="Q1000" s="22"/>
      <c r="R1000" s="22"/>
      <c r="S1000" s="22"/>
      <c r="T1000" s="22"/>
      <c r="U1000" s="22"/>
      <c r="V1000" s="22"/>
      <c r="W1000" s="22"/>
      <c r="X1000" s="16"/>
      <c r="Y1000" s="57"/>
    </row>
    <row r="1001" spans="17:25" x14ac:dyDescent="0.25">
      <c r="Q1001" s="22"/>
      <c r="R1001" s="22"/>
      <c r="S1001" s="22"/>
      <c r="T1001" s="22"/>
      <c r="U1001" s="22"/>
      <c r="V1001" s="22"/>
      <c r="W1001" s="22"/>
      <c r="X1001" s="16"/>
      <c r="Y1001" s="57"/>
    </row>
    <row r="1002" spans="17:25" x14ac:dyDescent="0.25">
      <c r="Q1002" s="22"/>
      <c r="R1002" s="22"/>
      <c r="S1002" s="22"/>
      <c r="T1002" s="22"/>
      <c r="U1002" s="22"/>
      <c r="V1002" s="22"/>
      <c r="W1002" s="22"/>
      <c r="X1002" s="16"/>
      <c r="Y1002" s="57"/>
    </row>
    <row r="1003" spans="17:25" x14ac:dyDescent="0.25">
      <c r="Q1003" s="22"/>
      <c r="R1003" s="22"/>
      <c r="S1003" s="22"/>
      <c r="T1003" s="22"/>
      <c r="U1003" s="22"/>
      <c r="V1003" s="22"/>
      <c r="W1003" s="22"/>
      <c r="X1003" s="16"/>
      <c r="Y1003" s="57"/>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zoomScaleNormal="100" workbookViewId="0">
      <selection activeCell="C24" sqref="C24"/>
    </sheetView>
  </sheetViews>
  <sheetFormatPr defaultRowHeight="15.75" x14ac:dyDescent="0.25"/>
  <cols>
    <col min="1" max="1" width="20.75" style="58" customWidth="1"/>
    <col min="2" max="2" width="27" style="17" customWidth="1"/>
    <col min="3" max="3" width="118.625" style="17" customWidth="1"/>
    <col min="4" max="4" width="25.5" style="17" bestFit="1" customWidth="1"/>
    <col min="5" max="5" width="9" style="17"/>
    <col min="6" max="6" width="27.375" style="17" bestFit="1" customWidth="1"/>
    <col min="7" max="9" width="9" style="17"/>
    <col min="10" max="10" width="25.5" style="17" bestFit="1" customWidth="1"/>
    <col min="11" max="11" width="10.875" style="17" customWidth="1"/>
    <col min="12" max="12" width="11.625" style="17" customWidth="1"/>
    <col min="13" max="13" width="11.75" style="17" customWidth="1"/>
    <col min="14" max="14" width="9" style="17"/>
    <col min="15" max="15" width="13.375" style="17" customWidth="1"/>
    <col min="16" max="16" width="13.25" style="17" bestFit="1" customWidth="1"/>
    <col min="17" max="16384" width="9" style="17"/>
  </cols>
  <sheetData>
    <row r="1" spans="1:16" ht="41.25" customHeight="1" x14ac:dyDescent="0.25">
      <c r="A1" s="105" t="s">
        <v>31</v>
      </c>
      <c r="B1" s="105"/>
      <c r="C1" s="105"/>
      <c r="D1" s="45"/>
    </row>
    <row r="2" spans="1:16" ht="30.75" customHeight="1" x14ac:dyDescent="0.25">
      <c r="A2" s="2" t="s">
        <v>49</v>
      </c>
      <c r="B2" s="2" t="s">
        <v>50</v>
      </c>
      <c r="C2" s="67" t="s">
        <v>51</v>
      </c>
      <c r="D2" s="2"/>
      <c r="E2" s="2"/>
      <c r="F2" s="2"/>
      <c r="G2" s="2"/>
      <c r="H2" s="2"/>
      <c r="I2" s="2"/>
    </row>
    <row r="3" spans="1:16" ht="18.75" customHeight="1" x14ac:dyDescent="0.25">
      <c r="A3" s="66" t="s">
        <v>43</v>
      </c>
      <c r="B3" s="66" t="b">
        <v>1</v>
      </c>
      <c r="C3" s="68" t="s">
        <v>52</v>
      </c>
      <c r="D3" s="69"/>
    </row>
    <row r="4" spans="1:16" ht="18.75" customHeight="1" x14ac:dyDescent="0.25">
      <c r="A4" s="66" t="s">
        <v>48</v>
      </c>
      <c r="B4" s="66" t="b">
        <v>1</v>
      </c>
      <c r="C4" s="68" t="s">
        <v>53</v>
      </c>
      <c r="D4" s="69"/>
    </row>
    <row r="5" spans="1:16" ht="18.75" customHeight="1" x14ac:dyDescent="0.25">
      <c r="A5" s="66" t="s">
        <v>45</v>
      </c>
      <c r="B5" s="70">
        <v>6.9444444444444447E-4</v>
      </c>
      <c r="C5" s="66" t="s">
        <v>54</v>
      </c>
    </row>
    <row r="6" spans="1:16" ht="18.75" customHeight="1" x14ac:dyDescent="0.25">
      <c r="A6" s="66" t="s">
        <v>46</v>
      </c>
      <c r="B6" s="70">
        <v>0.97916666666666663</v>
      </c>
      <c r="C6" s="66" t="s">
        <v>54</v>
      </c>
    </row>
    <row r="7" spans="1:16" ht="18.75" customHeight="1" x14ac:dyDescent="0.25">
      <c r="A7" s="66" t="s">
        <v>71</v>
      </c>
      <c r="B7" s="66" t="s">
        <v>69</v>
      </c>
      <c r="C7" s="66" t="s">
        <v>70</v>
      </c>
    </row>
    <row r="8" spans="1:16" ht="18.75" customHeight="1" x14ac:dyDescent="0.25">
      <c r="A8" s="66" t="s">
        <v>72</v>
      </c>
      <c r="B8" s="66" t="b">
        <v>0</v>
      </c>
      <c r="C8" s="66" t="s">
        <v>73</v>
      </c>
      <c r="F8" s="71"/>
      <c r="G8" s="71"/>
      <c r="J8" s="72"/>
      <c r="K8" s="72"/>
      <c r="L8" s="72"/>
      <c r="M8" s="72"/>
      <c r="N8" s="72"/>
      <c r="O8" s="72"/>
      <c r="P8" s="72"/>
    </row>
    <row r="9" spans="1:16" ht="18.75" customHeight="1" x14ac:dyDescent="0.25">
      <c r="A9" s="66" t="s">
        <v>89</v>
      </c>
      <c r="B9" s="66">
        <v>6871055</v>
      </c>
      <c r="C9" s="66" t="s">
        <v>130</v>
      </c>
      <c r="I9" s="22"/>
      <c r="J9" s="22"/>
      <c r="K9" s="22"/>
      <c r="L9" s="22"/>
      <c r="M9" s="22"/>
      <c r="N9" s="22"/>
      <c r="O9" s="22"/>
      <c r="P9" s="22"/>
    </row>
    <row r="10" spans="1:16" ht="18.75" customHeight="1" x14ac:dyDescent="0.25">
      <c r="A10" s="66" t="s">
        <v>94</v>
      </c>
      <c r="B10" s="22" t="str">
        <f>_xll.OpenApiGetClientKey()</f>
        <v>45XQxxJtoz-bbnF8YyTl0Q==</v>
      </c>
      <c r="C10" s="66" t="s">
        <v>129</v>
      </c>
      <c r="E10" s="71"/>
      <c r="I10" s="22"/>
      <c r="J10" s="22"/>
      <c r="K10" s="22"/>
      <c r="L10" s="22"/>
      <c r="M10" s="22"/>
      <c r="N10" s="22"/>
      <c r="O10" s="22"/>
      <c r="P10" s="22"/>
    </row>
    <row r="11" spans="1:16" ht="18.75" customHeight="1" x14ac:dyDescent="0.25">
      <c r="A11" s="66" t="s">
        <v>90</v>
      </c>
      <c r="B11" s="22" t="str">
        <f>_xll.OpenApiGetAccountKey()</f>
        <v>9|9G7dMWchHftzbHmB-YaQ==</v>
      </c>
      <c r="C11" s="66" t="s">
        <v>128</v>
      </c>
      <c r="E11" s="71"/>
      <c r="I11" s="22"/>
      <c r="J11" s="22"/>
      <c r="K11" s="22"/>
      <c r="L11" s="22"/>
      <c r="M11" s="22"/>
      <c r="N11" s="22"/>
      <c r="O11" s="16"/>
      <c r="P11" s="43"/>
    </row>
    <row r="12" spans="1:16" ht="18.75" customHeight="1" x14ac:dyDescent="0.25">
      <c r="A12" s="66" t="s">
        <v>91</v>
      </c>
      <c r="B12" s="66" t="b">
        <v>1</v>
      </c>
      <c r="C12" s="66" t="s">
        <v>93</v>
      </c>
      <c r="E12" s="71"/>
      <c r="I12" s="22"/>
      <c r="J12" s="22"/>
      <c r="K12" s="22"/>
      <c r="L12" s="22"/>
      <c r="M12" s="22"/>
      <c r="N12" s="22"/>
      <c r="O12" s="16"/>
      <c r="P12" s="43"/>
    </row>
    <row r="13" spans="1:16" ht="18.75" customHeight="1" x14ac:dyDescent="0.25">
      <c r="A13" s="66" t="s">
        <v>104</v>
      </c>
      <c r="B13" s="73">
        <v>0</v>
      </c>
      <c r="C13" s="66" t="s">
        <v>105</v>
      </c>
      <c r="E13" s="71"/>
      <c r="I13" s="22"/>
      <c r="J13" s="22"/>
      <c r="K13" s="22"/>
      <c r="L13" s="22"/>
      <c r="M13" s="22"/>
      <c r="N13" s="22"/>
      <c r="O13" s="16"/>
      <c r="P13" s="43"/>
    </row>
    <row r="14" spans="1:16" ht="18.75" customHeight="1" x14ac:dyDescent="0.25">
      <c r="A14" s="66" t="s">
        <v>132</v>
      </c>
      <c r="B14" s="79" t="s">
        <v>133</v>
      </c>
      <c r="C14" s="66" t="s">
        <v>134</v>
      </c>
      <c r="E14" s="71"/>
      <c r="I14" s="22"/>
      <c r="J14" s="22"/>
      <c r="K14" s="22"/>
      <c r="L14" s="22"/>
      <c r="M14" s="22"/>
      <c r="N14" s="22"/>
      <c r="O14" s="16"/>
      <c r="P14" s="43"/>
    </row>
    <row r="15" spans="1:16" ht="18.75" customHeight="1" x14ac:dyDescent="0.25">
      <c r="A15" s="66" t="s">
        <v>143</v>
      </c>
      <c r="B15" s="79" t="s">
        <v>133</v>
      </c>
      <c r="C15" s="66" t="s">
        <v>145</v>
      </c>
      <c r="I15" s="22"/>
      <c r="J15" s="22"/>
      <c r="K15" s="22"/>
      <c r="L15" s="22"/>
      <c r="M15" s="22"/>
      <c r="N15" s="22"/>
      <c r="O15" s="16"/>
      <c r="P15" s="43"/>
    </row>
    <row r="16" spans="1:16" ht="18.75" customHeight="1" x14ac:dyDescent="0.25">
      <c r="A16" s="66" t="s">
        <v>174</v>
      </c>
      <c r="B16" s="100">
        <v>0.67708333333333337</v>
      </c>
      <c r="C16" s="66" t="s">
        <v>175</v>
      </c>
      <c r="I16" s="22"/>
      <c r="J16" s="22"/>
      <c r="K16" s="22"/>
      <c r="L16" s="22"/>
      <c r="M16" s="22"/>
      <c r="N16" s="22"/>
      <c r="O16" s="16"/>
      <c r="P16" s="43"/>
    </row>
    <row r="17" spans="1:16" ht="18.75" customHeight="1" x14ac:dyDescent="0.25">
      <c r="A17" s="66"/>
      <c r="B17" s="79"/>
      <c r="C17" s="66"/>
      <c r="I17" s="22"/>
      <c r="J17" s="22"/>
      <c r="K17" s="22"/>
      <c r="L17" s="22"/>
      <c r="M17" s="22"/>
      <c r="N17" s="22"/>
      <c r="O17" s="16"/>
      <c r="P17" s="43"/>
    </row>
    <row r="18" spans="1:16" ht="18.75" customHeight="1" x14ac:dyDescent="0.25">
      <c r="A18" s="66"/>
      <c r="B18" s="79"/>
      <c r="C18" s="66"/>
      <c r="I18" s="22"/>
      <c r="J18" s="22"/>
      <c r="K18" s="22"/>
      <c r="L18" s="22"/>
      <c r="M18" s="22"/>
      <c r="N18" s="22"/>
      <c r="O18" s="16"/>
      <c r="P18" s="43"/>
    </row>
    <row r="19" spans="1:16" ht="18.75" customHeight="1" x14ac:dyDescent="0.25">
      <c r="A19" s="66"/>
      <c r="B19" s="79"/>
      <c r="C19" s="66"/>
      <c r="I19" s="22"/>
      <c r="J19" s="22"/>
      <c r="K19" s="22"/>
      <c r="L19" s="22"/>
      <c r="M19" s="22"/>
      <c r="N19" s="22"/>
      <c r="O19" s="16"/>
      <c r="P19" s="43"/>
    </row>
    <row r="20" spans="1:16" ht="18.75" customHeight="1" x14ac:dyDescent="0.25">
      <c r="A20" s="66"/>
      <c r="B20" s="66"/>
      <c r="C20" s="66"/>
      <c r="I20" s="22"/>
      <c r="J20" s="22"/>
      <c r="K20" s="22"/>
      <c r="L20" s="22"/>
      <c r="M20" s="22"/>
      <c r="N20" s="22"/>
      <c r="O20" s="16"/>
      <c r="P20" s="43"/>
    </row>
    <row r="21" spans="1:16" ht="18.75" customHeight="1" x14ac:dyDescent="0.25">
      <c r="A21" s="66"/>
      <c r="B21" s="66"/>
      <c r="C21" s="66"/>
      <c r="I21" s="22"/>
      <c r="J21" s="22"/>
      <c r="K21" s="22"/>
      <c r="L21" s="22"/>
      <c r="M21" s="22"/>
      <c r="N21" s="22"/>
      <c r="O21" s="16"/>
      <c r="P21" s="43"/>
    </row>
    <row r="22" spans="1:16" ht="18.75" customHeight="1" x14ac:dyDescent="0.25">
      <c r="A22" s="66"/>
      <c r="B22" s="66"/>
      <c r="C22" s="66"/>
      <c r="I22" s="22"/>
      <c r="J22" s="22"/>
      <c r="K22" s="22"/>
      <c r="L22" s="22"/>
      <c r="M22" s="22"/>
      <c r="N22" s="22"/>
      <c r="O22" s="16"/>
      <c r="P22" s="43"/>
    </row>
    <row r="23" spans="1:16" ht="18.75" customHeight="1" x14ac:dyDescent="0.25">
      <c r="A23" s="66"/>
      <c r="B23" s="66"/>
      <c r="C23" s="66"/>
      <c r="I23" s="22"/>
      <c r="J23" s="22"/>
      <c r="K23" s="22"/>
      <c r="L23" s="22"/>
      <c r="M23" s="22"/>
      <c r="N23" s="22"/>
      <c r="O23" s="16"/>
      <c r="P23" s="43"/>
    </row>
    <row r="24" spans="1:16" ht="18.75" customHeight="1" x14ac:dyDescent="0.25">
      <c r="A24" s="66"/>
      <c r="B24" s="66"/>
      <c r="C24" s="66"/>
      <c r="I24" s="22"/>
      <c r="J24" s="22"/>
      <c r="K24" s="22"/>
      <c r="L24" s="22"/>
      <c r="M24" s="22"/>
      <c r="N24" s="22"/>
      <c r="O24" s="16"/>
      <c r="P24" s="43"/>
    </row>
    <row r="25" spans="1:16" ht="18.75" customHeight="1" x14ac:dyDescent="0.25">
      <c r="A25" s="66"/>
      <c r="B25" s="66"/>
      <c r="C25" s="66"/>
      <c r="I25" s="22"/>
      <c r="J25" s="22"/>
      <c r="K25" s="22"/>
      <c r="L25" s="22"/>
      <c r="M25" s="22"/>
      <c r="N25" s="22"/>
      <c r="O25" s="16"/>
      <c r="P25" s="43"/>
    </row>
    <row r="26" spans="1:16" ht="18.75" customHeight="1" x14ac:dyDescent="0.25">
      <c r="A26" s="66"/>
      <c r="B26" s="66"/>
      <c r="C26" s="66"/>
      <c r="I26" s="22"/>
      <c r="J26" s="22"/>
      <c r="K26" s="22"/>
      <c r="L26" s="22"/>
      <c r="M26" s="22"/>
      <c r="N26" s="22"/>
      <c r="O26" s="16"/>
      <c r="P26" s="43"/>
    </row>
    <row r="27" spans="1:16" ht="18.75" customHeight="1" x14ac:dyDescent="0.25">
      <c r="A27" s="66"/>
      <c r="B27" s="66"/>
      <c r="C27" s="66"/>
      <c r="I27" s="22"/>
      <c r="J27" s="22"/>
      <c r="K27" s="22"/>
      <c r="L27" s="22"/>
      <c r="M27" s="22"/>
      <c r="N27" s="22"/>
      <c r="O27" s="16"/>
      <c r="P27" s="43"/>
    </row>
    <row r="28" spans="1:16" ht="18.75" customHeight="1" x14ac:dyDescent="0.25">
      <c r="A28" s="66"/>
      <c r="B28" s="66"/>
      <c r="C28" s="66"/>
      <c r="I28" s="22"/>
      <c r="J28" s="22"/>
      <c r="K28" s="22"/>
      <c r="L28" s="22"/>
      <c r="M28" s="22"/>
      <c r="N28" s="22"/>
      <c r="O28" s="16"/>
      <c r="P28" s="43"/>
    </row>
    <row r="29" spans="1:16" ht="18.75" customHeight="1" x14ac:dyDescent="0.25">
      <c r="A29" s="66"/>
      <c r="B29" s="66"/>
      <c r="C29" s="66"/>
      <c r="I29" s="22"/>
      <c r="J29" s="22"/>
      <c r="K29" s="22"/>
      <c r="L29" s="22"/>
      <c r="M29" s="22"/>
      <c r="N29" s="22"/>
      <c r="O29" s="16"/>
      <c r="P29" s="43"/>
    </row>
    <row r="30" spans="1:16" ht="18.75" customHeight="1" x14ac:dyDescent="0.25">
      <c r="A30" s="66"/>
      <c r="B30" s="66"/>
      <c r="C30" s="66"/>
      <c r="I30" s="22"/>
      <c r="J30" s="22"/>
      <c r="K30" s="22"/>
      <c r="L30" s="22"/>
      <c r="M30" s="22"/>
      <c r="N30" s="22"/>
      <c r="O30" s="16"/>
      <c r="P30" s="43"/>
    </row>
    <row r="31" spans="1:16" ht="18.75" customHeight="1" x14ac:dyDescent="0.25">
      <c r="A31" s="66"/>
      <c r="B31" s="66"/>
      <c r="C31" s="66"/>
      <c r="I31" s="22"/>
      <c r="J31" s="22"/>
      <c r="K31" s="22"/>
      <c r="L31" s="22"/>
      <c r="M31" s="22"/>
      <c r="N31" s="22"/>
      <c r="O31" s="16"/>
      <c r="P31" s="43"/>
    </row>
    <row r="32" spans="1:16" ht="18.75" customHeight="1" x14ac:dyDescent="0.25">
      <c r="A32" s="66"/>
      <c r="B32" s="66"/>
      <c r="C32" s="66"/>
      <c r="I32" s="22"/>
      <c r="J32" s="22"/>
      <c r="K32" s="22"/>
      <c r="L32" s="22"/>
      <c r="M32" s="22"/>
      <c r="N32" s="22"/>
      <c r="O32" s="16"/>
      <c r="P32" s="43"/>
    </row>
    <row r="33" spans="1:16" ht="18.75" customHeight="1" x14ac:dyDescent="0.25">
      <c r="A33" s="66"/>
      <c r="B33" s="66"/>
      <c r="C33" s="66"/>
      <c r="I33" s="22"/>
      <c r="J33" s="22"/>
      <c r="K33" s="22"/>
      <c r="L33" s="22"/>
      <c r="M33" s="22"/>
      <c r="N33" s="22"/>
      <c r="O33" s="16"/>
      <c r="P33" s="43"/>
    </row>
    <row r="34" spans="1:16" ht="18.75" customHeight="1" x14ac:dyDescent="0.25">
      <c r="A34" s="66"/>
      <c r="B34" s="66"/>
      <c r="C34" s="66"/>
      <c r="I34" s="22"/>
      <c r="J34" s="22"/>
      <c r="K34" s="22"/>
      <c r="L34" s="22"/>
      <c r="M34" s="22"/>
      <c r="N34" s="22"/>
      <c r="O34" s="16"/>
      <c r="P34" s="43"/>
    </row>
    <row r="35" spans="1:16" ht="18.75" customHeight="1" x14ac:dyDescent="0.25">
      <c r="A35" s="66"/>
      <c r="B35" s="66"/>
      <c r="C35" s="66"/>
      <c r="I35" s="22"/>
      <c r="J35" s="22"/>
      <c r="K35" s="22"/>
      <c r="L35" s="22"/>
      <c r="M35" s="22"/>
      <c r="N35" s="22"/>
      <c r="O35" s="16"/>
      <c r="P35" s="43"/>
    </row>
    <row r="36" spans="1:16" ht="18.75" customHeight="1" x14ac:dyDescent="0.25">
      <c r="A36" s="66"/>
      <c r="B36" s="66"/>
      <c r="C36" s="66"/>
      <c r="I36" s="22"/>
      <c r="J36" s="22"/>
      <c r="K36" s="22"/>
      <c r="L36" s="22"/>
      <c r="M36" s="22"/>
      <c r="N36" s="22"/>
      <c r="O36" s="16"/>
      <c r="P36" s="43"/>
    </row>
    <row r="37" spans="1:16" ht="18.75" customHeight="1" x14ac:dyDescent="0.25">
      <c r="A37" s="74"/>
      <c r="B37" s="74"/>
      <c r="C37" s="66"/>
      <c r="I37" s="22"/>
      <c r="J37" s="22"/>
      <c r="K37" s="22"/>
      <c r="L37" s="22"/>
      <c r="M37" s="22"/>
      <c r="N37" s="22"/>
      <c r="O37" s="16"/>
      <c r="P37" s="43"/>
    </row>
    <row r="38" spans="1:16" x14ac:dyDescent="0.25">
      <c r="B38" s="66"/>
      <c r="C38" s="66"/>
      <c r="I38" s="22"/>
      <c r="J38" s="22"/>
      <c r="K38" s="22"/>
      <c r="L38" s="22"/>
      <c r="M38" s="22"/>
      <c r="N38" s="22"/>
      <c r="O38" s="16"/>
      <c r="P38" s="43"/>
    </row>
    <row r="39" spans="1:16" x14ac:dyDescent="0.25">
      <c r="B39" s="66"/>
      <c r="I39" s="22"/>
      <c r="J39" s="22"/>
      <c r="K39" s="22"/>
      <c r="L39" s="22"/>
      <c r="M39" s="22"/>
      <c r="N39" s="22"/>
      <c r="O39" s="16"/>
      <c r="P39" s="43"/>
    </row>
    <row r="40" spans="1:16" x14ac:dyDescent="0.25">
      <c r="B40" s="66"/>
      <c r="I40" s="22"/>
      <c r="J40" s="22"/>
      <c r="K40" s="22"/>
      <c r="L40" s="22"/>
      <c r="M40" s="22"/>
      <c r="N40" s="22"/>
      <c r="O40" s="16"/>
      <c r="P40" s="43"/>
    </row>
    <row r="41" spans="1:16" x14ac:dyDescent="0.25">
      <c r="B41" s="66"/>
      <c r="I41" s="22"/>
      <c r="J41" s="22"/>
      <c r="K41" s="22"/>
      <c r="L41" s="22"/>
      <c r="M41" s="22"/>
      <c r="N41" s="22"/>
      <c r="O41" s="16"/>
      <c r="P41" s="43"/>
    </row>
    <row r="42" spans="1:16" x14ac:dyDescent="0.25">
      <c r="B42" s="66"/>
      <c r="I42" s="22"/>
      <c r="J42" s="22"/>
      <c r="K42" s="22"/>
      <c r="L42" s="22"/>
      <c r="M42" s="22"/>
      <c r="N42" s="22"/>
      <c r="O42" s="16"/>
      <c r="P42" s="43"/>
    </row>
    <row r="43" spans="1:16" x14ac:dyDescent="0.25">
      <c r="B43" s="66"/>
      <c r="I43" s="22"/>
      <c r="J43" s="22"/>
      <c r="K43" s="22"/>
      <c r="L43" s="22"/>
      <c r="M43" s="22"/>
      <c r="N43" s="22"/>
      <c r="O43" s="16"/>
      <c r="P43" s="43"/>
    </row>
    <row r="44" spans="1:16" x14ac:dyDescent="0.25">
      <c r="B44" s="66"/>
      <c r="I44" s="22"/>
      <c r="J44" s="22"/>
      <c r="K44" s="22"/>
      <c r="L44" s="22"/>
      <c r="M44" s="22"/>
      <c r="N44" s="22"/>
      <c r="O44" s="16"/>
      <c r="P44" s="43"/>
    </row>
    <row r="45" spans="1:16" x14ac:dyDescent="0.25">
      <c r="B45" s="66"/>
      <c r="I45" s="22"/>
      <c r="J45" s="22"/>
      <c r="K45" s="22"/>
      <c r="L45" s="22"/>
      <c r="M45" s="22"/>
      <c r="N45" s="22"/>
      <c r="O45" s="16"/>
      <c r="P45" s="43"/>
    </row>
    <row r="46" spans="1:16" x14ac:dyDescent="0.25">
      <c r="B46" s="66"/>
      <c r="I46" s="22"/>
      <c r="J46" s="22"/>
      <c r="K46" s="22"/>
      <c r="L46" s="22"/>
      <c r="M46" s="22"/>
      <c r="N46" s="22"/>
      <c r="O46" s="16"/>
      <c r="P46" s="43"/>
    </row>
    <row r="47" spans="1:16" x14ac:dyDescent="0.25">
      <c r="B47" s="66"/>
      <c r="I47" s="22"/>
      <c r="J47" s="22"/>
      <c r="K47" s="22"/>
      <c r="L47" s="22"/>
      <c r="M47" s="22"/>
      <c r="N47" s="22"/>
      <c r="O47" s="16"/>
      <c r="P47" s="43"/>
    </row>
    <row r="48" spans="1:16" x14ac:dyDescent="0.25">
      <c r="B48" s="66"/>
      <c r="I48" s="22"/>
      <c r="J48" s="22"/>
      <c r="K48" s="22"/>
      <c r="L48" s="22"/>
      <c r="M48" s="22"/>
      <c r="N48" s="22"/>
      <c r="O48" s="16"/>
      <c r="P48" s="43"/>
    </row>
    <row r="49" spans="2:16" x14ac:dyDescent="0.25">
      <c r="B49" s="66"/>
      <c r="I49" s="22"/>
      <c r="J49" s="22"/>
      <c r="K49" s="22"/>
      <c r="L49" s="22"/>
      <c r="M49" s="22"/>
      <c r="N49" s="22"/>
      <c r="O49" s="16"/>
      <c r="P49" s="43"/>
    </row>
    <row r="50" spans="2:16" x14ac:dyDescent="0.25">
      <c r="B50" s="66"/>
      <c r="I50" s="22"/>
      <c r="J50" s="22"/>
      <c r="K50" s="22"/>
      <c r="L50" s="22"/>
      <c r="M50" s="22"/>
      <c r="N50" s="22"/>
      <c r="O50" s="16"/>
      <c r="P50" s="43"/>
    </row>
    <row r="51" spans="2:16" x14ac:dyDescent="0.25">
      <c r="B51" s="66"/>
      <c r="I51" s="22"/>
      <c r="J51" s="22"/>
      <c r="K51" s="22"/>
      <c r="L51" s="22"/>
      <c r="M51" s="22"/>
      <c r="N51" s="22"/>
      <c r="O51" s="16"/>
      <c r="P51" s="43"/>
    </row>
    <row r="52" spans="2:16" x14ac:dyDescent="0.25">
      <c r="B52" s="66"/>
      <c r="I52" s="22"/>
      <c r="J52" s="22"/>
      <c r="K52" s="22"/>
      <c r="L52" s="22"/>
      <c r="M52" s="22"/>
      <c r="N52" s="22"/>
      <c r="O52" s="16"/>
      <c r="P52" s="43"/>
    </row>
    <row r="53" spans="2:16" x14ac:dyDescent="0.25">
      <c r="B53" s="66"/>
      <c r="I53" s="22"/>
      <c r="J53" s="22"/>
      <c r="K53" s="22"/>
      <c r="L53" s="22"/>
      <c r="M53" s="22"/>
      <c r="N53" s="22"/>
      <c r="O53" s="16"/>
      <c r="P53" s="43"/>
    </row>
    <row r="54" spans="2:16" x14ac:dyDescent="0.25">
      <c r="B54" s="66"/>
      <c r="I54" s="22"/>
      <c r="J54" s="22"/>
      <c r="K54" s="22"/>
      <c r="L54" s="22"/>
      <c r="M54" s="22"/>
      <c r="N54" s="22"/>
      <c r="O54" s="16"/>
      <c r="P54" s="43"/>
    </row>
    <row r="55" spans="2:16" x14ac:dyDescent="0.25">
      <c r="B55" s="66"/>
      <c r="I55" s="22"/>
      <c r="J55" s="22"/>
      <c r="K55" s="22"/>
      <c r="L55" s="22"/>
      <c r="M55" s="22"/>
      <c r="N55" s="22"/>
      <c r="O55" s="16"/>
      <c r="P55" s="43"/>
    </row>
    <row r="56" spans="2:16" x14ac:dyDescent="0.25">
      <c r="I56" s="22"/>
      <c r="J56" s="22"/>
      <c r="K56" s="22"/>
      <c r="L56" s="22"/>
      <c r="M56" s="22"/>
      <c r="N56" s="22"/>
      <c r="O56" s="16"/>
      <c r="P56" s="43"/>
    </row>
    <row r="57" spans="2:16" x14ac:dyDescent="0.25">
      <c r="I57" s="22"/>
      <c r="J57" s="22"/>
      <c r="K57" s="22"/>
      <c r="L57" s="22"/>
      <c r="M57" s="22"/>
      <c r="N57" s="22"/>
      <c r="O57" s="16"/>
      <c r="P57" s="43"/>
    </row>
    <row r="58" spans="2:16" x14ac:dyDescent="0.25">
      <c r="I58" s="22"/>
      <c r="J58" s="22"/>
      <c r="K58" s="22"/>
      <c r="L58" s="22"/>
      <c r="M58" s="22"/>
      <c r="N58" s="22"/>
      <c r="O58" s="16"/>
      <c r="P58" s="43"/>
    </row>
    <row r="59" spans="2:16" x14ac:dyDescent="0.25">
      <c r="I59" s="22"/>
      <c r="J59" s="22"/>
      <c r="K59" s="22"/>
      <c r="L59" s="22"/>
      <c r="M59" s="22"/>
      <c r="N59" s="22"/>
      <c r="O59" s="16"/>
      <c r="P59" s="43"/>
    </row>
    <row r="60" spans="2:16" x14ac:dyDescent="0.25">
      <c r="I60" s="22"/>
      <c r="J60" s="22"/>
      <c r="K60" s="22"/>
      <c r="L60" s="22"/>
      <c r="M60" s="22"/>
      <c r="N60" s="22"/>
      <c r="O60" s="16"/>
      <c r="P60" s="43"/>
    </row>
    <row r="61" spans="2:16" x14ac:dyDescent="0.25">
      <c r="I61" s="22"/>
      <c r="J61" s="22"/>
      <c r="K61" s="22"/>
      <c r="L61" s="22"/>
      <c r="M61" s="22"/>
      <c r="N61" s="22"/>
      <c r="O61" s="16"/>
      <c r="P61" s="43"/>
    </row>
    <row r="62" spans="2:16" x14ac:dyDescent="0.25">
      <c r="I62" s="22"/>
      <c r="J62" s="22"/>
      <c r="K62" s="22"/>
      <c r="L62" s="22"/>
      <c r="M62" s="22"/>
      <c r="N62" s="22"/>
      <c r="O62" s="16"/>
      <c r="P62" s="43"/>
    </row>
    <row r="63" spans="2:16" x14ac:dyDescent="0.25">
      <c r="I63" s="22"/>
      <c r="J63" s="22"/>
      <c r="K63" s="22"/>
      <c r="L63" s="22"/>
      <c r="M63" s="22"/>
      <c r="N63" s="22"/>
      <c r="O63" s="16"/>
      <c r="P63" s="43"/>
    </row>
    <row r="64" spans="2:16" x14ac:dyDescent="0.25">
      <c r="I64" s="22"/>
      <c r="J64" s="22"/>
      <c r="K64" s="22"/>
      <c r="L64" s="22"/>
      <c r="M64" s="22"/>
      <c r="N64" s="22"/>
      <c r="O64" s="16"/>
      <c r="P64" s="43"/>
    </row>
    <row r="65" spans="9:16" x14ac:dyDescent="0.25">
      <c r="I65" s="22"/>
      <c r="J65" s="22"/>
      <c r="K65" s="22"/>
      <c r="L65" s="22"/>
      <c r="M65" s="22"/>
      <c r="N65" s="22"/>
      <c r="O65" s="16"/>
      <c r="P65" s="43"/>
    </row>
    <row r="66" spans="9:16" x14ac:dyDescent="0.25">
      <c r="I66" s="22"/>
      <c r="J66" s="22"/>
      <c r="K66" s="22"/>
      <c r="L66" s="22"/>
      <c r="M66" s="22"/>
      <c r="N66" s="22"/>
      <c r="O66" s="16"/>
      <c r="P66" s="43"/>
    </row>
    <row r="67" spans="9:16" x14ac:dyDescent="0.25">
      <c r="I67" s="22"/>
      <c r="J67" s="22"/>
      <c r="K67" s="22"/>
      <c r="L67" s="22"/>
      <c r="M67" s="22"/>
      <c r="N67" s="22"/>
      <c r="O67" s="16"/>
      <c r="P67" s="43"/>
    </row>
    <row r="68" spans="9:16" x14ac:dyDescent="0.25">
      <c r="I68" s="22"/>
      <c r="J68" s="22"/>
      <c r="K68" s="22"/>
      <c r="L68" s="22"/>
      <c r="M68" s="22"/>
      <c r="N68" s="22"/>
      <c r="O68" s="16"/>
      <c r="P68" s="43"/>
    </row>
    <row r="69" spans="9:16" x14ac:dyDescent="0.25">
      <c r="I69" s="22"/>
      <c r="J69" s="22"/>
      <c r="K69" s="22"/>
      <c r="L69" s="22"/>
      <c r="M69" s="22"/>
      <c r="N69" s="22"/>
      <c r="O69" s="16"/>
      <c r="P69" s="43"/>
    </row>
    <row r="70" spans="9:16" x14ac:dyDescent="0.25">
      <c r="I70" s="22"/>
      <c r="J70" s="22"/>
      <c r="K70" s="22"/>
      <c r="L70" s="22"/>
      <c r="M70" s="22"/>
      <c r="N70" s="22"/>
      <c r="O70" s="16"/>
      <c r="P70" s="43"/>
    </row>
    <row r="71" spans="9:16" x14ac:dyDescent="0.25">
      <c r="I71" s="22"/>
      <c r="J71" s="22"/>
      <c r="K71" s="22"/>
      <c r="L71" s="22"/>
      <c r="M71" s="22"/>
      <c r="N71" s="22"/>
      <c r="O71" s="16"/>
      <c r="P71" s="43"/>
    </row>
    <row r="72" spans="9:16" x14ac:dyDescent="0.25">
      <c r="I72" s="22"/>
      <c r="J72" s="22"/>
      <c r="K72" s="22"/>
      <c r="L72" s="22"/>
      <c r="M72" s="22"/>
      <c r="N72" s="22"/>
      <c r="O72" s="16"/>
      <c r="P72" s="43"/>
    </row>
    <row r="73" spans="9:16" x14ac:dyDescent="0.25">
      <c r="I73" s="22"/>
      <c r="J73" s="22"/>
      <c r="K73" s="22"/>
      <c r="L73" s="22"/>
      <c r="M73" s="22"/>
      <c r="N73" s="22"/>
      <c r="O73" s="16"/>
      <c r="P73" s="43"/>
    </row>
    <row r="74" spans="9:16" x14ac:dyDescent="0.25">
      <c r="I74" s="22"/>
      <c r="J74" s="22"/>
      <c r="K74" s="22"/>
      <c r="L74" s="22"/>
      <c r="M74" s="22"/>
      <c r="N74" s="22"/>
      <c r="O74" s="16"/>
      <c r="P74" s="43"/>
    </row>
    <row r="75" spans="9:16" x14ac:dyDescent="0.25">
      <c r="I75" s="22"/>
      <c r="J75" s="22"/>
      <c r="K75" s="22"/>
      <c r="L75" s="22"/>
      <c r="M75" s="22"/>
      <c r="N75" s="22"/>
      <c r="O75" s="16"/>
      <c r="P75" s="43"/>
    </row>
    <row r="76" spans="9:16" x14ac:dyDescent="0.25">
      <c r="I76" s="22"/>
      <c r="J76" s="22"/>
      <c r="K76" s="22"/>
      <c r="L76" s="22"/>
      <c r="M76" s="22"/>
      <c r="N76" s="22"/>
      <c r="O76" s="16"/>
      <c r="P76" s="43"/>
    </row>
    <row r="77" spans="9:16" x14ac:dyDescent="0.25">
      <c r="I77" s="22"/>
      <c r="J77" s="22"/>
      <c r="K77" s="22"/>
      <c r="L77" s="22"/>
      <c r="M77" s="22"/>
      <c r="N77" s="22"/>
      <c r="O77" s="16"/>
      <c r="P77" s="43"/>
    </row>
    <row r="78" spans="9:16" x14ac:dyDescent="0.25">
      <c r="I78" s="22"/>
      <c r="J78" s="22"/>
      <c r="K78" s="22"/>
      <c r="L78" s="22"/>
      <c r="M78" s="22"/>
      <c r="N78" s="22"/>
      <c r="O78" s="16"/>
      <c r="P78" s="43"/>
    </row>
    <row r="79" spans="9:16" x14ac:dyDescent="0.25">
      <c r="I79" s="22"/>
      <c r="J79" s="22"/>
      <c r="K79" s="22"/>
      <c r="L79" s="22"/>
      <c r="M79" s="22"/>
      <c r="N79" s="22"/>
      <c r="O79" s="16"/>
      <c r="P79" s="43"/>
    </row>
    <row r="80" spans="9:16" x14ac:dyDescent="0.25">
      <c r="I80" s="22"/>
      <c r="J80" s="22"/>
      <c r="K80" s="22"/>
      <c r="L80" s="22"/>
      <c r="M80" s="22"/>
      <c r="N80" s="22"/>
      <c r="O80" s="16"/>
      <c r="P80" s="43"/>
    </row>
    <row r="81" spans="9:16" x14ac:dyDescent="0.25">
      <c r="I81" s="22"/>
      <c r="J81" s="22"/>
      <c r="K81" s="22"/>
      <c r="L81" s="22"/>
      <c r="M81" s="22"/>
      <c r="N81" s="22"/>
      <c r="O81" s="16"/>
      <c r="P81" s="43"/>
    </row>
    <row r="82" spans="9:16" x14ac:dyDescent="0.25">
      <c r="I82" s="22"/>
      <c r="J82" s="22"/>
      <c r="K82" s="22"/>
      <c r="L82" s="22"/>
      <c r="M82" s="22"/>
      <c r="N82" s="22"/>
      <c r="O82" s="16"/>
      <c r="P82" s="43"/>
    </row>
    <row r="83" spans="9:16" x14ac:dyDescent="0.25">
      <c r="I83" s="22"/>
      <c r="J83" s="22"/>
      <c r="K83" s="22"/>
      <c r="L83" s="22"/>
      <c r="M83" s="22"/>
      <c r="N83" s="22"/>
      <c r="O83" s="16"/>
      <c r="P83" s="43"/>
    </row>
    <row r="84" spans="9:16" x14ac:dyDescent="0.25">
      <c r="I84" s="22"/>
      <c r="J84" s="22"/>
      <c r="K84" s="22"/>
      <c r="L84" s="22"/>
      <c r="M84" s="22"/>
      <c r="N84" s="22"/>
      <c r="O84" s="16"/>
      <c r="P84" s="43"/>
    </row>
    <row r="85" spans="9:16" x14ac:dyDescent="0.25">
      <c r="I85" s="22"/>
      <c r="J85" s="22"/>
      <c r="K85" s="22"/>
      <c r="L85" s="22"/>
      <c r="M85" s="22"/>
      <c r="N85" s="22"/>
      <c r="O85" s="16"/>
      <c r="P85" s="43"/>
    </row>
    <row r="86" spans="9:16" x14ac:dyDescent="0.25">
      <c r="I86" s="22"/>
      <c r="J86" s="22"/>
      <c r="K86" s="22"/>
      <c r="L86" s="22"/>
      <c r="M86" s="22"/>
      <c r="N86" s="22"/>
      <c r="O86" s="16"/>
      <c r="P86" s="43"/>
    </row>
    <row r="87" spans="9:16" x14ac:dyDescent="0.25">
      <c r="I87" s="22"/>
      <c r="J87" s="22"/>
      <c r="K87" s="22"/>
      <c r="L87" s="22"/>
      <c r="M87" s="22"/>
      <c r="N87" s="22"/>
      <c r="O87" s="16"/>
      <c r="P87" s="43"/>
    </row>
    <row r="88" spans="9:16" x14ac:dyDescent="0.25">
      <c r="I88" s="22"/>
      <c r="J88" s="22"/>
      <c r="K88" s="22"/>
      <c r="L88" s="22"/>
      <c r="M88" s="22"/>
      <c r="N88" s="22"/>
      <c r="O88" s="16"/>
      <c r="P88" s="43"/>
    </row>
    <row r="89" spans="9:16" x14ac:dyDescent="0.25">
      <c r="I89" s="22"/>
      <c r="J89" s="22"/>
      <c r="K89" s="22"/>
      <c r="L89" s="22"/>
      <c r="M89" s="22"/>
      <c r="N89" s="22"/>
      <c r="O89" s="16"/>
      <c r="P89" s="43"/>
    </row>
    <row r="90" spans="9:16" x14ac:dyDescent="0.25">
      <c r="I90" s="22"/>
      <c r="J90" s="22"/>
      <c r="K90" s="22"/>
      <c r="L90" s="22"/>
      <c r="M90" s="22"/>
      <c r="N90" s="22"/>
      <c r="O90" s="16"/>
      <c r="P90" s="43"/>
    </row>
    <row r="91" spans="9:16" x14ac:dyDescent="0.25">
      <c r="I91" s="22"/>
      <c r="J91" s="22"/>
      <c r="K91" s="22"/>
      <c r="L91" s="22"/>
      <c r="M91" s="22"/>
      <c r="N91" s="22"/>
      <c r="O91" s="16"/>
      <c r="P91" s="43"/>
    </row>
    <row r="92" spans="9:16" x14ac:dyDescent="0.25">
      <c r="I92" s="22"/>
      <c r="J92" s="22"/>
      <c r="K92" s="22"/>
      <c r="L92" s="22"/>
      <c r="M92" s="22"/>
      <c r="N92" s="22"/>
      <c r="O92" s="16"/>
      <c r="P92" s="43"/>
    </row>
    <row r="93" spans="9:16" x14ac:dyDescent="0.25">
      <c r="I93" s="22"/>
      <c r="J93" s="22"/>
      <c r="K93" s="22"/>
      <c r="L93" s="22"/>
      <c r="M93" s="22"/>
      <c r="N93" s="22"/>
      <c r="O93" s="16"/>
      <c r="P93" s="43"/>
    </row>
    <row r="94" spans="9:16" x14ac:dyDescent="0.25">
      <c r="I94" s="22"/>
      <c r="J94" s="22"/>
      <c r="K94" s="22"/>
      <c r="L94" s="22"/>
      <c r="M94" s="22"/>
      <c r="N94" s="22"/>
      <c r="O94" s="16"/>
      <c r="P94" s="43"/>
    </row>
    <row r="95" spans="9:16" x14ac:dyDescent="0.25">
      <c r="I95" s="22"/>
      <c r="J95" s="22"/>
      <c r="K95" s="22"/>
      <c r="L95" s="22"/>
      <c r="M95" s="22"/>
      <c r="N95" s="22"/>
      <c r="O95" s="16"/>
      <c r="P95" s="43"/>
    </row>
    <row r="96" spans="9:16" x14ac:dyDescent="0.25">
      <c r="I96" s="22"/>
      <c r="J96" s="22"/>
      <c r="K96" s="22"/>
      <c r="L96" s="22"/>
      <c r="M96" s="22"/>
      <c r="N96" s="22"/>
      <c r="O96" s="16"/>
      <c r="P96" s="43"/>
    </row>
    <row r="97" spans="9:16" x14ac:dyDescent="0.25">
      <c r="I97" s="22"/>
      <c r="J97" s="22"/>
      <c r="K97" s="22"/>
      <c r="L97" s="22"/>
      <c r="M97" s="22"/>
      <c r="N97" s="22"/>
      <c r="O97" s="16"/>
      <c r="P97" s="43"/>
    </row>
    <row r="98" spans="9:16" x14ac:dyDescent="0.25">
      <c r="I98" s="22"/>
      <c r="J98" s="22"/>
      <c r="K98" s="22"/>
      <c r="L98" s="22"/>
      <c r="M98" s="22"/>
      <c r="N98" s="22"/>
      <c r="O98" s="16"/>
      <c r="P98" s="43"/>
    </row>
    <row r="99" spans="9:16" x14ac:dyDescent="0.25">
      <c r="I99" s="22"/>
      <c r="J99" s="22"/>
      <c r="K99" s="22"/>
      <c r="L99" s="22"/>
      <c r="M99" s="22"/>
      <c r="N99" s="22"/>
      <c r="O99" s="16"/>
      <c r="P99" s="43"/>
    </row>
    <row r="100" spans="9:16" x14ac:dyDescent="0.25">
      <c r="I100" s="22"/>
      <c r="J100" s="22"/>
      <c r="K100" s="22"/>
      <c r="L100" s="22"/>
      <c r="M100" s="22"/>
      <c r="N100" s="22"/>
      <c r="O100" s="16"/>
      <c r="P100" s="43"/>
    </row>
    <row r="101" spans="9:16" x14ac:dyDescent="0.25">
      <c r="I101" s="22"/>
      <c r="J101" s="22"/>
      <c r="K101" s="22"/>
      <c r="L101" s="22"/>
      <c r="M101" s="22"/>
      <c r="N101" s="22"/>
      <c r="O101" s="16"/>
      <c r="P101" s="43"/>
    </row>
    <row r="102" spans="9:16" x14ac:dyDescent="0.25">
      <c r="I102" s="22"/>
      <c r="J102" s="22"/>
      <c r="K102" s="22"/>
      <c r="L102" s="22"/>
      <c r="M102" s="22"/>
      <c r="N102" s="22"/>
      <c r="O102" s="16"/>
      <c r="P102" s="43"/>
    </row>
    <row r="103" spans="9:16" x14ac:dyDescent="0.25">
      <c r="I103" s="22"/>
      <c r="J103" s="22"/>
      <c r="K103" s="22"/>
      <c r="L103" s="22"/>
      <c r="M103" s="22"/>
      <c r="N103" s="22"/>
      <c r="O103" s="16"/>
      <c r="P103" s="43"/>
    </row>
    <row r="104" spans="9:16" x14ac:dyDescent="0.25">
      <c r="I104" s="22"/>
      <c r="J104" s="22"/>
      <c r="K104" s="22"/>
      <c r="L104" s="22"/>
      <c r="M104" s="22"/>
      <c r="N104" s="22"/>
      <c r="O104" s="16"/>
      <c r="P104" s="43"/>
    </row>
    <row r="105" spans="9:16" x14ac:dyDescent="0.25">
      <c r="I105" s="22"/>
      <c r="J105" s="22"/>
      <c r="K105" s="22"/>
      <c r="L105" s="22"/>
      <c r="M105" s="22"/>
      <c r="N105" s="22"/>
      <c r="O105" s="16"/>
      <c r="P105" s="43"/>
    </row>
    <row r="106" spans="9:16" x14ac:dyDescent="0.25">
      <c r="I106" s="22"/>
      <c r="J106" s="22"/>
      <c r="K106" s="22"/>
      <c r="L106" s="22"/>
      <c r="M106" s="22"/>
      <c r="N106" s="22"/>
      <c r="O106" s="16"/>
      <c r="P106" s="43"/>
    </row>
    <row r="107" spans="9:16" x14ac:dyDescent="0.25">
      <c r="I107" s="22"/>
      <c r="J107" s="22"/>
      <c r="K107" s="22"/>
      <c r="L107" s="22"/>
      <c r="M107" s="22"/>
      <c r="N107" s="22"/>
      <c r="O107" s="16"/>
      <c r="P107" s="43"/>
    </row>
    <row r="108" spans="9:16" x14ac:dyDescent="0.25">
      <c r="I108" s="22"/>
      <c r="J108" s="22"/>
      <c r="K108" s="22"/>
      <c r="L108" s="22"/>
      <c r="M108" s="22"/>
      <c r="N108" s="22"/>
      <c r="O108" s="16"/>
      <c r="P108" s="43"/>
    </row>
    <row r="109" spans="9:16" x14ac:dyDescent="0.25">
      <c r="I109" s="22"/>
      <c r="J109" s="22"/>
      <c r="K109" s="22"/>
      <c r="L109" s="22"/>
      <c r="M109" s="22"/>
      <c r="N109" s="22"/>
      <c r="O109" s="16"/>
      <c r="P109" s="43"/>
    </row>
    <row r="110" spans="9:16" x14ac:dyDescent="0.25">
      <c r="I110" s="22"/>
      <c r="J110" s="22"/>
      <c r="K110" s="22"/>
      <c r="L110" s="22"/>
      <c r="M110" s="22"/>
      <c r="N110" s="22"/>
      <c r="O110" s="16"/>
      <c r="P110" s="43"/>
    </row>
    <row r="111" spans="9:16" x14ac:dyDescent="0.25">
      <c r="I111" s="22"/>
      <c r="J111" s="22"/>
      <c r="K111" s="22"/>
      <c r="L111" s="22"/>
      <c r="M111" s="22"/>
      <c r="N111" s="22"/>
      <c r="O111" s="16"/>
      <c r="P111" s="43"/>
    </row>
    <row r="112" spans="9:16" x14ac:dyDescent="0.25">
      <c r="I112" s="22"/>
      <c r="J112" s="22"/>
      <c r="K112" s="22"/>
      <c r="L112" s="22"/>
      <c r="M112" s="22"/>
      <c r="N112" s="22"/>
      <c r="O112" s="16"/>
      <c r="P112" s="43"/>
    </row>
    <row r="113" spans="9:16" x14ac:dyDescent="0.25">
      <c r="I113" s="22"/>
      <c r="J113" s="22"/>
      <c r="K113" s="22"/>
      <c r="L113" s="22"/>
      <c r="M113" s="22"/>
      <c r="N113" s="22"/>
      <c r="O113" s="16"/>
      <c r="P113" s="43"/>
    </row>
    <row r="114" spans="9:16" x14ac:dyDescent="0.25">
      <c r="I114" s="22"/>
      <c r="J114" s="22"/>
      <c r="K114" s="22"/>
      <c r="L114" s="22"/>
      <c r="M114" s="22"/>
      <c r="N114" s="22"/>
      <c r="O114" s="16"/>
      <c r="P114" s="43"/>
    </row>
    <row r="115" spans="9:16" x14ac:dyDescent="0.25">
      <c r="I115" s="22"/>
      <c r="J115" s="22"/>
      <c r="K115" s="22"/>
      <c r="L115" s="22"/>
      <c r="M115" s="22"/>
      <c r="N115" s="22"/>
      <c r="O115" s="16"/>
      <c r="P115" s="43"/>
    </row>
    <row r="116" spans="9:16" x14ac:dyDescent="0.25">
      <c r="I116" s="22"/>
      <c r="J116" s="22"/>
      <c r="K116" s="22"/>
      <c r="L116" s="22"/>
      <c r="M116" s="22"/>
      <c r="N116" s="22"/>
      <c r="O116" s="16"/>
      <c r="P116" s="43"/>
    </row>
    <row r="117" spans="9:16" x14ac:dyDescent="0.25">
      <c r="I117" s="22"/>
      <c r="J117" s="22"/>
      <c r="K117" s="22"/>
      <c r="L117" s="22"/>
      <c r="M117" s="22"/>
      <c r="N117" s="22"/>
      <c r="O117" s="16"/>
      <c r="P117" s="43"/>
    </row>
    <row r="118" spans="9:16" x14ac:dyDescent="0.25">
      <c r="I118" s="22"/>
      <c r="J118" s="22"/>
      <c r="K118" s="22"/>
      <c r="L118" s="22"/>
      <c r="M118" s="22"/>
      <c r="N118" s="22"/>
      <c r="O118" s="16"/>
      <c r="P118" s="43"/>
    </row>
    <row r="119" spans="9:16" x14ac:dyDescent="0.25">
      <c r="I119" s="22"/>
      <c r="J119" s="22"/>
      <c r="K119" s="22"/>
      <c r="L119" s="22"/>
      <c r="M119" s="22"/>
      <c r="N119" s="22"/>
      <c r="O119" s="16"/>
      <c r="P119" s="43"/>
    </row>
    <row r="120" spans="9:16" x14ac:dyDescent="0.25">
      <c r="I120" s="22"/>
      <c r="J120" s="22"/>
      <c r="K120" s="22"/>
      <c r="L120" s="22"/>
      <c r="M120" s="22"/>
      <c r="N120" s="22"/>
      <c r="O120" s="16"/>
      <c r="P120" s="43"/>
    </row>
    <row r="121" spans="9:16" x14ac:dyDescent="0.25">
      <c r="I121" s="22"/>
      <c r="J121" s="22"/>
      <c r="K121" s="22"/>
      <c r="L121" s="22"/>
      <c r="M121" s="22"/>
      <c r="N121" s="22"/>
      <c r="O121" s="16"/>
      <c r="P121" s="43"/>
    </row>
    <row r="122" spans="9:16" x14ac:dyDescent="0.25">
      <c r="I122" s="22"/>
      <c r="J122" s="22"/>
      <c r="K122" s="22"/>
      <c r="L122" s="22"/>
      <c r="M122" s="22"/>
      <c r="N122" s="22"/>
      <c r="O122" s="16"/>
      <c r="P122" s="43"/>
    </row>
    <row r="123" spans="9:16" x14ac:dyDescent="0.25">
      <c r="I123" s="22"/>
      <c r="J123" s="22"/>
      <c r="K123" s="22"/>
      <c r="L123" s="22"/>
      <c r="M123" s="22"/>
      <c r="N123" s="22"/>
      <c r="O123" s="16"/>
      <c r="P123" s="43"/>
    </row>
    <row r="124" spans="9:16" x14ac:dyDescent="0.25">
      <c r="I124" s="22"/>
      <c r="J124" s="22"/>
      <c r="K124" s="22"/>
      <c r="L124" s="22"/>
      <c r="M124" s="22"/>
      <c r="N124" s="22"/>
      <c r="O124" s="16"/>
      <c r="P124" s="43"/>
    </row>
    <row r="125" spans="9:16" x14ac:dyDescent="0.25">
      <c r="I125" s="22"/>
      <c r="J125" s="22"/>
      <c r="K125" s="22"/>
      <c r="L125" s="22"/>
      <c r="M125" s="22"/>
      <c r="N125" s="22"/>
      <c r="O125" s="16"/>
      <c r="P125" s="43"/>
    </row>
    <row r="126" spans="9:16" x14ac:dyDescent="0.25">
      <c r="I126" s="22"/>
      <c r="J126" s="22"/>
      <c r="K126" s="22"/>
      <c r="L126" s="22"/>
      <c r="M126" s="22"/>
      <c r="N126" s="22"/>
      <c r="O126" s="16"/>
      <c r="P126" s="43"/>
    </row>
    <row r="127" spans="9:16" x14ac:dyDescent="0.25">
      <c r="I127" s="22"/>
      <c r="J127" s="22"/>
      <c r="K127" s="22"/>
      <c r="L127" s="22"/>
      <c r="M127" s="22"/>
      <c r="N127" s="22"/>
      <c r="O127" s="16"/>
      <c r="P127" s="43"/>
    </row>
    <row r="128" spans="9:16" x14ac:dyDescent="0.25">
      <c r="I128" s="22"/>
      <c r="J128" s="22"/>
      <c r="K128" s="22"/>
      <c r="L128" s="22"/>
      <c r="M128" s="22"/>
      <c r="N128" s="22"/>
      <c r="O128" s="16"/>
      <c r="P128" s="43"/>
    </row>
    <row r="129" spans="9:16" x14ac:dyDescent="0.25">
      <c r="I129" s="22"/>
      <c r="J129" s="22"/>
      <c r="K129" s="22"/>
      <c r="L129" s="22"/>
      <c r="M129" s="22"/>
      <c r="N129" s="22"/>
      <c r="O129" s="16"/>
      <c r="P129" s="43"/>
    </row>
    <row r="130" spans="9:16" x14ac:dyDescent="0.25">
      <c r="I130" s="22"/>
      <c r="J130" s="22"/>
      <c r="K130" s="22"/>
      <c r="L130" s="22"/>
      <c r="M130" s="22"/>
      <c r="N130" s="22"/>
      <c r="O130" s="16"/>
      <c r="P130" s="43"/>
    </row>
    <row r="131" spans="9:16" x14ac:dyDescent="0.25">
      <c r="I131" s="22"/>
      <c r="J131" s="22"/>
      <c r="K131" s="22"/>
      <c r="L131" s="22"/>
      <c r="M131" s="22"/>
      <c r="N131" s="22"/>
      <c r="O131" s="16"/>
      <c r="P131" s="43"/>
    </row>
    <row r="132" spans="9:16" x14ac:dyDescent="0.25">
      <c r="I132" s="22"/>
      <c r="J132" s="22"/>
      <c r="K132" s="22"/>
      <c r="L132" s="22"/>
      <c r="M132" s="22"/>
      <c r="N132" s="22"/>
      <c r="O132" s="16"/>
      <c r="P132" s="43"/>
    </row>
    <row r="133" spans="9:16" x14ac:dyDescent="0.25">
      <c r="I133" s="22"/>
      <c r="J133" s="22"/>
      <c r="K133" s="22"/>
      <c r="L133" s="22"/>
      <c r="M133" s="22"/>
      <c r="N133" s="22"/>
      <c r="O133" s="16"/>
      <c r="P133" s="43"/>
    </row>
    <row r="134" spans="9:16" x14ac:dyDescent="0.25">
      <c r="I134" s="22"/>
      <c r="J134" s="22"/>
      <c r="K134" s="22"/>
      <c r="L134" s="22"/>
      <c r="M134" s="22"/>
      <c r="N134" s="22"/>
      <c r="O134" s="16"/>
      <c r="P134" s="43"/>
    </row>
    <row r="135" spans="9:16" x14ac:dyDescent="0.25">
      <c r="I135" s="22"/>
      <c r="J135" s="22"/>
      <c r="K135" s="22"/>
      <c r="L135" s="22"/>
      <c r="M135" s="22"/>
      <c r="N135" s="22"/>
      <c r="O135" s="16"/>
      <c r="P135" s="43"/>
    </row>
    <row r="136" spans="9:16" x14ac:dyDescent="0.25">
      <c r="I136" s="22"/>
      <c r="J136" s="22"/>
      <c r="K136" s="22"/>
      <c r="L136" s="22"/>
      <c r="M136" s="22"/>
      <c r="N136" s="22"/>
      <c r="O136" s="16"/>
      <c r="P136" s="43"/>
    </row>
    <row r="137" spans="9:16" x14ac:dyDescent="0.25">
      <c r="I137" s="22"/>
      <c r="J137" s="22"/>
      <c r="K137" s="22"/>
      <c r="L137" s="22"/>
      <c r="M137" s="22"/>
      <c r="N137" s="22"/>
      <c r="O137" s="16"/>
      <c r="P137" s="43"/>
    </row>
    <row r="138" spans="9:16" x14ac:dyDescent="0.25">
      <c r="I138" s="22"/>
      <c r="J138" s="22"/>
      <c r="K138" s="22"/>
      <c r="L138" s="22"/>
      <c r="M138" s="22"/>
      <c r="N138" s="22"/>
      <c r="O138" s="16"/>
      <c r="P138" s="43"/>
    </row>
    <row r="139" spans="9:16" x14ac:dyDescent="0.25">
      <c r="I139" s="22"/>
      <c r="J139" s="22"/>
      <c r="K139" s="22"/>
      <c r="L139" s="22"/>
      <c r="M139" s="22"/>
      <c r="N139" s="22"/>
      <c r="O139" s="16"/>
      <c r="P139" s="43"/>
    </row>
    <row r="140" spans="9:16" x14ac:dyDescent="0.25">
      <c r="I140" s="22"/>
      <c r="J140" s="22"/>
      <c r="K140" s="22"/>
      <c r="L140" s="22"/>
      <c r="M140" s="22"/>
      <c r="N140" s="22"/>
      <c r="O140" s="16"/>
      <c r="P140" s="43"/>
    </row>
    <row r="141" spans="9:16" x14ac:dyDescent="0.25">
      <c r="I141" s="22"/>
      <c r="J141" s="22"/>
      <c r="K141" s="22"/>
      <c r="L141" s="22"/>
      <c r="M141" s="22"/>
      <c r="N141" s="22"/>
      <c r="O141" s="16"/>
      <c r="P141" s="43"/>
    </row>
    <row r="142" spans="9:16" x14ac:dyDescent="0.25">
      <c r="I142" s="22"/>
      <c r="J142" s="22"/>
      <c r="K142" s="22"/>
      <c r="L142" s="22"/>
      <c r="M142" s="22"/>
      <c r="N142" s="22"/>
      <c r="O142" s="16"/>
      <c r="P142" s="43"/>
    </row>
    <row r="143" spans="9:16" x14ac:dyDescent="0.25">
      <c r="I143" s="22"/>
      <c r="J143" s="22"/>
      <c r="K143" s="22"/>
      <c r="L143" s="22"/>
      <c r="M143" s="22"/>
      <c r="N143" s="22"/>
      <c r="O143" s="16"/>
      <c r="P143" s="43"/>
    </row>
    <row r="144" spans="9:16" x14ac:dyDescent="0.25">
      <c r="I144" s="22"/>
      <c r="J144" s="22"/>
      <c r="K144" s="22"/>
      <c r="L144" s="22"/>
      <c r="M144" s="22"/>
      <c r="N144" s="22"/>
      <c r="O144" s="16"/>
      <c r="P144" s="43"/>
    </row>
    <row r="145" spans="9:16" x14ac:dyDescent="0.25">
      <c r="I145" s="22"/>
      <c r="J145" s="22"/>
      <c r="K145" s="22"/>
      <c r="L145" s="22"/>
      <c r="M145" s="22"/>
      <c r="N145" s="22"/>
      <c r="O145" s="16"/>
      <c r="P145" s="43"/>
    </row>
    <row r="146" spans="9:16" x14ac:dyDescent="0.25">
      <c r="I146" s="22"/>
      <c r="J146" s="22"/>
      <c r="K146" s="22"/>
      <c r="L146" s="22"/>
      <c r="M146" s="22"/>
      <c r="N146" s="22"/>
      <c r="O146" s="16"/>
      <c r="P146" s="43"/>
    </row>
    <row r="147" spans="9:16" x14ac:dyDescent="0.25">
      <c r="I147" s="22"/>
      <c r="J147" s="22"/>
      <c r="K147" s="22"/>
      <c r="L147" s="22"/>
      <c r="M147" s="22"/>
      <c r="N147" s="22"/>
      <c r="O147" s="16"/>
      <c r="P147" s="43"/>
    </row>
    <row r="148" spans="9:16" x14ac:dyDescent="0.25">
      <c r="I148" s="22"/>
      <c r="J148" s="22"/>
      <c r="K148" s="22"/>
      <c r="L148" s="22"/>
      <c r="M148" s="22"/>
      <c r="N148" s="22"/>
      <c r="O148" s="16"/>
      <c r="P148" s="43"/>
    </row>
    <row r="149" spans="9:16" x14ac:dyDescent="0.25">
      <c r="I149" s="22"/>
      <c r="J149" s="22"/>
      <c r="K149" s="22"/>
      <c r="L149" s="22"/>
      <c r="M149" s="22"/>
      <c r="N149" s="22"/>
      <c r="O149" s="16"/>
      <c r="P149" s="43"/>
    </row>
    <row r="150" spans="9:16" x14ac:dyDescent="0.25">
      <c r="I150" s="22"/>
      <c r="J150" s="22"/>
      <c r="K150" s="22"/>
      <c r="L150" s="22"/>
      <c r="M150" s="22"/>
      <c r="N150" s="22"/>
      <c r="O150" s="16"/>
      <c r="P150" s="43"/>
    </row>
    <row r="151" spans="9:16" x14ac:dyDescent="0.25">
      <c r="I151" s="22"/>
      <c r="J151" s="22"/>
      <c r="K151" s="22"/>
      <c r="L151" s="22"/>
      <c r="M151" s="22"/>
      <c r="N151" s="22"/>
      <c r="O151" s="16"/>
      <c r="P151" s="43"/>
    </row>
    <row r="152" spans="9:16" x14ac:dyDescent="0.25">
      <c r="I152" s="22"/>
      <c r="J152" s="22"/>
      <c r="K152" s="22"/>
      <c r="L152" s="22"/>
      <c r="M152" s="22"/>
      <c r="N152" s="22"/>
      <c r="O152" s="16"/>
      <c r="P152" s="43"/>
    </row>
    <row r="153" spans="9:16" x14ac:dyDescent="0.25">
      <c r="I153" s="22"/>
      <c r="J153" s="22"/>
      <c r="K153" s="22"/>
      <c r="L153" s="22"/>
      <c r="M153" s="22"/>
      <c r="N153" s="22"/>
      <c r="O153" s="16"/>
      <c r="P153" s="43"/>
    </row>
    <row r="154" spans="9:16" x14ac:dyDescent="0.25">
      <c r="I154" s="22"/>
      <c r="J154" s="22"/>
      <c r="K154" s="22"/>
      <c r="L154" s="22"/>
      <c r="M154" s="22"/>
      <c r="N154" s="22"/>
      <c r="O154" s="16"/>
      <c r="P154" s="43"/>
    </row>
    <row r="155" spans="9:16" x14ac:dyDescent="0.25">
      <c r="I155" s="22"/>
      <c r="J155" s="22"/>
      <c r="K155" s="22"/>
      <c r="L155" s="22"/>
      <c r="M155" s="22"/>
      <c r="N155" s="22"/>
      <c r="O155" s="16"/>
      <c r="P155" s="43"/>
    </row>
    <row r="156" spans="9:16" x14ac:dyDescent="0.25">
      <c r="I156" s="22"/>
      <c r="J156" s="22"/>
      <c r="K156" s="22"/>
      <c r="L156" s="22"/>
      <c r="M156" s="22"/>
      <c r="N156" s="22"/>
      <c r="O156" s="16"/>
      <c r="P156" s="43"/>
    </row>
    <row r="157" spans="9:16" x14ac:dyDescent="0.25">
      <c r="I157" s="22"/>
      <c r="J157" s="22"/>
      <c r="K157" s="22"/>
      <c r="L157" s="22"/>
      <c r="M157" s="22"/>
      <c r="N157" s="22"/>
      <c r="O157" s="16"/>
      <c r="P157" s="43"/>
    </row>
    <row r="158" spans="9:16" x14ac:dyDescent="0.25">
      <c r="I158" s="22"/>
      <c r="J158" s="22"/>
      <c r="K158" s="22"/>
      <c r="L158" s="22"/>
      <c r="M158" s="22"/>
      <c r="N158" s="22"/>
      <c r="O158" s="16"/>
      <c r="P158" s="43"/>
    </row>
    <row r="159" spans="9:16" x14ac:dyDescent="0.25">
      <c r="I159" s="22"/>
      <c r="J159" s="22"/>
      <c r="K159" s="22"/>
      <c r="L159" s="22"/>
      <c r="M159" s="22"/>
      <c r="N159" s="22"/>
      <c r="O159" s="16"/>
      <c r="P159" s="43"/>
    </row>
    <row r="160" spans="9:16" x14ac:dyDescent="0.25">
      <c r="I160" s="22"/>
      <c r="J160" s="22"/>
      <c r="K160" s="22"/>
      <c r="L160" s="22"/>
      <c r="M160" s="22"/>
      <c r="N160" s="22"/>
      <c r="O160" s="16"/>
      <c r="P160" s="43"/>
    </row>
    <row r="161" spans="9:16" x14ac:dyDescent="0.25">
      <c r="I161" s="22"/>
      <c r="J161" s="22"/>
      <c r="K161" s="22"/>
      <c r="L161" s="22"/>
      <c r="M161" s="22"/>
      <c r="N161" s="22"/>
      <c r="O161" s="16"/>
      <c r="P161" s="43"/>
    </row>
    <row r="162" spans="9:16" x14ac:dyDescent="0.25">
      <c r="I162" s="22"/>
      <c r="J162" s="22"/>
      <c r="K162" s="22"/>
      <c r="L162" s="22"/>
      <c r="M162" s="22"/>
      <c r="N162" s="22"/>
      <c r="O162" s="16"/>
      <c r="P162" s="43"/>
    </row>
    <row r="163" spans="9:16" x14ac:dyDescent="0.25">
      <c r="I163" s="22"/>
      <c r="J163" s="22"/>
      <c r="K163" s="22"/>
      <c r="L163" s="22"/>
      <c r="M163" s="22"/>
      <c r="N163" s="22"/>
      <c r="O163" s="16"/>
      <c r="P163" s="43"/>
    </row>
    <row r="164" spans="9:16" x14ac:dyDescent="0.25">
      <c r="I164" s="22"/>
      <c r="J164" s="22"/>
      <c r="K164" s="22"/>
      <c r="L164" s="22"/>
      <c r="M164" s="22"/>
      <c r="N164" s="22"/>
      <c r="O164" s="16"/>
      <c r="P164" s="43"/>
    </row>
    <row r="165" spans="9:16" x14ac:dyDescent="0.25">
      <c r="I165" s="22"/>
      <c r="J165" s="22"/>
      <c r="K165" s="22"/>
      <c r="L165" s="22"/>
      <c r="M165" s="22"/>
      <c r="N165" s="22"/>
      <c r="O165" s="16"/>
      <c r="P165" s="43"/>
    </row>
    <row r="166" spans="9:16" x14ac:dyDescent="0.25">
      <c r="I166" s="22"/>
      <c r="J166" s="22"/>
      <c r="K166" s="22"/>
      <c r="L166" s="22"/>
      <c r="M166" s="22"/>
      <c r="N166" s="22"/>
      <c r="O166" s="16"/>
      <c r="P166" s="43"/>
    </row>
    <row r="167" spans="9:16" x14ac:dyDescent="0.25">
      <c r="I167" s="22"/>
      <c r="J167" s="22"/>
      <c r="K167" s="22"/>
      <c r="L167" s="22"/>
      <c r="M167" s="22"/>
      <c r="N167" s="22"/>
      <c r="O167" s="16"/>
      <c r="P167" s="43"/>
    </row>
    <row r="168" spans="9:16" x14ac:dyDescent="0.25">
      <c r="I168" s="22"/>
      <c r="J168" s="22"/>
      <c r="K168" s="22"/>
      <c r="L168" s="22"/>
      <c r="M168" s="22"/>
      <c r="N168" s="22"/>
      <c r="O168" s="16"/>
      <c r="P168" s="43"/>
    </row>
    <row r="169" spans="9:16" x14ac:dyDescent="0.25">
      <c r="I169" s="22"/>
      <c r="J169" s="22"/>
      <c r="K169" s="22"/>
      <c r="L169" s="22"/>
      <c r="M169" s="22"/>
      <c r="N169" s="22"/>
      <c r="O169" s="16"/>
      <c r="P169" s="43"/>
    </row>
    <row r="170" spans="9:16" x14ac:dyDescent="0.25">
      <c r="I170" s="22"/>
      <c r="J170" s="22"/>
      <c r="K170" s="22"/>
      <c r="L170" s="22"/>
      <c r="M170" s="22"/>
      <c r="N170" s="22"/>
      <c r="O170" s="16"/>
      <c r="P170" s="43"/>
    </row>
    <row r="171" spans="9:16" x14ac:dyDescent="0.25">
      <c r="I171" s="22"/>
      <c r="J171" s="22"/>
      <c r="K171" s="22"/>
      <c r="L171" s="22"/>
      <c r="M171" s="22"/>
      <c r="N171" s="22"/>
      <c r="O171" s="16"/>
      <c r="P171" s="43"/>
    </row>
    <row r="172" spans="9:16" x14ac:dyDescent="0.25">
      <c r="I172" s="22"/>
      <c r="J172" s="22"/>
      <c r="K172" s="22"/>
      <c r="L172" s="22"/>
      <c r="M172" s="22"/>
      <c r="N172" s="22"/>
      <c r="O172" s="16"/>
      <c r="P172" s="43"/>
    </row>
    <row r="173" spans="9:16" x14ac:dyDescent="0.25">
      <c r="I173" s="22"/>
      <c r="J173" s="22"/>
      <c r="K173" s="22"/>
      <c r="L173" s="22"/>
      <c r="M173" s="22"/>
      <c r="N173" s="22"/>
      <c r="O173" s="16"/>
      <c r="P173" s="43"/>
    </row>
    <row r="174" spans="9:16" x14ac:dyDescent="0.25">
      <c r="I174" s="22"/>
      <c r="J174" s="22"/>
      <c r="K174" s="22"/>
      <c r="L174" s="22"/>
      <c r="M174" s="22"/>
      <c r="N174" s="22"/>
      <c r="O174" s="16"/>
      <c r="P174" s="43"/>
    </row>
    <row r="175" spans="9:16" x14ac:dyDescent="0.25">
      <c r="I175" s="22"/>
      <c r="J175" s="22"/>
      <c r="K175" s="22"/>
      <c r="L175" s="22"/>
      <c r="M175" s="22"/>
      <c r="N175" s="22"/>
      <c r="O175" s="16"/>
      <c r="P175" s="43"/>
    </row>
    <row r="176" spans="9:16" x14ac:dyDescent="0.25">
      <c r="I176" s="22"/>
      <c r="J176" s="22"/>
      <c r="K176" s="22"/>
      <c r="L176" s="22"/>
      <c r="M176" s="22"/>
      <c r="N176" s="22"/>
      <c r="O176" s="16"/>
      <c r="P176" s="43"/>
    </row>
    <row r="177" spans="9:16" x14ac:dyDescent="0.25">
      <c r="I177" s="22"/>
      <c r="J177" s="22"/>
      <c r="K177" s="22"/>
      <c r="L177" s="22"/>
      <c r="M177" s="22"/>
      <c r="N177" s="22"/>
      <c r="O177" s="16"/>
      <c r="P177" s="43"/>
    </row>
    <row r="178" spans="9:16" x14ac:dyDescent="0.25">
      <c r="I178" s="22"/>
      <c r="J178" s="22"/>
      <c r="K178" s="22"/>
      <c r="L178" s="22"/>
      <c r="M178" s="22"/>
      <c r="N178" s="22"/>
      <c r="O178" s="16"/>
      <c r="P178" s="43"/>
    </row>
    <row r="179" spans="9:16" x14ac:dyDescent="0.25">
      <c r="I179" s="22"/>
      <c r="J179" s="22"/>
      <c r="K179" s="22"/>
      <c r="L179" s="22"/>
      <c r="M179" s="22"/>
      <c r="N179" s="22"/>
      <c r="O179" s="16"/>
      <c r="P179" s="43"/>
    </row>
    <row r="180" spans="9:16" x14ac:dyDescent="0.25">
      <c r="I180" s="22"/>
      <c r="J180" s="22"/>
      <c r="K180" s="22"/>
      <c r="L180" s="22"/>
      <c r="M180" s="22"/>
      <c r="N180" s="22"/>
      <c r="O180" s="16"/>
      <c r="P180" s="43"/>
    </row>
    <row r="181" spans="9:16" x14ac:dyDescent="0.25">
      <c r="I181" s="22"/>
      <c r="J181" s="22"/>
      <c r="K181" s="22"/>
      <c r="L181" s="22"/>
      <c r="M181" s="22"/>
      <c r="N181" s="22"/>
      <c r="O181" s="16"/>
      <c r="P181" s="43"/>
    </row>
    <row r="182" spans="9:16" x14ac:dyDescent="0.25">
      <c r="I182" s="22"/>
      <c r="J182" s="22"/>
      <c r="K182" s="22"/>
      <c r="L182" s="22"/>
      <c r="M182" s="22"/>
      <c r="N182" s="22"/>
      <c r="O182" s="16"/>
      <c r="P182" s="43"/>
    </row>
    <row r="183" spans="9:16" x14ac:dyDescent="0.25">
      <c r="I183" s="22"/>
      <c r="J183" s="22"/>
      <c r="K183" s="22"/>
      <c r="L183" s="22"/>
      <c r="M183" s="22"/>
      <c r="N183" s="22"/>
      <c r="O183" s="16"/>
      <c r="P183" s="43"/>
    </row>
    <row r="184" spans="9:16" x14ac:dyDescent="0.25">
      <c r="I184" s="22"/>
      <c r="J184" s="22"/>
      <c r="K184" s="22"/>
      <c r="L184" s="22"/>
      <c r="M184" s="22"/>
      <c r="N184" s="22"/>
      <c r="O184" s="16"/>
      <c r="P184" s="43"/>
    </row>
    <row r="185" spans="9:16" x14ac:dyDescent="0.25">
      <c r="I185" s="22"/>
      <c r="J185" s="22"/>
      <c r="K185" s="22"/>
      <c r="L185" s="22"/>
      <c r="M185" s="22"/>
      <c r="N185" s="22"/>
      <c r="O185" s="16"/>
      <c r="P185" s="43"/>
    </row>
    <row r="186" spans="9:16" x14ac:dyDescent="0.25">
      <c r="I186" s="22"/>
      <c r="J186" s="22"/>
      <c r="K186" s="22"/>
      <c r="L186" s="22"/>
      <c r="M186" s="22"/>
      <c r="N186" s="22"/>
      <c r="O186" s="16"/>
      <c r="P186" s="43"/>
    </row>
    <row r="187" spans="9:16" x14ac:dyDescent="0.25">
      <c r="I187" s="22"/>
      <c r="J187" s="22"/>
      <c r="K187" s="22"/>
      <c r="L187" s="22"/>
      <c r="M187" s="22"/>
      <c r="N187" s="22"/>
      <c r="O187" s="16"/>
      <c r="P187" s="43"/>
    </row>
    <row r="188" spans="9:16" x14ac:dyDescent="0.25">
      <c r="I188" s="22"/>
      <c r="J188" s="22"/>
      <c r="K188" s="22"/>
      <c r="L188" s="22"/>
      <c r="M188" s="22"/>
      <c r="N188" s="22"/>
      <c r="O188" s="16"/>
      <c r="P188" s="43"/>
    </row>
    <row r="189" spans="9:16" x14ac:dyDescent="0.25">
      <c r="I189" s="22"/>
      <c r="J189" s="22"/>
      <c r="K189" s="22"/>
      <c r="L189" s="22"/>
      <c r="M189" s="22"/>
      <c r="N189" s="22"/>
      <c r="O189" s="16"/>
      <c r="P189" s="43"/>
    </row>
    <row r="190" spans="9:16" x14ac:dyDescent="0.25">
      <c r="I190" s="22"/>
      <c r="J190" s="22"/>
      <c r="K190" s="22"/>
      <c r="L190" s="22"/>
      <c r="M190" s="22"/>
      <c r="N190" s="22"/>
      <c r="O190" s="16"/>
      <c r="P190" s="43"/>
    </row>
    <row r="191" spans="9:16" x14ac:dyDescent="0.25">
      <c r="I191" s="22"/>
      <c r="J191" s="22"/>
      <c r="K191" s="22"/>
      <c r="L191" s="22"/>
      <c r="M191" s="22"/>
      <c r="N191" s="22"/>
      <c r="O191" s="16"/>
      <c r="P191" s="43"/>
    </row>
    <row r="192" spans="9:16" x14ac:dyDescent="0.25">
      <c r="I192" s="22"/>
      <c r="J192" s="22"/>
      <c r="K192" s="22"/>
      <c r="L192" s="22"/>
      <c r="M192" s="22"/>
      <c r="N192" s="22"/>
      <c r="O192" s="16"/>
      <c r="P192" s="43"/>
    </row>
    <row r="193" spans="9:16" x14ac:dyDescent="0.25">
      <c r="I193" s="22"/>
      <c r="J193" s="22"/>
      <c r="K193" s="22"/>
      <c r="L193" s="22"/>
      <c r="M193" s="22"/>
      <c r="N193" s="22"/>
      <c r="O193" s="16"/>
      <c r="P193" s="43"/>
    </row>
    <row r="194" spans="9:16" x14ac:dyDescent="0.25">
      <c r="I194" s="22"/>
      <c r="J194" s="22"/>
      <c r="K194" s="22"/>
      <c r="L194" s="22"/>
      <c r="M194" s="22"/>
      <c r="N194" s="22"/>
      <c r="O194" s="16"/>
      <c r="P194" s="43"/>
    </row>
    <row r="195" spans="9:16" x14ac:dyDescent="0.25">
      <c r="I195" s="22"/>
      <c r="J195" s="22"/>
      <c r="K195" s="22"/>
      <c r="L195" s="22"/>
      <c r="M195" s="22"/>
      <c r="N195" s="22"/>
      <c r="O195" s="16"/>
      <c r="P195" s="43"/>
    </row>
    <row r="196" spans="9:16" x14ac:dyDescent="0.25">
      <c r="I196" s="22"/>
      <c r="J196" s="22"/>
      <c r="K196" s="22"/>
      <c r="L196" s="22"/>
      <c r="M196" s="22"/>
      <c r="N196" s="22"/>
      <c r="O196" s="16"/>
      <c r="P196" s="43"/>
    </row>
    <row r="197" spans="9:16" x14ac:dyDescent="0.25">
      <c r="I197" s="22"/>
      <c r="J197" s="22"/>
      <c r="K197" s="22"/>
      <c r="L197" s="22"/>
      <c r="M197" s="22"/>
      <c r="N197" s="22"/>
      <c r="O197" s="16"/>
      <c r="P197" s="43"/>
    </row>
    <row r="198" spans="9:16" x14ac:dyDescent="0.25">
      <c r="I198" s="22"/>
      <c r="J198" s="22"/>
      <c r="K198" s="22"/>
      <c r="L198" s="22"/>
      <c r="M198" s="22"/>
      <c r="N198" s="22"/>
      <c r="O198" s="16"/>
      <c r="P198" s="43"/>
    </row>
    <row r="199" spans="9:16" x14ac:dyDescent="0.25">
      <c r="I199" s="22"/>
      <c r="J199" s="22"/>
      <c r="K199" s="22"/>
      <c r="L199" s="22"/>
      <c r="M199" s="22"/>
      <c r="N199" s="22"/>
      <c r="O199" s="16"/>
      <c r="P199" s="43"/>
    </row>
    <row r="200" spans="9:16" x14ac:dyDescent="0.25">
      <c r="I200" s="22"/>
      <c r="J200" s="22"/>
      <c r="K200" s="22"/>
      <c r="L200" s="22"/>
      <c r="M200" s="22"/>
      <c r="N200" s="22"/>
      <c r="O200" s="16"/>
      <c r="P200" s="43"/>
    </row>
    <row r="201" spans="9:16" x14ac:dyDescent="0.25">
      <c r="I201" s="22"/>
      <c r="J201" s="22"/>
      <c r="K201" s="22"/>
      <c r="L201" s="22"/>
      <c r="M201" s="22"/>
      <c r="N201" s="22"/>
      <c r="O201" s="16"/>
      <c r="P201" s="43"/>
    </row>
    <row r="202" spans="9:16" x14ac:dyDescent="0.25">
      <c r="I202" s="22"/>
      <c r="J202" s="22"/>
      <c r="K202" s="22"/>
      <c r="L202" s="22"/>
      <c r="M202" s="22"/>
      <c r="N202" s="22"/>
      <c r="O202" s="16"/>
      <c r="P202" s="43"/>
    </row>
    <row r="203" spans="9:16" x14ac:dyDescent="0.25">
      <c r="I203" s="22"/>
      <c r="J203" s="22"/>
      <c r="K203" s="22"/>
      <c r="L203" s="22"/>
      <c r="M203" s="22"/>
      <c r="N203" s="22"/>
      <c r="O203" s="16"/>
      <c r="P203" s="43"/>
    </row>
    <row r="204" spans="9:16" x14ac:dyDescent="0.25">
      <c r="I204" s="22"/>
      <c r="J204" s="22"/>
      <c r="K204" s="22"/>
      <c r="L204" s="22"/>
      <c r="M204" s="22"/>
      <c r="N204" s="22"/>
      <c r="O204" s="16"/>
      <c r="P204" s="43"/>
    </row>
    <row r="205" spans="9:16" x14ac:dyDescent="0.25">
      <c r="I205" s="22"/>
      <c r="J205" s="22"/>
      <c r="K205" s="22"/>
      <c r="L205" s="22"/>
      <c r="M205" s="22"/>
      <c r="N205" s="22"/>
      <c r="O205" s="16"/>
      <c r="P205" s="43"/>
    </row>
    <row r="206" spans="9:16" x14ac:dyDescent="0.25">
      <c r="I206" s="22"/>
      <c r="J206" s="22"/>
      <c r="K206" s="22"/>
      <c r="L206" s="22"/>
      <c r="M206" s="22"/>
      <c r="N206" s="22"/>
      <c r="O206" s="16"/>
      <c r="P206" s="43"/>
    </row>
    <row r="207" spans="9:16" x14ac:dyDescent="0.25">
      <c r="I207" s="22"/>
      <c r="J207" s="22"/>
      <c r="K207" s="22"/>
      <c r="L207" s="22"/>
      <c r="M207" s="22"/>
      <c r="N207" s="22"/>
      <c r="O207" s="16"/>
      <c r="P207" s="43"/>
    </row>
    <row r="208" spans="9:16" x14ac:dyDescent="0.25">
      <c r="I208" s="22"/>
      <c r="J208" s="22"/>
      <c r="K208" s="22"/>
      <c r="L208" s="22"/>
      <c r="M208" s="22"/>
      <c r="N208" s="22"/>
      <c r="O208" s="16"/>
      <c r="P208" s="43"/>
    </row>
    <row r="209" spans="9:16" x14ac:dyDescent="0.25">
      <c r="I209" s="22"/>
      <c r="J209" s="22"/>
      <c r="K209" s="22"/>
      <c r="L209" s="22"/>
      <c r="M209" s="22"/>
      <c r="N209" s="22"/>
      <c r="O209" s="16"/>
      <c r="P209" s="43"/>
    </row>
    <row r="210" spans="9:16" x14ac:dyDescent="0.25">
      <c r="I210" s="22"/>
      <c r="J210" s="22"/>
      <c r="K210" s="22"/>
      <c r="L210" s="22"/>
      <c r="M210" s="22"/>
      <c r="N210" s="22"/>
      <c r="O210" s="16"/>
      <c r="P210" s="43"/>
    </row>
    <row r="211" spans="9:16" x14ac:dyDescent="0.25">
      <c r="I211" s="22"/>
      <c r="J211" s="22"/>
      <c r="K211" s="22"/>
      <c r="L211" s="22"/>
      <c r="M211" s="22"/>
      <c r="N211" s="22"/>
      <c r="O211" s="16"/>
      <c r="P211" s="43"/>
    </row>
    <row r="212" spans="9:16" x14ac:dyDescent="0.25">
      <c r="I212" s="22"/>
      <c r="J212" s="22"/>
      <c r="K212" s="22"/>
      <c r="L212" s="22"/>
      <c r="M212" s="22"/>
      <c r="N212" s="22"/>
      <c r="O212" s="16"/>
      <c r="P212" s="43"/>
    </row>
    <row r="213" spans="9:16" x14ac:dyDescent="0.25">
      <c r="I213" s="22"/>
      <c r="J213" s="22"/>
      <c r="K213" s="22"/>
      <c r="L213" s="22"/>
      <c r="M213" s="22"/>
      <c r="N213" s="22"/>
      <c r="O213" s="16"/>
      <c r="P213" s="43"/>
    </row>
    <row r="214" spans="9:16" x14ac:dyDescent="0.25">
      <c r="I214" s="22"/>
      <c r="J214" s="22"/>
      <c r="K214" s="22"/>
      <c r="L214" s="22"/>
      <c r="M214" s="22"/>
      <c r="N214" s="22"/>
      <c r="O214" s="16"/>
      <c r="P214" s="43"/>
    </row>
    <row r="215" spans="9:16" x14ac:dyDescent="0.25">
      <c r="I215" s="22"/>
      <c r="J215" s="22"/>
      <c r="K215" s="22"/>
      <c r="L215" s="22"/>
      <c r="M215" s="22"/>
      <c r="N215" s="22"/>
      <c r="O215" s="16"/>
      <c r="P215" s="43"/>
    </row>
    <row r="216" spans="9:16" x14ac:dyDescent="0.25">
      <c r="I216" s="22"/>
      <c r="J216" s="22"/>
      <c r="K216" s="22"/>
      <c r="L216" s="22"/>
      <c r="M216" s="22"/>
      <c r="N216" s="22"/>
      <c r="O216" s="16"/>
      <c r="P216" s="43"/>
    </row>
    <row r="217" spans="9:16" x14ac:dyDescent="0.25">
      <c r="I217" s="22"/>
      <c r="J217" s="22"/>
      <c r="K217" s="22"/>
      <c r="L217" s="22"/>
      <c r="M217" s="22"/>
      <c r="N217" s="22"/>
      <c r="O217" s="16"/>
      <c r="P217" s="43"/>
    </row>
    <row r="218" spans="9:16" x14ac:dyDescent="0.25">
      <c r="I218" s="22"/>
      <c r="J218" s="22"/>
      <c r="K218" s="22"/>
      <c r="L218" s="22"/>
      <c r="M218" s="22"/>
      <c r="N218" s="22"/>
      <c r="O218" s="16"/>
      <c r="P218" s="43"/>
    </row>
    <row r="219" spans="9:16" x14ac:dyDescent="0.25">
      <c r="I219" s="22"/>
      <c r="J219" s="22"/>
      <c r="K219" s="22"/>
      <c r="L219" s="22"/>
      <c r="M219" s="22"/>
      <c r="N219" s="22"/>
      <c r="O219" s="16"/>
      <c r="P219" s="43"/>
    </row>
    <row r="220" spans="9:16" x14ac:dyDescent="0.25">
      <c r="I220" s="22"/>
      <c r="J220" s="22"/>
      <c r="K220" s="22"/>
      <c r="L220" s="22"/>
      <c r="M220" s="22"/>
      <c r="N220" s="22"/>
      <c r="O220" s="16"/>
      <c r="P220" s="43"/>
    </row>
    <row r="221" spans="9:16" x14ac:dyDescent="0.25">
      <c r="I221" s="22"/>
      <c r="J221" s="22"/>
      <c r="K221" s="22"/>
      <c r="L221" s="22"/>
      <c r="M221" s="22"/>
      <c r="N221" s="22"/>
      <c r="O221" s="16"/>
      <c r="P221" s="43"/>
    </row>
    <row r="222" spans="9:16" x14ac:dyDescent="0.25">
      <c r="I222" s="22"/>
      <c r="J222" s="22"/>
      <c r="K222" s="22"/>
      <c r="L222" s="22"/>
      <c r="M222" s="22"/>
      <c r="N222" s="22"/>
      <c r="O222" s="16"/>
      <c r="P222" s="43"/>
    </row>
    <row r="223" spans="9:16" x14ac:dyDescent="0.25">
      <c r="I223" s="22"/>
      <c r="J223" s="22"/>
      <c r="K223" s="22"/>
      <c r="L223" s="22"/>
      <c r="M223" s="22"/>
      <c r="N223" s="22"/>
      <c r="O223" s="16"/>
      <c r="P223" s="43"/>
    </row>
    <row r="224" spans="9:16" x14ac:dyDescent="0.25">
      <c r="I224" s="22"/>
      <c r="J224" s="22"/>
      <c r="K224" s="22"/>
      <c r="L224" s="22"/>
      <c r="M224" s="22"/>
      <c r="N224" s="22"/>
      <c r="O224" s="16"/>
      <c r="P224" s="43"/>
    </row>
    <row r="225" spans="9:16" x14ac:dyDescent="0.25">
      <c r="I225" s="22"/>
      <c r="J225" s="22"/>
      <c r="K225" s="22"/>
      <c r="L225" s="22"/>
      <c r="M225" s="22"/>
      <c r="N225" s="22"/>
      <c r="O225" s="16"/>
      <c r="P225" s="43"/>
    </row>
    <row r="226" spans="9:16" x14ac:dyDescent="0.25">
      <c r="I226" s="22"/>
      <c r="J226" s="22"/>
      <c r="K226" s="22"/>
      <c r="L226" s="22"/>
      <c r="M226" s="22"/>
      <c r="N226" s="22"/>
      <c r="O226" s="16"/>
      <c r="P226" s="43"/>
    </row>
    <row r="227" spans="9:16" x14ac:dyDescent="0.25">
      <c r="I227" s="22"/>
      <c r="J227" s="22"/>
      <c r="K227" s="22"/>
      <c r="L227" s="22"/>
      <c r="M227" s="22"/>
      <c r="N227" s="22"/>
      <c r="O227" s="16"/>
      <c r="P227" s="43"/>
    </row>
    <row r="228" spans="9:16" x14ac:dyDescent="0.25">
      <c r="I228" s="22"/>
      <c r="J228" s="22"/>
      <c r="K228" s="22"/>
      <c r="L228" s="22"/>
      <c r="M228" s="22"/>
      <c r="N228" s="22"/>
      <c r="O228" s="16"/>
      <c r="P228" s="43"/>
    </row>
    <row r="229" spans="9:16" x14ac:dyDescent="0.25">
      <c r="I229" s="22"/>
      <c r="J229" s="22"/>
      <c r="K229" s="22"/>
      <c r="L229" s="22"/>
      <c r="M229" s="22"/>
      <c r="N229" s="22"/>
      <c r="O229" s="16"/>
      <c r="P229" s="43"/>
    </row>
    <row r="230" spans="9:16" x14ac:dyDescent="0.25">
      <c r="I230" s="22"/>
      <c r="J230" s="22"/>
      <c r="K230" s="22"/>
      <c r="L230" s="22"/>
      <c r="M230" s="22"/>
      <c r="N230" s="22"/>
      <c r="O230" s="16"/>
      <c r="P230" s="43"/>
    </row>
    <row r="231" spans="9:16" x14ac:dyDescent="0.25">
      <c r="I231" s="22"/>
      <c r="J231" s="22"/>
      <c r="K231" s="22"/>
      <c r="L231" s="22"/>
      <c r="M231" s="22"/>
      <c r="N231" s="22"/>
      <c r="O231" s="16"/>
      <c r="P231" s="43"/>
    </row>
    <row r="232" spans="9:16" x14ac:dyDescent="0.25">
      <c r="I232" s="22"/>
      <c r="J232" s="22"/>
      <c r="K232" s="22"/>
      <c r="L232" s="22"/>
      <c r="M232" s="22"/>
      <c r="N232" s="22"/>
      <c r="O232" s="16"/>
      <c r="P232" s="43"/>
    </row>
    <row r="233" spans="9:16" x14ac:dyDescent="0.25">
      <c r="I233" s="22"/>
      <c r="J233" s="22"/>
      <c r="K233" s="22"/>
      <c r="L233" s="22"/>
      <c r="M233" s="22"/>
      <c r="N233" s="22"/>
      <c r="O233" s="16"/>
      <c r="P233" s="43"/>
    </row>
    <row r="234" spans="9:16" x14ac:dyDescent="0.25">
      <c r="I234" s="22"/>
      <c r="J234" s="22"/>
      <c r="K234" s="22"/>
      <c r="L234" s="22"/>
      <c r="M234" s="22"/>
      <c r="N234" s="22"/>
      <c r="O234" s="16"/>
      <c r="P234" s="43"/>
    </row>
    <row r="235" spans="9:16" x14ac:dyDescent="0.25">
      <c r="I235" s="22"/>
      <c r="J235" s="22"/>
      <c r="K235" s="22"/>
      <c r="L235" s="22"/>
      <c r="M235" s="22"/>
      <c r="N235" s="22"/>
      <c r="O235" s="16"/>
      <c r="P235" s="43"/>
    </row>
    <row r="236" spans="9:16" x14ac:dyDescent="0.25">
      <c r="I236" s="22"/>
      <c r="J236" s="22"/>
      <c r="K236" s="22"/>
      <c r="L236" s="22"/>
      <c r="M236" s="22"/>
      <c r="N236" s="22"/>
      <c r="O236" s="16"/>
      <c r="P236" s="43"/>
    </row>
    <row r="237" spans="9:16" x14ac:dyDescent="0.25">
      <c r="I237" s="22"/>
      <c r="J237" s="22"/>
      <c r="K237" s="22"/>
      <c r="L237" s="22"/>
      <c r="M237" s="22"/>
      <c r="N237" s="22"/>
      <c r="O237" s="16"/>
      <c r="P237" s="43"/>
    </row>
    <row r="238" spans="9:16" x14ac:dyDescent="0.25">
      <c r="I238" s="22"/>
      <c r="J238" s="22"/>
      <c r="K238" s="22"/>
      <c r="L238" s="22"/>
      <c r="M238" s="22"/>
      <c r="N238" s="22"/>
      <c r="O238" s="16"/>
      <c r="P238" s="43"/>
    </row>
    <row r="239" spans="9:16" x14ac:dyDescent="0.25">
      <c r="I239" s="22"/>
      <c r="J239" s="22"/>
      <c r="K239" s="22"/>
      <c r="L239" s="22"/>
      <c r="M239" s="22"/>
      <c r="N239" s="22"/>
      <c r="O239" s="16"/>
      <c r="P239" s="43"/>
    </row>
    <row r="240" spans="9:16" x14ac:dyDescent="0.25">
      <c r="I240" s="22"/>
      <c r="J240" s="22"/>
      <c r="K240" s="22"/>
      <c r="L240" s="22"/>
      <c r="M240" s="22"/>
      <c r="N240" s="22"/>
      <c r="O240" s="16"/>
      <c r="P240" s="43"/>
    </row>
    <row r="241" spans="9:16" x14ac:dyDescent="0.25">
      <c r="I241" s="22"/>
      <c r="J241" s="22"/>
      <c r="K241" s="22"/>
      <c r="L241" s="22"/>
      <c r="M241" s="22"/>
      <c r="N241" s="22"/>
      <c r="O241" s="16"/>
      <c r="P241" s="43"/>
    </row>
    <row r="242" spans="9:16" x14ac:dyDescent="0.25">
      <c r="I242" s="22"/>
      <c r="J242" s="22"/>
      <c r="K242" s="22"/>
      <c r="L242" s="22"/>
      <c r="M242" s="22"/>
      <c r="N242" s="22"/>
      <c r="O242" s="16"/>
      <c r="P242" s="43"/>
    </row>
    <row r="243" spans="9:16" x14ac:dyDescent="0.25">
      <c r="I243" s="22"/>
      <c r="J243" s="22"/>
      <c r="K243" s="22"/>
      <c r="L243" s="22"/>
      <c r="M243" s="22"/>
      <c r="N243" s="22"/>
      <c r="O243" s="16"/>
      <c r="P243" s="43"/>
    </row>
    <row r="244" spans="9:16" x14ac:dyDescent="0.25">
      <c r="I244" s="22"/>
      <c r="J244" s="22"/>
      <c r="K244" s="22"/>
      <c r="L244" s="22"/>
      <c r="M244" s="22"/>
      <c r="N244" s="22"/>
      <c r="O244" s="16"/>
      <c r="P244" s="43"/>
    </row>
    <row r="245" spans="9:16" x14ac:dyDescent="0.25">
      <c r="I245" s="22"/>
      <c r="J245" s="22"/>
      <c r="K245" s="22"/>
      <c r="L245" s="22"/>
      <c r="M245" s="22"/>
      <c r="N245" s="22"/>
      <c r="O245" s="16"/>
      <c r="P245" s="43"/>
    </row>
    <row r="246" spans="9:16" x14ac:dyDescent="0.25">
      <c r="I246" s="22"/>
      <c r="J246" s="22"/>
      <c r="K246" s="22"/>
      <c r="L246" s="22"/>
      <c r="M246" s="22"/>
      <c r="N246" s="22"/>
      <c r="O246" s="16"/>
      <c r="P246" s="43"/>
    </row>
    <row r="247" spans="9:16" x14ac:dyDescent="0.25">
      <c r="I247" s="22"/>
      <c r="J247" s="22"/>
      <c r="K247" s="22"/>
      <c r="L247" s="22"/>
      <c r="M247" s="22"/>
      <c r="N247" s="22"/>
      <c r="O247" s="16"/>
      <c r="P247" s="43"/>
    </row>
    <row r="248" spans="9:16" x14ac:dyDescent="0.25">
      <c r="I248" s="22"/>
      <c r="J248" s="22"/>
      <c r="K248" s="22"/>
      <c r="L248" s="22"/>
      <c r="M248" s="22"/>
      <c r="N248" s="22"/>
      <c r="O248" s="16"/>
      <c r="P248" s="43"/>
    </row>
    <row r="249" spans="9:16" x14ac:dyDescent="0.25">
      <c r="I249" s="22"/>
      <c r="J249" s="22"/>
      <c r="K249" s="22"/>
      <c r="L249" s="22"/>
      <c r="M249" s="22"/>
      <c r="N249" s="22"/>
      <c r="O249" s="16"/>
      <c r="P249" s="43"/>
    </row>
    <row r="250" spans="9:16" x14ac:dyDescent="0.25">
      <c r="I250" s="22"/>
      <c r="J250" s="22"/>
      <c r="K250" s="22"/>
      <c r="L250" s="22"/>
      <c r="M250" s="22"/>
      <c r="N250" s="22"/>
      <c r="O250" s="16"/>
      <c r="P250" s="43"/>
    </row>
    <row r="251" spans="9:16" x14ac:dyDescent="0.25">
      <c r="I251" s="22"/>
      <c r="J251" s="22"/>
      <c r="K251" s="22"/>
      <c r="L251" s="22"/>
      <c r="M251" s="22"/>
      <c r="N251" s="22"/>
      <c r="O251" s="16"/>
      <c r="P251" s="43"/>
    </row>
    <row r="252" spans="9:16" x14ac:dyDescent="0.25">
      <c r="I252" s="22"/>
      <c r="J252" s="22"/>
      <c r="K252" s="22"/>
      <c r="L252" s="22"/>
      <c r="M252" s="22"/>
      <c r="N252" s="22"/>
      <c r="O252" s="16"/>
      <c r="P252" s="43"/>
    </row>
    <row r="253" spans="9:16" x14ac:dyDescent="0.25">
      <c r="I253" s="22"/>
      <c r="J253" s="22"/>
      <c r="K253" s="22"/>
      <c r="L253" s="22"/>
      <c r="M253" s="22"/>
      <c r="N253" s="22"/>
      <c r="O253" s="16"/>
      <c r="P253" s="43"/>
    </row>
    <row r="254" spans="9:16" x14ac:dyDescent="0.25">
      <c r="I254" s="22"/>
      <c r="J254" s="22"/>
      <c r="K254" s="22"/>
      <c r="L254" s="22"/>
      <c r="M254" s="22"/>
      <c r="N254" s="22"/>
      <c r="O254" s="16"/>
      <c r="P254" s="43"/>
    </row>
    <row r="255" spans="9:16" x14ac:dyDescent="0.25">
      <c r="I255" s="22"/>
      <c r="J255" s="22"/>
      <c r="K255" s="22"/>
      <c r="L255" s="22"/>
      <c r="M255" s="22"/>
      <c r="N255" s="22"/>
      <c r="O255" s="16"/>
      <c r="P255" s="43"/>
    </row>
    <row r="256" spans="9:16" x14ac:dyDescent="0.25">
      <c r="I256" s="22"/>
      <c r="J256" s="22"/>
      <c r="K256" s="22"/>
      <c r="L256" s="22"/>
      <c r="M256" s="22"/>
      <c r="N256" s="22"/>
      <c r="O256" s="16"/>
      <c r="P256" s="43"/>
    </row>
    <row r="257" spans="9:16" x14ac:dyDescent="0.25">
      <c r="I257" s="22"/>
      <c r="J257" s="22"/>
      <c r="K257" s="22"/>
      <c r="L257" s="22"/>
      <c r="M257" s="22"/>
      <c r="N257" s="22"/>
      <c r="O257" s="16"/>
      <c r="P257" s="43"/>
    </row>
    <row r="258" spans="9:16" x14ac:dyDescent="0.25">
      <c r="I258" s="22"/>
      <c r="J258" s="22"/>
      <c r="K258" s="22"/>
      <c r="L258" s="22"/>
      <c r="M258" s="22"/>
      <c r="N258" s="22"/>
      <c r="O258" s="16"/>
      <c r="P258" s="43"/>
    </row>
    <row r="259" spans="9:16" x14ac:dyDescent="0.25">
      <c r="I259" s="22"/>
      <c r="J259" s="22"/>
      <c r="K259" s="22"/>
      <c r="L259" s="22"/>
      <c r="M259" s="22"/>
      <c r="N259" s="22"/>
      <c r="O259" s="16"/>
      <c r="P259" s="43"/>
    </row>
    <row r="260" spans="9:16" x14ac:dyDescent="0.25">
      <c r="I260" s="22"/>
      <c r="J260" s="22"/>
      <c r="K260" s="22"/>
      <c r="L260" s="22"/>
      <c r="M260" s="22"/>
      <c r="N260" s="22"/>
      <c r="O260" s="16"/>
      <c r="P260" s="43"/>
    </row>
    <row r="261" spans="9:16" x14ac:dyDescent="0.25">
      <c r="I261" s="22"/>
      <c r="J261" s="22"/>
      <c r="K261" s="22"/>
      <c r="L261" s="22"/>
      <c r="M261" s="22"/>
      <c r="N261" s="22"/>
      <c r="O261" s="16"/>
      <c r="P261" s="43"/>
    </row>
    <row r="262" spans="9:16" x14ac:dyDescent="0.25">
      <c r="I262" s="22"/>
      <c r="J262" s="22"/>
      <c r="K262" s="22"/>
      <c r="L262" s="22"/>
      <c r="M262" s="22"/>
      <c r="N262" s="22"/>
      <c r="O262" s="16"/>
      <c r="P262" s="43"/>
    </row>
    <row r="263" spans="9:16" x14ac:dyDescent="0.25">
      <c r="I263" s="22"/>
      <c r="J263" s="22"/>
      <c r="K263" s="22"/>
      <c r="L263" s="22"/>
      <c r="M263" s="22"/>
      <c r="N263" s="22"/>
      <c r="O263" s="16"/>
      <c r="P263" s="43"/>
    </row>
    <row r="264" spans="9:16" x14ac:dyDescent="0.25">
      <c r="I264" s="22"/>
      <c r="J264" s="22"/>
      <c r="K264" s="22"/>
      <c r="L264" s="22"/>
      <c r="M264" s="22"/>
      <c r="N264" s="22"/>
      <c r="O264" s="16"/>
      <c r="P264" s="43"/>
    </row>
    <row r="265" spans="9:16" x14ac:dyDescent="0.25">
      <c r="I265" s="22"/>
      <c r="J265" s="22"/>
      <c r="K265" s="22"/>
      <c r="L265" s="22"/>
      <c r="M265" s="22"/>
      <c r="N265" s="22"/>
      <c r="O265" s="16"/>
      <c r="P265" s="43"/>
    </row>
    <row r="266" spans="9:16" x14ac:dyDescent="0.25">
      <c r="I266" s="22"/>
      <c r="J266" s="22"/>
      <c r="K266" s="22"/>
      <c r="L266" s="22"/>
      <c r="M266" s="22"/>
      <c r="N266" s="22"/>
      <c r="O266" s="16"/>
      <c r="P266" s="43"/>
    </row>
    <row r="267" spans="9:16" x14ac:dyDescent="0.25">
      <c r="I267" s="22"/>
      <c r="J267" s="22"/>
      <c r="K267" s="22"/>
      <c r="L267" s="22"/>
      <c r="M267" s="22"/>
      <c r="N267" s="22"/>
      <c r="O267" s="16"/>
      <c r="P267" s="43"/>
    </row>
    <row r="268" spans="9:16" x14ac:dyDescent="0.25">
      <c r="I268" s="22"/>
      <c r="J268" s="22"/>
      <c r="K268" s="22"/>
      <c r="L268" s="22"/>
      <c r="M268" s="22"/>
      <c r="N268" s="22"/>
      <c r="O268" s="16"/>
      <c r="P268" s="43"/>
    </row>
    <row r="269" spans="9:16" x14ac:dyDescent="0.25">
      <c r="I269" s="22"/>
      <c r="J269" s="22"/>
      <c r="K269" s="22"/>
      <c r="L269" s="22"/>
      <c r="M269" s="22"/>
      <c r="N269" s="22"/>
      <c r="O269" s="16"/>
      <c r="P269" s="43"/>
    </row>
    <row r="270" spans="9:16" x14ac:dyDescent="0.25">
      <c r="I270" s="22"/>
      <c r="J270" s="22"/>
      <c r="K270" s="22"/>
      <c r="L270" s="22"/>
      <c r="M270" s="22"/>
      <c r="N270" s="22"/>
      <c r="O270" s="16"/>
      <c r="P270" s="43"/>
    </row>
    <row r="271" spans="9:16" x14ac:dyDescent="0.25">
      <c r="I271" s="22"/>
      <c r="J271" s="22"/>
      <c r="K271" s="22"/>
      <c r="L271" s="22"/>
      <c r="M271" s="22"/>
      <c r="N271" s="22"/>
      <c r="O271" s="16"/>
      <c r="P271" s="43"/>
    </row>
    <row r="272" spans="9:16" x14ac:dyDescent="0.25">
      <c r="I272" s="22"/>
      <c r="J272" s="22"/>
      <c r="K272" s="22"/>
      <c r="L272" s="22"/>
      <c r="M272" s="22"/>
      <c r="N272" s="22"/>
      <c r="O272" s="16"/>
      <c r="P272" s="43"/>
    </row>
    <row r="273" spans="9:16" x14ac:dyDescent="0.25">
      <c r="I273" s="22"/>
      <c r="J273" s="22"/>
      <c r="K273" s="22"/>
      <c r="L273" s="22"/>
      <c r="M273" s="22"/>
      <c r="N273" s="22"/>
      <c r="O273" s="16"/>
      <c r="P273" s="43"/>
    </row>
    <row r="274" spans="9:16" x14ac:dyDescent="0.25">
      <c r="I274" s="22"/>
      <c r="J274" s="22"/>
      <c r="K274" s="22"/>
      <c r="L274" s="22"/>
      <c r="M274" s="22"/>
      <c r="N274" s="22"/>
      <c r="O274" s="16"/>
      <c r="P274" s="43"/>
    </row>
    <row r="275" spans="9:16" x14ac:dyDescent="0.25">
      <c r="I275" s="22"/>
      <c r="J275" s="22"/>
      <c r="K275" s="22"/>
      <c r="L275" s="22"/>
      <c r="M275" s="22"/>
      <c r="N275" s="22"/>
      <c r="O275" s="16"/>
      <c r="P275" s="43"/>
    </row>
    <row r="276" spans="9:16" x14ac:dyDescent="0.25">
      <c r="I276" s="22"/>
      <c r="J276" s="22"/>
      <c r="K276" s="22"/>
      <c r="L276" s="22"/>
      <c r="M276" s="22"/>
      <c r="N276" s="22"/>
      <c r="O276" s="16"/>
      <c r="P276" s="43"/>
    </row>
    <row r="277" spans="9:16" x14ac:dyDescent="0.25">
      <c r="I277" s="22"/>
      <c r="J277" s="22"/>
      <c r="K277" s="22"/>
      <c r="L277" s="22"/>
      <c r="M277" s="22"/>
      <c r="N277" s="22"/>
      <c r="O277" s="16"/>
      <c r="P277" s="43"/>
    </row>
    <row r="278" spans="9:16" x14ac:dyDescent="0.25">
      <c r="I278" s="22"/>
      <c r="J278" s="22"/>
      <c r="K278" s="22"/>
      <c r="L278" s="22"/>
      <c r="M278" s="22"/>
      <c r="N278" s="22"/>
      <c r="O278" s="16"/>
      <c r="P278" s="43"/>
    </row>
    <row r="279" spans="9:16" x14ac:dyDescent="0.25">
      <c r="I279" s="22"/>
      <c r="J279" s="22"/>
      <c r="K279" s="22"/>
      <c r="L279" s="22"/>
      <c r="M279" s="22"/>
      <c r="N279" s="22"/>
      <c r="O279" s="16"/>
      <c r="P279" s="43"/>
    </row>
    <row r="280" spans="9:16" x14ac:dyDescent="0.25">
      <c r="I280" s="22"/>
      <c r="J280" s="22"/>
      <c r="K280" s="22"/>
      <c r="L280" s="22"/>
      <c r="M280" s="22"/>
      <c r="N280" s="22"/>
      <c r="O280" s="16"/>
      <c r="P280" s="43"/>
    </row>
    <row r="281" spans="9:16" x14ac:dyDescent="0.25">
      <c r="I281" s="22"/>
      <c r="J281" s="22"/>
      <c r="K281" s="22"/>
      <c r="L281" s="22"/>
      <c r="M281" s="22"/>
      <c r="N281" s="22"/>
      <c r="O281" s="16"/>
      <c r="P281" s="43"/>
    </row>
    <row r="282" spans="9:16" x14ac:dyDescent="0.25">
      <c r="I282" s="22"/>
      <c r="J282" s="22"/>
      <c r="K282" s="22"/>
      <c r="L282" s="22"/>
      <c r="M282" s="22"/>
      <c r="N282" s="22"/>
      <c r="O282" s="16"/>
      <c r="P282" s="43"/>
    </row>
    <row r="283" spans="9:16" x14ac:dyDescent="0.25">
      <c r="I283" s="22"/>
      <c r="J283" s="22"/>
      <c r="K283" s="22"/>
      <c r="L283" s="22"/>
      <c r="M283" s="22"/>
      <c r="N283" s="22"/>
      <c r="O283" s="16"/>
      <c r="P283" s="43"/>
    </row>
    <row r="284" spans="9:16" x14ac:dyDescent="0.25">
      <c r="I284" s="22"/>
      <c r="J284" s="22"/>
      <c r="K284" s="22"/>
      <c r="L284" s="22"/>
      <c r="M284" s="22"/>
      <c r="N284" s="22"/>
      <c r="O284" s="16"/>
      <c r="P284" s="43"/>
    </row>
    <row r="285" spans="9:16" x14ac:dyDescent="0.25">
      <c r="I285" s="22"/>
      <c r="J285" s="22"/>
      <c r="K285" s="22"/>
      <c r="L285" s="22"/>
      <c r="M285" s="22"/>
      <c r="N285" s="22"/>
      <c r="O285" s="16"/>
      <c r="P285" s="43"/>
    </row>
    <row r="286" spans="9:16" x14ac:dyDescent="0.25">
      <c r="I286" s="22"/>
      <c r="J286" s="22"/>
      <c r="K286" s="22"/>
      <c r="L286" s="22"/>
      <c r="M286" s="22"/>
      <c r="N286" s="22"/>
      <c r="O286" s="16"/>
      <c r="P286" s="43"/>
    </row>
    <row r="287" spans="9:16" x14ac:dyDescent="0.25">
      <c r="I287" s="22"/>
      <c r="J287" s="22"/>
      <c r="K287" s="22"/>
      <c r="L287" s="22"/>
      <c r="M287" s="22"/>
      <c r="N287" s="22"/>
      <c r="O287" s="16"/>
      <c r="P287" s="43"/>
    </row>
    <row r="288" spans="9:16" x14ac:dyDescent="0.25">
      <c r="I288" s="22"/>
      <c r="J288" s="22"/>
      <c r="K288" s="22"/>
      <c r="L288" s="22"/>
      <c r="M288" s="22"/>
      <c r="N288" s="22"/>
      <c r="O288" s="16"/>
      <c r="P288" s="43"/>
    </row>
    <row r="289" spans="9:16" x14ac:dyDescent="0.25">
      <c r="I289" s="22"/>
      <c r="J289" s="22"/>
      <c r="K289" s="22"/>
      <c r="L289" s="22"/>
      <c r="M289" s="22"/>
      <c r="N289" s="22"/>
      <c r="O289" s="16"/>
      <c r="P289" s="43"/>
    </row>
    <row r="290" spans="9:16" x14ac:dyDescent="0.25">
      <c r="I290" s="22"/>
      <c r="J290" s="22"/>
      <c r="K290" s="22"/>
      <c r="L290" s="22"/>
      <c r="M290" s="22"/>
      <c r="N290" s="22"/>
      <c r="O290" s="16"/>
      <c r="P290" s="43"/>
    </row>
    <row r="291" spans="9:16" x14ac:dyDescent="0.25">
      <c r="I291" s="22"/>
      <c r="J291" s="22"/>
      <c r="K291" s="22"/>
      <c r="L291" s="22"/>
      <c r="M291" s="22"/>
      <c r="N291" s="22"/>
      <c r="O291" s="16"/>
      <c r="P291" s="43"/>
    </row>
    <row r="292" spans="9:16" x14ac:dyDescent="0.25">
      <c r="I292" s="22"/>
      <c r="J292" s="22"/>
      <c r="K292" s="22"/>
      <c r="L292" s="22"/>
      <c r="M292" s="22"/>
      <c r="N292" s="22"/>
      <c r="O292" s="16"/>
      <c r="P292" s="43"/>
    </row>
    <row r="293" spans="9:16" x14ac:dyDescent="0.25">
      <c r="I293" s="22"/>
      <c r="J293" s="22"/>
      <c r="K293" s="22"/>
      <c r="L293" s="22"/>
      <c r="M293" s="22"/>
      <c r="N293" s="22"/>
      <c r="O293" s="16"/>
      <c r="P293" s="43"/>
    </row>
    <row r="294" spans="9:16" x14ac:dyDescent="0.25">
      <c r="I294" s="22"/>
      <c r="J294" s="22"/>
      <c r="K294" s="22"/>
      <c r="L294" s="22"/>
      <c r="M294" s="22"/>
      <c r="N294" s="22"/>
      <c r="O294" s="16"/>
      <c r="P294" s="43"/>
    </row>
    <row r="295" spans="9:16" x14ac:dyDescent="0.25">
      <c r="I295" s="22"/>
      <c r="J295" s="22"/>
      <c r="K295" s="22"/>
      <c r="L295" s="22"/>
      <c r="M295" s="22"/>
      <c r="N295" s="22"/>
      <c r="O295" s="16"/>
      <c r="P295" s="43"/>
    </row>
    <row r="296" spans="9:16" x14ac:dyDescent="0.25">
      <c r="I296" s="22"/>
      <c r="J296" s="22"/>
      <c r="K296" s="22"/>
      <c r="L296" s="22"/>
      <c r="M296" s="22"/>
      <c r="N296" s="22"/>
      <c r="O296" s="16"/>
      <c r="P296" s="43"/>
    </row>
    <row r="297" spans="9:16" x14ac:dyDescent="0.25">
      <c r="I297" s="22"/>
      <c r="J297" s="22"/>
      <c r="K297" s="22"/>
      <c r="L297" s="22"/>
      <c r="M297" s="22"/>
      <c r="N297" s="22"/>
      <c r="O297" s="16"/>
      <c r="P297" s="43"/>
    </row>
    <row r="298" spans="9:16" x14ac:dyDescent="0.25">
      <c r="I298" s="22"/>
      <c r="J298" s="22"/>
      <c r="K298" s="22"/>
      <c r="L298" s="22"/>
      <c r="M298" s="22"/>
      <c r="N298" s="22"/>
      <c r="O298" s="16"/>
      <c r="P298" s="43"/>
    </row>
    <row r="299" spans="9:16" x14ac:dyDescent="0.25">
      <c r="I299" s="22"/>
      <c r="J299" s="22"/>
      <c r="K299" s="22"/>
      <c r="L299" s="22"/>
      <c r="M299" s="22"/>
      <c r="N299" s="22"/>
      <c r="O299" s="16"/>
      <c r="P299" s="43"/>
    </row>
    <row r="300" spans="9:16" x14ac:dyDescent="0.25">
      <c r="I300" s="22"/>
      <c r="J300" s="22"/>
      <c r="K300" s="22"/>
      <c r="L300" s="22"/>
      <c r="M300" s="22"/>
      <c r="N300" s="22"/>
      <c r="O300" s="16"/>
      <c r="P300" s="43"/>
    </row>
    <row r="301" spans="9:16" x14ac:dyDescent="0.25">
      <c r="I301" s="22"/>
      <c r="J301" s="22"/>
      <c r="K301" s="22"/>
      <c r="L301" s="22"/>
      <c r="M301" s="22"/>
      <c r="N301" s="22"/>
      <c r="O301" s="16"/>
      <c r="P301" s="43"/>
    </row>
    <row r="302" spans="9:16" x14ac:dyDescent="0.25">
      <c r="I302" s="22"/>
      <c r="J302" s="22"/>
      <c r="K302" s="22"/>
      <c r="L302" s="22"/>
      <c r="M302" s="22"/>
      <c r="N302" s="22"/>
      <c r="O302" s="16"/>
      <c r="P302" s="43"/>
    </row>
    <row r="303" spans="9:16" x14ac:dyDescent="0.25">
      <c r="I303" s="22"/>
      <c r="J303" s="22"/>
      <c r="K303" s="22"/>
      <c r="L303" s="22"/>
      <c r="M303" s="22"/>
      <c r="N303" s="22"/>
      <c r="O303" s="16"/>
      <c r="P303" s="43"/>
    </row>
    <row r="304" spans="9:16" x14ac:dyDescent="0.25">
      <c r="I304" s="22"/>
      <c r="J304" s="22"/>
      <c r="K304" s="22"/>
      <c r="L304" s="22"/>
      <c r="M304" s="22"/>
      <c r="N304" s="22"/>
      <c r="O304" s="16"/>
      <c r="P304" s="43"/>
    </row>
    <row r="305" spans="9:16" x14ac:dyDescent="0.25">
      <c r="I305" s="22"/>
      <c r="J305" s="22"/>
      <c r="K305" s="22"/>
      <c r="L305" s="22"/>
      <c r="M305" s="22"/>
      <c r="N305" s="22"/>
      <c r="O305" s="16"/>
      <c r="P305" s="43"/>
    </row>
    <row r="306" spans="9:16" x14ac:dyDescent="0.25">
      <c r="I306" s="22"/>
      <c r="J306" s="22"/>
      <c r="K306" s="22"/>
      <c r="L306" s="22"/>
      <c r="M306" s="22"/>
      <c r="N306" s="22"/>
      <c r="O306" s="16"/>
      <c r="P306" s="43"/>
    </row>
    <row r="307" spans="9:16" x14ac:dyDescent="0.25">
      <c r="I307" s="22"/>
      <c r="J307" s="22"/>
      <c r="K307" s="22"/>
      <c r="L307" s="22"/>
      <c r="M307" s="22"/>
      <c r="N307" s="22"/>
      <c r="O307" s="16"/>
      <c r="P307" s="43"/>
    </row>
    <row r="308" spans="9:16" x14ac:dyDescent="0.25">
      <c r="I308" s="22"/>
      <c r="J308" s="22"/>
      <c r="K308" s="22"/>
      <c r="L308" s="22"/>
      <c r="M308" s="22"/>
      <c r="N308" s="22"/>
      <c r="O308" s="16"/>
      <c r="P308" s="43"/>
    </row>
    <row r="309" spans="9:16" x14ac:dyDescent="0.25">
      <c r="I309" s="22"/>
      <c r="J309" s="22"/>
      <c r="K309" s="22"/>
      <c r="L309" s="22"/>
      <c r="M309" s="22"/>
      <c r="N309" s="22"/>
      <c r="O309" s="16"/>
      <c r="P309" s="43"/>
    </row>
    <row r="310" spans="9:16" x14ac:dyDescent="0.25">
      <c r="I310" s="22"/>
      <c r="J310" s="22"/>
      <c r="K310" s="22"/>
      <c r="L310" s="22"/>
      <c r="M310" s="22"/>
      <c r="N310" s="22"/>
      <c r="O310" s="16"/>
      <c r="P310" s="43"/>
    </row>
    <row r="311" spans="9:16" x14ac:dyDescent="0.25">
      <c r="I311" s="22"/>
      <c r="J311" s="22"/>
      <c r="K311" s="22"/>
      <c r="L311" s="22"/>
      <c r="M311" s="22"/>
      <c r="N311" s="22"/>
      <c r="O311" s="16"/>
      <c r="P311" s="43"/>
    </row>
    <row r="312" spans="9:16" x14ac:dyDescent="0.25">
      <c r="I312" s="22"/>
      <c r="J312" s="22"/>
      <c r="K312" s="22"/>
      <c r="L312" s="22"/>
      <c r="M312" s="22"/>
      <c r="N312" s="22"/>
      <c r="O312" s="16"/>
      <c r="P312" s="43"/>
    </row>
    <row r="313" spans="9:16" x14ac:dyDescent="0.25">
      <c r="I313" s="22"/>
      <c r="J313" s="22"/>
      <c r="K313" s="22"/>
      <c r="L313" s="22"/>
      <c r="M313" s="22"/>
      <c r="N313" s="22"/>
      <c r="O313" s="16"/>
      <c r="P313" s="43"/>
    </row>
    <row r="314" spans="9:16" x14ac:dyDescent="0.25">
      <c r="I314" s="22"/>
      <c r="J314" s="22"/>
      <c r="K314" s="22"/>
      <c r="L314" s="22"/>
      <c r="M314" s="22"/>
      <c r="N314" s="22"/>
      <c r="O314" s="16"/>
      <c r="P314" s="43"/>
    </row>
    <row r="315" spans="9:16" x14ac:dyDescent="0.25">
      <c r="I315" s="22"/>
      <c r="J315" s="22"/>
      <c r="K315" s="22"/>
      <c r="L315" s="22"/>
      <c r="M315" s="22"/>
      <c r="N315" s="22"/>
      <c r="O315" s="16"/>
      <c r="P315" s="43"/>
    </row>
    <row r="316" spans="9:16" x14ac:dyDescent="0.25">
      <c r="I316" s="22"/>
      <c r="J316" s="22"/>
      <c r="K316" s="22"/>
      <c r="L316" s="22"/>
      <c r="M316" s="22"/>
      <c r="N316" s="22"/>
      <c r="O316" s="16"/>
      <c r="P316" s="43"/>
    </row>
    <row r="317" spans="9:16" x14ac:dyDescent="0.25">
      <c r="I317" s="22"/>
      <c r="J317" s="22"/>
      <c r="K317" s="22"/>
      <c r="L317" s="22"/>
      <c r="M317" s="22"/>
      <c r="N317" s="22"/>
      <c r="O317" s="16"/>
      <c r="P317" s="43"/>
    </row>
    <row r="318" spans="9:16" x14ac:dyDescent="0.25">
      <c r="I318" s="22"/>
      <c r="J318" s="22"/>
      <c r="K318" s="22"/>
      <c r="L318" s="22"/>
      <c r="M318" s="22"/>
      <c r="N318" s="22"/>
      <c r="O318" s="16"/>
      <c r="P318" s="43"/>
    </row>
    <row r="319" spans="9:16" x14ac:dyDescent="0.25">
      <c r="I319" s="22"/>
      <c r="J319" s="22"/>
      <c r="K319" s="22"/>
      <c r="L319" s="22"/>
      <c r="M319" s="22"/>
      <c r="N319" s="22"/>
      <c r="O319" s="16"/>
      <c r="P319" s="43"/>
    </row>
    <row r="320" spans="9:16" x14ac:dyDescent="0.25">
      <c r="I320" s="22"/>
      <c r="J320" s="22"/>
      <c r="K320" s="22"/>
      <c r="L320" s="22"/>
      <c r="M320" s="22"/>
      <c r="N320" s="22"/>
      <c r="O320" s="16"/>
      <c r="P320" s="43"/>
    </row>
    <row r="321" spans="9:16" x14ac:dyDescent="0.25">
      <c r="I321" s="22"/>
      <c r="J321" s="22"/>
      <c r="K321" s="22"/>
      <c r="L321" s="22"/>
      <c r="M321" s="22"/>
      <c r="N321" s="22"/>
      <c r="O321" s="16"/>
      <c r="P321" s="43"/>
    </row>
    <row r="322" spans="9:16" x14ac:dyDescent="0.25">
      <c r="I322" s="22"/>
      <c r="J322" s="22"/>
      <c r="K322" s="22"/>
      <c r="L322" s="22"/>
      <c r="M322" s="22"/>
      <c r="N322" s="22"/>
      <c r="O322" s="16"/>
      <c r="P322" s="43"/>
    </row>
    <row r="323" spans="9:16" x14ac:dyDescent="0.25">
      <c r="I323" s="22"/>
      <c r="J323" s="22"/>
      <c r="K323" s="22"/>
      <c r="L323" s="22"/>
      <c r="M323" s="22"/>
      <c r="N323" s="22"/>
      <c r="O323" s="16"/>
      <c r="P323" s="43"/>
    </row>
    <row r="324" spans="9:16" x14ac:dyDescent="0.25">
      <c r="I324" s="22"/>
      <c r="J324" s="22"/>
      <c r="K324" s="22"/>
      <c r="L324" s="22"/>
      <c r="M324" s="22"/>
      <c r="N324" s="22"/>
      <c r="O324" s="16"/>
      <c r="P324" s="43"/>
    </row>
    <row r="325" spans="9:16" x14ac:dyDescent="0.25">
      <c r="I325" s="22"/>
      <c r="J325" s="22"/>
      <c r="K325" s="22"/>
      <c r="L325" s="22"/>
      <c r="M325" s="22"/>
      <c r="N325" s="22"/>
      <c r="O325" s="16"/>
      <c r="P325" s="43"/>
    </row>
    <row r="326" spans="9:16" x14ac:dyDescent="0.25">
      <c r="I326" s="22"/>
      <c r="J326" s="22"/>
      <c r="K326" s="22"/>
      <c r="L326" s="22"/>
      <c r="M326" s="22"/>
      <c r="N326" s="22"/>
      <c r="O326" s="16"/>
      <c r="P326" s="43"/>
    </row>
    <row r="327" spans="9:16" x14ac:dyDescent="0.25">
      <c r="I327" s="22"/>
      <c r="J327" s="22"/>
      <c r="K327" s="22"/>
      <c r="L327" s="22"/>
      <c r="M327" s="22"/>
      <c r="N327" s="22"/>
      <c r="O327" s="16"/>
      <c r="P327" s="43"/>
    </row>
    <row r="328" spans="9:16" x14ac:dyDescent="0.25">
      <c r="I328" s="22"/>
      <c r="J328" s="22"/>
      <c r="K328" s="22"/>
      <c r="L328" s="22"/>
      <c r="M328" s="22"/>
      <c r="N328" s="22"/>
      <c r="O328" s="16"/>
      <c r="P328" s="43"/>
    </row>
    <row r="329" spans="9:16" x14ac:dyDescent="0.25">
      <c r="I329" s="22"/>
      <c r="J329" s="22"/>
      <c r="K329" s="22"/>
      <c r="L329" s="22"/>
      <c r="M329" s="22"/>
      <c r="N329" s="22"/>
      <c r="O329" s="16"/>
      <c r="P329" s="43"/>
    </row>
    <row r="330" spans="9:16" x14ac:dyDescent="0.25">
      <c r="I330" s="22"/>
      <c r="J330" s="22"/>
      <c r="K330" s="22"/>
      <c r="L330" s="22"/>
      <c r="M330" s="22"/>
      <c r="N330" s="22"/>
      <c r="O330" s="16"/>
      <c r="P330" s="43"/>
    </row>
    <row r="331" spans="9:16" x14ac:dyDescent="0.25">
      <c r="I331" s="22"/>
      <c r="J331" s="22"/>
      <c r="K331" s="22"/>
      <c r="L331" s="22"/>
      <c r="M331" s="22"/>
      <c r="N331" s="22"/>
      <c r="O331" s="16"/>
      <c r="P331" s="43"/>
    </row>
    <row r="332" spans="9:16" x14ac:dyDescent="0.25">
      <c r="I332" s="22"/>
      <c r="J332" s="22"/>
      <c r="K332" s="22"/>
      <c r="L332" s="22"/>
      <c r="M332" s="22"/>
      <c r="N332" s="22"/>
      <c r="O332" s="16"/>
      <c r="P332" s="43"/>
    </row>
    <row r="333" spans="9:16" x14ac:dyDescent="0.25">
      <c r="I333" s="22"/>
      <c r="J333" s="22"/>
      <c r="K333" s="22"/>
      <c r="L333" s="22"/>
      <c r="M333" s="22"/>
      <c r="N333" s="22"/>
      <c r="O333" s="16"/>
      <c r="P333" s="43"/>
    </row>
    <row r="334" spans="9:16" x14ac:dyDescent="0.25">
      <c r="I334" s="22"/>
      <c r="J334" s="22"/>
      <c r="K334" s="22"/>
      <c r="L334" s="22"/>
      <c r="M334" s="22"/>
      <c r="N334" s="22"/>
      <c r="O334" s="16"/>
      <c r="P334" s="43"/>
    </row>
    <row r="335" spans="9:16" x14ac:dyDescent="0.25">
      <c r="I335" s="22"/>
      <c r="J335" s="22"/>
      <c r="K335" s="22"/>
      <c r="L335" s="22"/>
      <c r="M335" s="22"/>
      <c r="N335" s="22"/>
      <c r="O335" s="16"/>
      <c r="P335" s="43"/>
    </row>
    <row r="336" spans="9:16" x14ac:dyDescent="0.25">
      <c r="I336" s="22"/>
      <c r="J336" s="22"/>
      <c r="K336" s="22"/>
      <c r="L336" s="22"/>
      <c r="M336" s="22"/>
      <c r="N336" s="22"/>
      <c r="O336" s="16"/>
      <c r="P336" s="43"/>
    </row>
    <row r="337" spans="9:16" x14ac:dyDescent="0.25">
      <c r="I337" s="22"/>
      <c r="J337" s="22"/>
      <c r="K337" s="22"/>
      <c r="L337" s="22"/>
      <c r="M337" s="22"/>
      <c r="N337" s="22"/>
      <c r="O337" s="16"/>
      <c r="P337" s="43"/>
    </row>
    <row r="338" spans="9:16" x14ac:dyDescent="0.25">
      <c r="I338" s="22"/>
      <c r="J338" s="22"/>
      <c r="K338" s="22"/>
      <c r="L338" s="22"/>
      <c r="M338" s="22"/>
      <c r="N338" s="22"/>
      <c r="O338" s="16"/>
      <c r="P338" s="43"/>
    </row>
    <row r="339" spans="9:16" x14ac:dyDescent="0.25">
      <c r="I339" s="22"/>
      <c r="J339" s="22"/>
      <c r="K339" s="22"/>
      <c r="L339" s="22"/>
      <c r="M339" s="22"/>
      <c r="N339" s="22"/>
      <c r="O339" s="16"/>
      <c r="P339" s="43"/>
    </row>
    <row r="340" spans="9:16" x14ac:dyDescent="0.25">
      <c r="I340" s="22"/>
      <c r="J340" s="22"/>
      <c r="K340" s="22"/>
      <c r="L340" s="22"/>
      <c r="M340" s="22"/>
      <c r="N340" s="22"/>
      <c r="O340" s="16"/>
      <c r="P340" s="43"/>
    </row>
    <row r="341" spans="9:16" x14ac:dyDescent="0.25">
      <c r="I341" s="22"/>
      <c r="J341" s="22"/>
      <c r="K341" s="22"/>
      <c r="L341" s="22"/>
      <c r="M341" s="22"/>
      <c r="N341" s="22"/>
      <c r="O341" s="16"/>
      <c r="P341" s="43"/>
    </row>
    <row r="342" spans="9:16" x14ac:dyDescent="0.25">
      <c r="I342" s="22"/>
      <c r="J342" s="22"/>
      <c r="K342" s="22"/>
      <c r="L342" s="22"/>
      <c r="M342" s="22"/>
      <c r="N342" s="22"/>
      <c r="O342" s="16"/>
      <c r="P342" s="43"/>
    </row>
    <row r="343" spans="9:16" x14ac:dyDescent="0.25">
      <c r="I343" s="22"/>
      <c r="J343" s="22"/>
      <c r="K343" s="22"/>
      <c r="L343" s="22"/>
      <c r="M343" s="22"/>
      <c r="N343" s="22"/>
      <c r="O343" s="16"/>
      <c r="P343" s="43"/>
    </row>
    <row r="344" spans="9:16" x14ac:dyDescent="0.25">
      <c r="I344" s="22"/>
      <c r="J344" s="22"/>
      <c r="K344" s="22"/>
      <c r="L344" s="22"/>
      <c r="M344" s="22"/>
      <c r="N344" s="22"/>
      <c r="O344" s="16"/>
      <c r="P344" s="43"/>
    </row>
    <row r="345" spans="9:16" x14ac:dyDescent="0.25">
      <c r="I345" s="22"/>
      <c r="J345" s="22"/>
      <c r="K345" s="22"/>
      <c r="L345" s="22"/>
      <c r="M345" s="22"/>
      <c r="N345" s="22"/>
      <c r="O345" s="16"/>
      <c r="P345" s="43"/>
    </row>
    <row r="346" spans="9:16" x14ac:dyDescent="0.25">
      <c r="I346" s="22"/>
      <c r="J346" s="22"/>
      <c r="K346" s="22"/>
      <c r="L346" s="22"/>
      <c r="M346" s="22"/>
      <c r="N346" s="22"/>
      <c r="O346" s="16"/>
      <c r="P346" s="43"/>
    </row>
    <row r="347" spans="9:16" x14ac:dyDescent="0.25">
      <c r="I347" s="22"/>
      <c r="J347" s="22"/>
      <c r="K347" s="22"/>
      <c r="L347" s="22"/>
      <c r="M347" s="22"/>
      <c r="N347" s="22"/>
      <c r="O347" s="16"/>
      <c r="P347" s="43"/>
    </row>
    <row r="348" spans="9:16" x14ac:dyDescent="0.25">
      <c r="I348" s="22"/>
      <c r="J348" s="22"/>
      <c r="K348" s="22"/>
      <c r="L348" s="22"/>
      <c r="M348" s="22"/>
      <c r="N348" s="22"/>
      <c r="O348" s="16"/>
      <c r="P348" s="43"/>
    </row>
    <row r="349" spans="9:16" x14ac:dyDescent="0.25">
      <c r="I349" s="22"/>
      <c r="J349" s="22"/>
      <c r="K349" s="22"/>
      <c r="L349" s="22"/>
      <c r="M349" s="22"/>
      <c r="N349" s="22"/>
      <c r="O349" s="16"/>
      <c r="P349" s="43"/>
    </row>
    <row r="350" spans="9:16" x14ac:dyDescent="0.25">
      <c r="I350" s="22"/>
      <c r="J350" s="22"/>
      <c r="K350" s="22"/>
      <c r="L350" s="22"/>
      <c r="M350" s="22"/>
      <c r="N350" s="22"/>
      <c r="O350" s="16"/>
      <c r="P350" s="43"/>
    </row>
    <row r="351" spans="9:16" x14ac:dyDescent="0.25">
      <c r="I351" s="22"/>
      <c r="J351" s="22"/>
      <c r="K351" s="22"/>
      <c r="L351" s="22"/>
      <c r="M351" s="22"/>
      <c r="N351" s="22"/>
      <c r="O351" s="16"/>
      <c r="P351" s="43"/>
    </row>
    <row r="352" spans="9:16" x14ac:dyDescent="0.25">
      <c r="I352" s="22"/>
      <c r="J352" s="22"/>
      <c r="K352" s="22"/>
      <c r="L352" s="22"/>
      <c r="M352" s="22"/>
      <c r="N352" s="22"/>
      <c r="O352" s="16"/>
      <c r="P352" s="43"/>
    </row>
    <row r="353" spans="9:16" x14ac:dyDescent="0.25">
      <c r="I353" s="22"/>
      <c r="J353" s="22"/>
      <c r="K353" s="22"/>
      <c r="L353" s="22"/>
      <c r="M353" s="22"/>
      <c r="N353" s="22"/>
      <c r="O353" s="16"/>
      <c r="P353" s="43"/>
    </row>
    <row r="354" spans="9:16" x14ac:dyDescent="0.25">
      <c r="I354" s="22"/>
      <c r="J354" s="22"/>
      <c r="K354" s="22"/>
      <c r="L354" s="22"/>
      <c r="M354" s="22"/>
      <c r="N354" s="22"/>
      <c r="O354" s="16"/>
      <c r="P354" s="43"/>
    </row>
    <row r="355" spans="9:16" x14ac:dyDescent="0.25">
      <c r="I355" s="22"/>
      <c r="J355" s="22"/>
      <c r="K355" s="22"/>
      <c r="L355" s="22"/>
      <c r="M355" s="22"/>
      <c r="N355" s="22"/>
      <c r="O355" s="16"/>
      <c r="P355" s="43"/>
    </row>
    <row r="356" spans="9:16" x14ac:dyDescent="0.25">
      <c r="I356" s="22"/>
      <c r="J356" s="22"/>
      <c r="K356" s="22"/>
      <c r="L356" s="22"/>
      <c r="M356" s="22"/>
      <c r="N356" s="22"/>
      <c r="O356" s="16"/>
      <c r="P356" s="43"/>
    </row>
    <row r="357" spans="9:16" x14ac:dyDescent="0.25">
      <c r="I357" s="22"/>
      <c r="J357" s="22"/>
      <c r="K357" s="22"/>
      <c r="L357" s="22"/>
      <c r="M357" s="22"/>
      <c r="N357" s="22"/>
      <c r="O357" s="16"/>
      <c r="P357" s="43"/>
    </row>
    <row r="358" spans="9:16" x14ac:dyDescent="0.25">
      <c r="I358" s="22"/>
      <c r="J358" s="22"/>
      <c r="K358" s="22"/>
      <c r="L358" s="22"/>
      <c r="M358" s="22"/>
      <c r="N358" s="22"/>
      <c r="O358" s="16"/>
      <c r="P358" s="43"/>
    </row>
    <row r="359" spans="9:16" x14ac:dyDescent="0.25">
      <c r="I359" s="22"/>
      <c r="J359" s="22"/>
      <c r="K359" s="22"/>
      <c r="L359" s="22"/>
      <c r="M359" s="22"/>
      <c r="N359" s="22"/>
      <c r="O359" s="16"/>
      <c r="P359" s="43"/>
    </row>
    <row r="360" spans="9:16" x14ac:dyDescent="0.25">
      <c r="I360" s="22"/>
      <c r="J360" s="22"/>
      <c r="K360" s="22"/>
      <c r="L360" s="22"/>
      <c r="M360" s="22"/>
      <c r="N360" s="22"/>
      <c r="O360" s="16"/>
      <c r="P360" s="43"/>
    </row>
    <row r="361" spans="9:16" x14ac:dyDescent="0.25">
      <c r="I361" s="22"/>
      <c r="J361" s="22"/>
      <c r="K361" s="22"/>
      <c r="L361" s="22"/>
      <c r="M361" s="22"/>
      <c r="N361" s="22"/>
      <c r="O361" s="16"/>
      <c r="P361" s="43"/>
    </row>
    <row r="362" spans="9:16" x14ac:dyDescent="0.25">
      <c r="I362" s="22"/>
      <c r="J362" s="22"/>
      <c r="K362" s="22"/>
      <c r="L362" s="22"/>
      <c r="M362" s="22"/>
      <c r="N362" s="22"/>
      <c r="O362" s="16"/>
      <c r="P362" s="43"/>
    </row>
    <row r="363" spans="9:16" x14ac:dyDescent="0.25">
      <c r="I363" s="22"/>
      <c r="J363" s="22"/>
      <c r="K363" s="22"/>
      <c r="L363" s="22"/>
      <c r="M363" s="22"/>
      <c r="N363" s="22"/>
      <c r="O363" s="16"/>
      <c r="P363" s="43"/>
    </row>
    <row r="364" spans="9:16" x14ac:dyDescent="0.25">
      <c r="I364" s="22"/>
      <c r="J364" s="22"/>
      <c r="K364" s="22"/>
      <c r="L364" s="22"/>
      <c r="M364" s="22"/>
      <c r="N364" s="22"/>
      <c r="O364" s="16"/>
      <c r="P364" s="43"/>
    </row>
    <row r="365" spans="9:16" x14ac:dyDescent="0.25">
      <c r="I365" s="22"/>
      <c r="J365" s="22"/>
      <c r="K365" s="22"/>
      <c r="L365" s="22"/>
      <c r="M365" s="22"/>
      <c r="N365" s="22"/>
      <c r="O365" s="16"/>
      <c r="P365" s="43"/>
    </row>
    <row r="366" spans="9:16" x14ac:dyDescent="0.25">
      <c r="I366" s="22"/>
      <c r="J366" s="22"/>
      <c r="K366" s="22"/>
      <c r="L366" s="22"/>
      <c r="M366" s="22"/>
      <c r="N366" s="22"/>
      <c r="O366" s="16"/>
      <c r="P366" s="43"/>
    </row>
    <row r="367" spans="9:16" x14ac:dyDescent="0.25">
      <c r="I367" s="22"/>
      <c r="J367" s="22"/>
      <c r="K367" s="22"/>
      <c r="L367" s="22"/>
      <c r="M367" s="22"/>
      <c r="N367" s="22"/>
      <c r="O367" s="16"/>
      <c r="P367" s="43"/>
    </row>
    <row r="368" spans="9:16" x14ac:dyDescent="0.25">
      <c r="I368" s="22"/>
      <c r="J368" s="22"/>
      <c r="K368" s="22"/>
      <c r="L368" s="22"/>
      <c r="M368" s="22"/>
      <c r="N368" s="22"/>
      <c r="O368" s="16"/>
      <c r="P368" s="43"/>
    </row>
    <row r="369" spans="9:16" x14ac:dyDescent="0.25">
      <c r="I369" s="22"/>
      <c r="J369" s="22"/>
      <c r="K369" s="22"/>
      <c r="L369" s="22"/>
      <c r="M369" s="22"/>
      <c r="N369" s="22"/>
      <c r="O369" s="16"/>
      <c r="P369" s="43"/>
    </row>
    <row r="370" spans="9:16" x14ac:dyDescent="0.25">
      <c r="I370" s="22"/>
      <c r="J370" s="22"/>
      <c r="K370" s="22"/>
      <c r="L370" s="22"/>
      <c r="M370" s="22"/>
      <c r="N370" s="22"/>
      <c r="O370" s="16"/>
      <c r="P370" s="43"/>
    </row>
    <row r="371" spans="9:16" x14ac:dyDescent="0.25">
      <c r="I371" s="22"/>
      <c r="J371" s="22"/>
      <c r="K371" s="22"/>
      <c r="L371" s="22"/>
      <c r="M371" s="22"/>
      <c r="N371" s="22"/>
      <c r="O371" s="16"/>
      <c r="P371" s="43"/>
    </row>
    <row r="372" spans="9:16" x14ac:dyDescent="0.25">
      <c r="I372" s="22"/>
      <c r="J372" s="22"/>
      <c r="K372" s="22"/>
      <c r="L372" s="22"/>
      <c r="M372" s="22"/>
      <c r="N372" s="22"/>
      <c r="O372" s="16"/>
      <c r="P372" s="43"/>
    </row>
    <row r="373" spans="9:16" x14ac:dyDescent="0.25">
      <c r="I373" s="22"/>
      <c r="J373" s="22"/>
      <c r="K373" s="22"/>
      <c r="L373" s="22"/>
      <c r="M373" s="22"/>
      <c r="N373" s="22"/>
      <c r="O373" s="16"/>
      <c r="P373" s="43"/>
    </row>
    <row r="374" spans="9:16" x14ac:dyDescent="0.25">
      <c r="I374" s="22"/>
      <c r="J374" s="22"/>
      <c r="K374" s="22"/>
      <c r="L374" s="22"/>
      <c r="M374" s="22"/>
      <c r="N374" s="22"/>
      <c r="O374" s="16"/>
      <c r="P374" s="43"/>
    </row>
    <row r="375" spans="9:16" x14ac:dyDescent="0.25">
      <c r="I375" s="22"/>
      <c r="J375" s="22"/>
      <c r="K375" s="22"/>
      <c r="L375" s="22"/>
      <c r="M375" s="22"/>
      <c r="N375" s="22"/>
      <c r="O375" s="16"/>
      <c r="P375" s="43"/>
    </row>
    <row r="376" spans="9:16" x14ac:dyDescent="0.25">
      <c r="I376" s="22"/>
      <c r="J376" s="22"/>
      <c r="K376" s="22"/>
      <c r="L376" s="22"/>
      <c r="M376" s="22"/>
      <c r="N376" s="22"/>
      <c r="O376" s="16"/>
      <c r="P376" s="43"/>
    </row>
    <row r="377" spans="9:16" x14ac:dyDescent="0.25">
      <c r="I377" s="22"/>
      <c r="J377" s="22"/>
      <c r="K377" s="22"/>
      <c r="L377" s="22"/>
      <c r="M377" s="22"/>
      <c r="N377" s="22"/>
      <c r="O377" s="16"/>
      <c r="P377" s="43"/>
    </row>
    <row r="378" spans="9:16" x14ac:dyDescent="0.25">
      <c r="I378" s="22"/>
      <c r="J378" s="22"/>
      <c r="K378" s="22"/>
      <c r="L378" s="22"/>
      <c r="M378" s="22"/>
      <c r="N378" s="22"/>
      <c r="O378" s="16"/>
      <c r="P378" s="43"/>
    </row>
    <row r="379" spans="9:16" x14ac:dyDescent="0.25">
      <c r="I379" s="22"/>
      <c r="J379" s="22"/>
      <c r="K379" s="22"/>
      <c r="L379" s="22"/>
      <c r="M379" s="22"/>
      <c r="N379" s="22"/>
      <c r="O379" s="16"/>
      <c r="P379" s="43"/>
    </row>
    <row r="380" spans="9:16" x14ac:dyDescent="0.25">
      <c r="I380" s="22"/>
      <c r="J380" s="22"/>
      <c r="K380" s="22"/>
      <c r="L380" s="22"/>
      <c r="M380" s="22"/>
      <c r="N380" s="22"/>
      <c r="O380" s="16"/>
      <c r="P380" s="43"/>
    </row>
    <row r="381" spans="9:16" x14ac:dyDescent="0.25">
      <c r="I381" s="22"/>
      <c r="J381" s="22"/>
      <c r="K381" s="22"/>
      <c r="L381" s="22"/>
      <c r="M381" s="22"/>
      <c r="N381" s="22"/>
      <c r="O381" s="16"/>
      <c r="P381" s="43"/>
    </row>
    <row r="382" spans="9:16" x14ac:dyDescent="0.25">
      <c r="I382" s="22"/>
      <c r="J382" s="22"/>
      <c r="K382" s="22"/>
      <c r="L382" s="22"/>
      <c r="M382" s="22"/>
      <c r="N382" s="22"/>
      <c r="O382" s="16"/>
      <c r="P382" s="43"/>
    </row>
    <row r="383" spans="9:16" x14ac:dyDescent="0.25">
      <c r="I383" s="22"/>
      <c r="J383" s="22"/>
      <c r="K383" s="22"/>
      <c r="L383" s="22"/>
      <c r="M383" s="22"/>
      <c r="N383" s="22"/>
      <c r="O383" s="16"/>
      <c r="P383" s="43"/>
    </row>
    <row r="384" spans="9:16" x14ac:dyDescent="0.25">
      <c r="I384" s="22"/>
      <c r="J384" s="22"/>
      <c r="K384" s="22"/>
      <c r="L384" s="22"/>
      <c r="M384" s="22"/>
      <c r="N384" s="22"/>
      <c r="O384" s="16"/>
      <c r="P384" s="43"/>
    </row>
    <row r="385" spans="9:16" x14ac:dyDescent="0.25">
      <c r="I385" s="22"/>
      <c r="J385" s="22"/>
      <c r="K385" s="22"/>
      <c r="L385" s="22"/>
      <c r="M385" s="22"/>
      <c r="N385" s="22"/>
      <c r="O385" s="16"/>
      <c r="P385" s="43"/>
    </row>
    <row r="386" spans="9:16" x14ac:dyDescent="0.25">
      <c r="I386" s="22"/>
      <c r="J386" s="22"/>
      <c r="K386" s="22"/>
      <c r="L386" s="22"/>
      <c r="M386" s="22"/>
      <c r="N386" s="22"/>
      <c r="O386" s="16"/>
      <c r="P386" s="43"/>
    </row>
    <row r="387" spans="9:16" x14ac:dyDescent="0.25">
      <c r="I387" s="22"/>
      <c r="J387" s="22"/>
      <c r="K387" s="22"/>
      <c r="L387" s="22"/>
      <c r="M387" s="22"/>
      <c r="N387" s="22"/>
      <c r="O387" s="16"/>
      <c r="P387" s="43"/>
    </row>
    <row r="388" spans="9:16" x14ac:dyDescent="0.25">
      <c r="I388" s="22"/>
      <c r="J388" s="22"/>
      <c r="K388" s="22"/>
      <c r="L388" s="22"/>
      <c r="M388" s="22"/>
      <c r="N388" s="22"/>
      <c r="O388" s="16"/>
      <c r="P388" s="43"/>
    </row>
    <row r="389" spans="9:16" x14ac:dyDescent="0.25">
      <c r="I389" s="22"/>
      <c r="J389" s="22"/>
      <c r="K389" s="22"/>
      <c r="L389" s="22"/>
      <c r="M389" s="22"/>
      <c r="N389" s="22"/>
      <c r="O389" s="16"/>
      <c r="P389" s="43"/>
    </row>
    <row r="390" spans="9:16" x14ac:dyDescent="0.25">
      <c r="I390" s="22"/>
      <c r="J390" s="22"/>
      <c r="K390" s="22"/>
      <c r="L390" s="22"/>
      <c r="M390" s="22"/>
      <c r="N390" s="22"/>
      <c r="O390" s="16"/>
      <c r="P390" s="43"/>
    </row>
    <row r="391" spans="9:16" x14ac:dyDescent="0.25">
      <c r="I391" s="22"/>
      <c r="J391" s="22"/>
      <c r="K391" s="22"/>
      <c r="L391" s="22"/>
      <c r="M391" s="22"/>
      <c r="N391" s="22"/>
      <c r="O391" s="16"/>
      <c r="P391" s="43"/>
    </row>
    <row r="392" spans="9:16" x14ac:dyDescent="0.25">
      <c r="I392" s="22"/>
      <c r="J392" s="22"/>
      <c r="K392" s="22"/>
      <c r="L392" s="22"/>
      <c r="M392" s="22"/>
      <c r="N392" s="22"/>
      <c r="O392" s="16"/>
      <c r="P392" s="43"/>
    </row>
    <row r="393" spans="9:16" x14ac:dyDescent="0.25">
      <c r="I393" s="22"/>
      <c r="J393" s="22"/>
      <c r="K393" s="22"/>
      <c r="L393" s="22"/>
      <c r="M393" s="22"/>
      <c r="N393" s="22"/>
      <c r="O393" s="16"/>
      <c r="P393" s="43"/>
    </row>
    <row r="394" spans="9:16" x14ac:dyDescent="0.25">
      <c r="I394" s="22"/>
      <c r="J394" s="22"/>
      <c r="K394" s="22"/>
      <c r="L394" s="22"/>
      <c r="M394" s="22"/>
      <c r="N394" s="22"/>
      <c r="O394" s="16"/>
      <c r="P394" s="43"/>
    </row>
    <row r="395" spans="9:16" x14ac:dyDescent="0.25">
      <c r="I395" s="22"/>
      <c r="J395" s="22"/>
      <c r="K395" s="22"/>
      <c r="L395" s="22"/>
      <c r="M395" s="22"/>
      <c r="N395" s="22"/>
      <c r="O395" s="16"/>
      <c r="P395" s="43"/>
    </row>
    <row r="396" spans="9:16" x14ac:dyDescent="0.25">
      <c r="I396" s="22"/>
      <c r="J396" s="22"/>
      <c r="K396" s="22"/>
      <c r="L396" s="22"/>
      <c r="M396" s="22"/>
      <c r="N396" s="22"/>
      <c r="O396" s="16"/>
      <c r="P396" s="43"/>
    </row>
    <row r="397" spans="9:16" x14ac:dyDescent="0.25">
      <c r="I397" s="22"/>
      <c r="J397" s="22"/>
      <c r="K397" s="22"/>
      <c r="L397" s="22"/>
      <c r="M397" s="22"/>
      <c r="N397" s="22"/>
      <c r="O397" s="16"/>
      <c r="P397" s="43"/>
    </row>
    <row r="398" spans="9:16" x14ac:dyDescent="0.25">
      <c r="I398" s="22"/>
      <c r="J398" s="22"/>
      <c r="K398" s="22"/>
      <c r="L398" s="22"/>
      <c r="M398" s="22"/>
      <c r="N398" s="22"/>
      <c r="O398" s="16"/>
      <c r="P398" s="43"/>
    </row>
    <row r="399" spans="9:16" x14ac:dyDescent="0.25">
      <c r="I399" s="22"/>
      <c r="J399" s="22"/>
      <c r="K399" s="22"/>
      <c r="L399" s="22"/>
      <c r="M399" s="22"/>
      <c r="N399" s="22"/>
      <c r="O399" s="16"/>
      <c r="P399" s="43"/>
    </row>
    <row r="400" spans="9:16" x14ac:dyDescent="0.25">
      <c r="I400" s="22"/>
      <c r="J400" s="22"/>
      <c r="K400" s="22"/>
      <c r="L400" s="22"/>
      <c r="M400" s="22"/>
      <c r="N400" s="22"/>
      <c r="O400" s="16"/>
      <c r="P400" s="43"/>
    </row>
    <row r="401" spans="9:16" x14ac:dyDescent="0.25">
      <c r="I401" s="22"/>
      <c r="J401" s="22"/>
      <c r="K401" s="22"/>
      <c r="L401" s="22"/>
      <c r="M401" s="22"/>
      <c r="N401" s="22"/>
      <c r="O401" s="16"/>
      <c r="P401" s="43"/>
    </row>
    <row r="402" spans="9:16" x14ac:dyDescent="0.25">
      <c r="I402" s="22"/>
      <c r="J402" s="22"/>
      <c r="K402" s="22"/>
      <c r="L402" s="22"/>
      <c r="M402" s="22"/>
      <c r="N402" s="22"/>
      <c r="O402" s="16"/>
      <c r="P402" s="43"/>
    </row>
    <row r="403" spans="9:16" x14ac:dyDescent="0.25">
      <c r="I403" s="22"/>
      <c r="J403" s="22"/>
      <c r="K403" s="22"/>
      <c r="L403" s="22"/>
      <c r="M403" s="22"/>
      <c r="N403" s="22"/>
      <c r="O403" s="16"/>
      <c r="P403" s="43"/>
    </row>
    <row r="404" spans="9:16" x14ac:dyDescent="0.25">
      <c r="I404" s="22"/>
      <c r="J404" s="22"/>
      <c r="K404" s="22"/>
      <c r="L404" s="22"/>
      <c r="M404" s="22"/>
      <c r="N404" s="22"/>
      <c r="O404" s="16"/>
      <c r="P404" s="43"/>
    </row>
    <row r="405" spans="9:16" x14ac:dyDescent="0.25">
      <c r="I405" s="22"/>
      <c r="J405" s="22"/>
      <c r="K405" s="22"/>
      <c r="L405" s="22"/>
      <c r="M405" s="22"/>
      <c r="N405" s="22"/>
      <c r="O405" s="16"/>
      <c r="P405" s="43"/>
    </row>
    <row r="406" spans="9:16" x14ac:dyDescent="0.25">
      <c r="I406" s="22"/>
      <c r="J406" s="22"/>
      <c r="K406" s="22"/>
      <c r="L406" s="22"/>
      <c r="M406" s="22"/>
      <c r="N406" s="22"/>
      <c r="O406" s="16"/>
      <c r="P406" s="43"/>
    </row>
    <row r="407" spans="9:16" x14ac:dyDescent="0.25">
      <c r="I407" s="22"/>
      <c r="J407" s="22"/>
      <c r="K407" s="22"/>
      <c r="L407" s="22"/>
      <c r="M407" s="22"/>
      <c r="N407" s="22"/>
      <c r="O407" s="16"/>
      <c r="P407" s="43"/>
    </row>
    <row r="408" spans="9:16" x14ac:dyDescent="0.25">
      <c r="I408" s="22"/>
      <c r="J408" s="22"/>
      <c r="K408" s="22"/>
      <c r="L408" s="22"/>
      <c r="M408" s="22"/>
      <c r="N408" s="22"/>
      <c r="O408" s="16"/>
      <c r="P408" s="43"/>
    </row>
    <row r="409" spans="9:16" x14ac:dyDescent="0.25">
      <c r="I409" s="22"/>
      <c r="J409" s="22"/>
      <c r="K409" s="22"/>
      <c r="L409" s="22"/>
      <c r="M409" s="22"/>
      <c r="N409" s="22"/>
      <c r="O409" s="16"/>
      <c r="P409" s="43"/>
    </row>
    <row r="410" spans="9:16" x14ac:dyDescent="0.25">
      <c r="I410" s="22"/>
      <c r="J410" s="22"/>
      <c r="K410" s="22"/>
      <c r="L410" s="22"/>
      <c r="M410" s="22"/>
      <c r="N410" s="22"/>
      <c r="O410" s="16"/>
      <c r="P410" s="43"/>
    </row>
    <row r="411" spans="9:16" x14ac:dyDescent="0.25">
      <c r="I411" s="22"/>
      <c r="J411" s="22"/>
      <c r="K411" s="22"/>
      <c r="L411" s="22"/>
      <c r="M411" s="22"/>
      <c r="N411" s="22"/>
      <c r="O411" s="16"/>
      <c r="P411" s="43"/>
    </row>
    <row r="412" spans="9:16" x14ac:dyDescent="0.25">
      <c r="I412" s="22"/>
      <c r="J412" s="22"/>
      <c r="K412" s="22"/>
      <c r="L412" s="22"/>
      <c r="M412" s="22"/>
      <c r="N412" s="22"/>
      <c r="O412" s="16"/>
      <c r="P412" s="43"/>
    </row>
    <row r="413" spans="9:16" x14ac:dyDescent="0.25">
      <c r="I413" s="22"/>
      <c r="J413" s="22"/>
      <c r="K413" s="22"/>
      <c r="L413" s="22"/>
      <c r="M413" s="22"/>
      <c r="N413" s="22"/>
      <c r="O413" s="16"/>
      <c r="P413" s="43"/>
    </row>
    <row r="414" spans="9:16" x14ac:dyDescent="0.25">
      <c r="I414" s="22"/>
      <c r="J414" s="22"/>
      <c r="K414" s="22"/>
      <c r="L414" s="22"/>
      <c r="M414" s="22"/>
      <c r="N414" s="22"/>
      <c r="O414" s="16"/>
      <c r="P414" s="43"/>
    </row>
    <row r="415" spans="9:16" x14ac:dyDescent="0.25">
      <c r="I415" s="22"/>
      <c r="J415" s="22"/>
      <c r="K415" s="22"/>
      <c r="L415" s="22"/>
      <c r="M415" s="22"/>
      <c r="N415" s="22"/>
      <c r="O415" s="16"/>
      <c r="P415" s="43"/>
    </row>
    <row r="416" spans="9:16" x14ac:dyDescent="0.25">
      <c r="I416" s="22"/>
      <c r="J416" s="22"/>
      <c r="K416" s="22"/>
      <c r="L416" s="22"/>
      <c r="M416" s="22"/>
      <c r="N416" s="22"/>
      <c r="O416" s="16"/>
      <c r="P416" s="43"/>
    </row>
    <row r="417" spans="9:16" x14ac:dyDescent="0.25">
      <c r="I417" s="22"/>
      <c r="J417" s="22"/>
      <c r="K417" s="22"/>
      <c r="L417" s="22"/>
      <c r="M417" s="22"/>
      <c r="N417" s="22"/>
      <c r="O417" s="16"/>
      <c r="P417" s="43"/>
    </row>
    <row r="418" spans="9:16" x14ac:dyDescent="0.25">
      <c r="I418" s="22"/>
      <c r="J418" s="22"/>
      <c r="K418" s="22"/>
      <c r="L418" s="22"/>
      <c r="M418" s="22"/>
      <c r="N418" s="22"/>
      <c r="O418" s="16"/>
      <c r="P418" s="43"/>
    </row>
    <row r="419" spans="9:16" x14ac:dyDescent="0.25">
      <c r="I419" s="22"/>
      <c r="J419" s="22"/>
      <c r="K419" s="22"/>
      <c r="L419" s="22"/>
      <c r="M419" s="22"/>
      <c r="N419" s="22"/>
      <c r="O419" s="16"/>
      <c r="P419" s="43"/>
    </row>
    <row r="420" spans="9:16" x14ac:dyDescent="0.25">
      <c r="I420" s="22"/>
      <c r="J420" s="22"/>
      <c r="K420" s="22"/>
      <c r="L420" s="22"/>
      <c r="M420" s="22"/>
      <c r="N420" s="22"/>
      <c r="O420" s="16"/>
      <c r="P420" s="43"/>
    </row>
    <row r="421" spans="9:16" x14ac:dyDescent="0.25">
      <c r="I421" s="22"/>
      <c r="J421" s="22"/>
      <c r="K421" s="22"/>
      <c r="L421" s="22"/>
      <c r="M421" s="22"/>
      <c r="N421" s="22"/>
      <c r="O421" s="16"/>
      <c r="P421" s="43"/>
    </row>
    <row r="422" spans="9:16" x14ac:dyDescent="0.25">
      <c r="I422" s="22"/>
      <c r="J422" s="22"/>
      <c r="K422" s="22"/>
      <c r="L422" s="22"/>
      <c r="M422" s="22"/>
      <c r="N422" s="22"/>
      <c r="O422" s="16"/>
      <c r="P422" s="43"/>
    </row>
    <row r="423" spans="9:16" x14ac:dyDescent="0.25">
      <c r="I423" s="22"/>
      <c r="J423" s="22"/>
      <c r="K423" s="22"/>
      <c r="L423" s="22"/>
      <c r="M423" s="22"/>
      <c r="N423" s="22"/>
      <c r="O423" s="16"/>
      <c r="P423" s="43"/>
    </row>
    <row r="424" spans="9:16" x14ac:dyDescent="0.25">
      <c r="I424" s="22"/>
      <c r="J424" s="22"/>
      <c r="K424" s="22"/>
      <c r="L424" s="22"/>
      <c r="M424" s="22"/>
      <c r="N424" s="22"/>
      <c r="O424" s="16"/>
      <c r="P424" s="43"/>
    </row>
    <row r="425" spans="9:16" x14ac:dyDescent="0.25">
      <c r="I425" s="22"/>
      <c r="J425" s="22"/>
      <c r="K425" s="22"/>
      <c r="L425" s="22"/>
      <c r="M425" s="22"/>
      <c r="N425" s="22"/>
      <c r="O425" s="16"/>
      <c r="P425" s="43"/>
    </row>
    <row r="426" spans="9:16" x14ac:dyDescent="0.25">
      <c r="I426" s="22"/>
      <c r="J426" s="22"/>
      <c r="K426" s="22"/>
      <c r="L426" s="22"/>
      <c r="M426" s="22"/>
      <c r="N426" s="22"/>
      <c r="O426" s="16"/>
      <c r="P426" s="43"/>
    </row>
    <row r="427" spans="9:16" x14ac:dyDescent="0.25">
      <c r="I427" s="22"/>
      <c r="J427" s="22"/>
      <c r="K427" s="22"/>
      <c r="L427" s="22"/>
      <c r="M427" s="22"/>
      <c r="N427" s="22"/>
      <c r="O427" s="16"/>
      <c r="P427" s="43"/>
    </row>
    <row r="428" spans="9:16" x14ac:dyDescent="0.25">
      <c r="I428" s="22"/>
      <c r="J428" s="22"/>
      <c r="K428" s="22"/>
      <c r="L428" s="22"/>
      <c r="M428" s="22"/>
      <c r="N428" s="22"/>
      <c r="O428" s="16"/>
      <c r="P428" s="43"/>
    </row>
    <row r="429" spans="9:16" x14ac:dyDescent="0.25">
      <c r="I429" s="22"/>
      <c r="J429" s="22"/>
      <c r="K429" s="22"/>
      <c r="L429" s="22"/>
      <c r="M429" s="22"/>
      <c r="N429" s="22"/>
      <c r="O429" s="16"/>
      <c r="P429" s="43"/>
    </row>
    <row r="430" spans="9:16" x14ac:dyDescent="0.25">
      <c r="I430" s="22"/>
      <c r="J430" s="22"/>
      <c r="K430" s="22"/>
      <c r="L430" s="22"/>
      <c r="M430" s="22"/>
      <c r="N430" s="22"/>
      <c r="O430" s="16"/>
      <c r="P430" s="43"/>
    </row>
    <row r="431" spans="9:16" x14ac:dyDescent="0.25">
      <c r="I431" s="22"/>
      <c r="J431" s="22"/>
      <c r="K431" s="22"/>
      <c r="L431" s="22"/>
      <c r="M431" s="22"/>
      <c r="N431" s="22"/>
      <c r="O431" s="16"/>
      <c r="P431" s="43"/>
    </row>
    <row r="432" spans="9:16" x14ac:dyDescent="0.25">
      <c r="I432" s="22"/>
      <c r="J432" s="22"/>
      <c r="K432" s="22"/>
      <c r="L432" s="22"/>
      <c r="M432" s="22"/>
      <c r="N432" s="22"/>
      <c r="O432" s="16"/>
      <c r="P432" s="43"/>
    </row>
    <row r="433" spans="9:16" x14ac:dyDescent="0.25">
      <c r="I433" s="22"/>
      <c r="J433" s="22"/>
      <c r="K433" s="22"/>
      <c r="L433" s="22"/>
      <c r="M433" s="22"/>
      <c r="N433" s="22"/>
      <c r="O433" s="16"/>
      <c r="P433" s="43"/>
    </row>
    <row r="434" spans="9:16" x14ac:dyDescent="0.25">
      <c r="I434" s="22"/>
      <c r="J434" s="22"/>
      <c r="K434" s="22"/>
      <c r="L434" s="22"/>
      <c r="M434" s="22"/>
      <c r="N434" s="22"/>
      <c r="O434" s="16"/>
      <c r="P434" s="43"/>
    </row>
    <row r="435" spans="9:16" x14ac:dyDescent="0.25">
      <c r="I435" s="22"/>
      <c r="J435" s="22"/>
      <c r="K435" s="22"/>
      <c r="L435" s="22"/>
      <c r="M435" s="22"/>
      <c r="N435" s="22"/>
      <c r="O435" s="16"/>
      <c r="P435" s="43"/>
    </row>
    <row r="436" spans="9:16" x14ac:dyDescent="0.25">
      <c r="I436" s="22"/>
      <c r="J436" s="22"/>
      <c r="K436" s="22"/>
      <c r="L436" s="22"/>
      <c r="M436" s="22"/>
      <c r="N436" s="22"/>
      <c r="O436" s="16"/>
      <c r="P436" s="43"/>
    </row>
    <row r="437" spans="9:16" x14ac:dyDescent="0.25">
      <c r="I437" s="22"/>
      <c r="J437" s="22"/>
      <c r="K437" s="22"/>
      <c r="L437" s="22"/>
      <c r="M437" s="22"/>
      <c r="N437" s="22"/>
      <c r="O437" s="16"/>
      <c r="P437" s="43"/>
    </row>
    <row r="438" spans="9:16" x14ac:dyDescent="0.25">
      <c r="I438" s="22"/>
      <c r="J438" s="22"/>
      <c r="K438" s="22"/>
      <c r="L438" s="22"/>
      <c r="M438" s="22"/>
      <c r="N438" s="22"/>
      <c r="O438" s="16"/>
      <c r="P438" s="43"/>
    </row>
    <row r="439" spans="9:16" x14ac:dyDescent="0.25">
      <c r="I439" s="22"/>
      <c r="J439" s="22"/>
      <c r="K439" s="22"/>
      <c r="L439" s="22"/>
      <c r="M439" s="22"/>
      <c r="N439" s="22"/>
      <c r="O439" s="16"/>
      <c r="P439" s="43"/>
    </row>
    <row r="440" spans="9:16" x14ac:dyDescent="0.25">
      <c r="I440" s="22"/>
      <c r="J440" s="22"/>
      <c r="K440" s="22"/>
      <c r="L440" s="22"/>
      <c r="M440" s="22"/>
      <c r="N440" s="22"/>
      <c r="O440" s="16"/>
      <c r="P440" s="43"/>
    </row>
    <row r="441" spans="9:16" x14ac:dyDescent="0.25">
      <c r="I441" s="22"/>
      <c r="J441" s="22"/>
      <c r="K441" s="22"/>
      <c r="L441" s="22"/>
      <c r="M441" s="22"/>
      <c r="N441" s="22"/>
      <c r="O441" s="16"/>
      <c r="P441" s="43"/>
    </row>
    <row r="442" spans="9:16" x14ac:dyDescent="0.25">
      <c r="I442" s="22"/>
      <c r="J442" s="22"/>
      <c r="K442" s="22"/>
      <c r="L442" s="22"/>
      <c r="M442" s="22"/>
      <c r="N442" s="22"/>
      <c r="O442" s="16"/>
      <c r="P442" s="43"/>
    </row>
    <row r="443" spans="9:16" x14ac:dyDescent="0.25">
      <c r="I443" s="22"/>
      <c r="J443" s="22"/>
      <c r="K443" s="22"/>
      <c r="L443" s="22"/>
      <c r="M443" s="22"/>
      <c r="N443" s="22"/>
      <c r="O443" s="16"/>
      <c r="P443" s="43"/>
    </row>
    <row r="444" spans="9:16" x14ac:dyDescent="0.25">
      <c r="I444" s="22"/>
      <c r="J444" s="22"/>
      <c r="K444" s="22"/>
      <c r="L444" s="22"/>
      <c r="M444" s="22"/>
      <c r="N444" s="22"/>
      <c r="O444" s="16"/>
      <c r="P444" s="43"/>
    </row>
    <row r="445" spans="9:16" x14ac:dyDescent="0.25">
      <c r="I445" s="22"/>
      <c r="J445" s="22"/>
      <c r="K445" s="22"/>
      <c r="L445" s="22"/>
      <c r="M445" s="22"/>
      <c r="N445" s="22"/>
      <c r="O445" s="16"/>
      <c r="P445" s="43"/>
    </row>
    <row r="446" spans="9:16" x14ac:dyDescent="0.25">
      <c r="I446" s="22"/>
      <c r="J446" s="22"/>
      <c r="K446" s="22"/>
      <c r="L446" s="22"/>
      <c r="M446" s="22"/>
      <c r="N446" s="22"/>
      <c r="O446" s="16"/>
      <c r="P446" s="43"/>
    </row>
    <row r="447" spans="9:16" x14ac:dyDescent="0.25">
      <c r="I447" s="22"/>
      <c r="J447" s="22"/>
      <c r="K447" s="22"/>
      <c r="L447" s="22"/>
      <c r="M447" s="22"/>
      <c r="N447" s="22"/>
      <c r="O447" s="16"/>
      <c r="P447" s="43"/>
    </row>
    <row r="448" spans="9:16" x14ac:dyDescent="0.25">
      <c r="I448" s="22"/>
      <c r="J448" s="22"/>
      <c r="K448" s="22"/>
      <c r="L448" s="22"/>
      <c r="M448" s="22"/>
      <c r="N448" s="22"/>
      <c r="O448" s="16"/>
      <c r="P448" s="43"/>
    </row>
    <row r="449" spans="9:16" x14ac:dyDescent="0.25">
      <c r="I449" s="22"/>
      <c r="J449" s="22"/>
      <c r="K449" s="22"/>
      <c r="L449" s="22"/>
      <c r="M449" s="22"/>
      <c r="N449" s="22"/>
      <c r="O449" s="16"/>
      <c r="P449" s="43"/>
    </row>
    <row r="450" spans="9:16" x14ac:dyDescent="0.25">
      <c r="I450" s="22"/>
      <c r="J450" s="22"/>
      <c r="K450" s="22"/>
      <c r="L450" s="22"/>
      <c r="M450" s="22"/>
      <c r="N450" s="22"/>
      <c r="O450" s="16"/>
      <c r="P450" s="43"/>
    </row>
    <row r="451" spans="9:16" x14ac:dyDescent="0.25">
      <c r="I451" s="22"/>
      <c r="J451" s="22"/>
      <c r="K451" s="22"/>
      <c r="L451" s="22"/>
      <c r="M451" s="22"/>
      <c r="N451" s="22"/>
      <c r="O451" s="16"/>
      <c r="P451" s="43"/>
    </row>
    <row r="452" spans="9:16" x14ac:dyDescent="0.25">
      <c r="I452" s="22"/>
      <c r="J452" s="22"/>
      <c r="K452" s="22"/>
      <c r="L452" s="22"/>
      <c r="M452" s="22"/>
      <c r="N452" s="22"/>
      <c r="O452" s="16"/>
      <c r="P452" s="43"/>
    </row>
    <row r="453" spans="9:16" x14ac:dyDescent="0.25">
      <c r="I453" s="22"/>
      <c r="J453" s="22"/>
      <c r="K453" s="22"/>
      <c r="L453" s="22"/>
      <c r="M453" s="22"/>
      <c r="N453" s="22"/>
      <c r="O453" s="16"/>
      <c r="P453" s="43"/>
    </row>
    <row r="454" spans="9:16" x14ac:dyDescent="0.25">
      <c r="I454" s="22"/>
      <c r="J454" s="22"/>
      <c r="K454" s="22"/>
      <c r="L454" s="22"/>
      <c r="M454" s="22"/>
      <c r="N454" s="22"/>
      <c r="O454" s="16"/>
      <c r="P454" s="43"/>
    </row>
    <row r="455" spans="9:16" x14ac:dyDescent="0.25">
      <c r="I455" s="22"/>
      <c r="J455" s="22"/>
      <c r="K455" s="22"/>
      <c r="L455" s="22"/>
      <c r="M455" s="22"/>
      <c r="N455" s="22"/>
      <c r="O455" s="16"/>
      <c r="P455" s="43"/>
    </row>
    <row r="456" spans="9:16" x14ac:dyDescent="0.25">
      <c r="I456" s="22"/>
      <c r="J456" s="22"/>
      <c r="K456" s="22"/>
      <c r="L456" s="22"/>
      <c r="M456" s="22"/>
      <c r="N456" s="22"/>
      <c r="O456" s="16"/>
      <c r="P456" s="43"/>
    </row>
    <row r="457" spans="9:16" x14ac:dyDescent="0.25">
      <c r="I457" s="22"/>
      <c r="J457" s="22"/>
      <c r="K457" s="22"/>
      <c r="L457" s="22"/>
      <c r="M457" s="22"/>
      <c r="N457" s="22"/>
      <c r="O457" s="16"/>
      <c r="P457" s="43"/>
    </row>
    <row r="458" spans="9:16" x14ac:dyDescent="0.25">
      <c r="I458" s="22"/>
      <c r="J458" s="22"/>
      <c r="K458" s="22"/>
      <c r="L458" s="22"/>
      <c r="M458" s="22"/>
      <c r="N458" s="22"/>
      <c r="O458" s="16"/>
      <c r="P458" s="43"/>
    </row>
    <row r="459" spans="9:16" x14ac:dyDescent="0.25">
      <c r="I459" s="22"/>
      <c r="J459" s="22"/>
      <c r="K459" s="22"/>
      <c r="L459" s="22"/>
      <c r="M459" s="22"/>
      <c r="N459" s="22"/>
      <c r="O459" s="16"/>
      <c r="P459" s="43"/>
    </row>
    <row r="460" spans="9:16" x14ac:dyDescent="0.25">
      <c r="I460" s="22"/>
      <c r="J460" s="22"/>
      <c r="K460" s="22"/>
      <c r="L460" s="22"/>
      <c r="M460" s="22"/>
      <c r="N460" s="22"/>
      <c r="O460" s="16"/>
      <c r="P460" s="43"/>
    </row>
    <row r="461" spans="9:16" x14ac:dyDescent="0.25">
      <c r="I461" s="22"/>
      <c r="J461" s="22"/>
      <c r="K461" s="22"/>
      <c r="L461" s="22"/>
      <c r="M461" s="22"/>
      <c r="N461" s="22"/>
      <c r="O461" s="16"/>
      <c r="P461" s="43"/>
    </row>
    <row r="462" spans="9:16" x14ac:dyDescent="0.25">
      <c r="I462" s="22"/>
      <c r="J462" s="22"/>
      <c r="K462" s="22"/>
      <c r="L462" s="22"/>
      <c r="M462" s="22"/>
      <c r="N462" s="22"/>
      <c r="O462" s="16"/>
      <c r="P462" s="43"/>
    </row>
    <row r="463" spans="9:16" x14ac:dyDescent="0.25">
      <c r="I463" s="22"/>
      <c r="J463" s="22"/>
      <c r="K463" s="22"/>
      <c r="L463" s="22"/>
      <c r="M463" s="22"/>
      <c r="N463" s="22"/>
      <c r="O463" s="16"/>
      <c r="P463" s="43"/>
    </row>
    <row r="464" spans="9:16" x14ac:dyDescent="0.25">
      <c r="I464" s="22"/>
      <c r="J464" s="22"/>
      <c r="K464" s="22"/>
      <c r="L464" s="22"/>
      <c r="M464" s="22"/>
      <c r="N464" s="22"/>
      <c r="O464" s="16"/>
      <c r="P464" s="43"/>
    </row>
    <row r="465" spans="9:16" x14ac:dyDescent="0.25">
      <c r="I465" s="22"/>
      <c r="J465" s="22"/>
      <c r="K465" s="22"/>
      <c r="L465" s="22"/>
      <c r="M465" s="22"/>
      <c r="N465" s="22"/>
      <c r="O465" s="16"/>
      <c r="P465" s="43"/>
    </row>
    <row r="466" spans="9:16" x14ac:dyDescent="0.25">
      <c r="I466" s="22"/>
      <c r="J466" s="22"/>
      <c r="K466" s="22"/>
      <c r="L466" s="22"/>
      <c r="M466" s="22"/>
      <c r="N466" s="22"/>
      <c r="O466" s="16"/>
      <c r="P466" s="43"/>
    </row>
    <row r="467" spans="9:16" x14ac:dyDescent="0.25">
      <c r="I467" s="22"/>
      <c r="J467" s="22"/>
      <c r="K467" s="22"/>
      <c r="L467" s="22"/>
      <c r="M467" s="22"/>
      <c r="N467" s="22"/>
      <c r="O467" s="16"/>
      <c r="P467" s="43"/>
    </row>
    <row r="468" spans="9:16" x14ac:dyDescent="0.25">
      <c r="I468" s="22"/>
      <c r="J468" s="22"/>
      <c r="K468" s="22"/>
      <c r="L468" s="22"/>
      <c r="M468" s="22"/>
      <c r="N468" s="22"/>
      <c r="O468" s="16"/>
      <c r="P468" s="43"/>
    </row>
    <row r="469" spans="9:16" x14ac:dyDescent="0.25">
      <c r="I469" s="22"/>
      <c r="J469" s="22"/>
      <c r="K469" s="22"/>
      <c r="L469" s="22"/>
      <c r="M469" s="22"/>
      <c r="N469" s="22"/>
      <c r="O469" s="16"/>
      <c r="P469" s="43"/>
    </row>
    <row r="470" spans="9:16" x14ac:dyDescent="0.25">
      <c r="I470" s="22"/>
      <c r="J470" s="22"/>
      <c r="K470" s="22"/>
      <c r="L470" s="22"/>
      <c r="M470" s="22"/>
      <c r="N470" s="22"/>
      <c r="O470" s="16"/>
      <c r="P470" s="43"/>
    </row>
    <row r="471" spans="9:16" x14ac:dyDescent="0.25">
      <c r="I471" s="22"/>
      <c r="J471" s="22"/>
      <c r="K471" s="22"/>
      <c r="L471" s="22"/>
      <c r="M471" s="22"/>
      <c r="N471" s="22"/>
      <c r="O471" s="16"/>
      <c r="P471" s="43"/>
    </row>
    <row r="472" spans="9:16" x14ac:dyDescent="0.25">
      <c r="I472" s="22"/>
      <c r="J472" s="22"/>
      <c r="K472" s="22"/>
      <c r="L472" s="22"/>
      <c r="M472" s="22"/>
      <c r="N472" s="22"/>
      <c r="O472" s="16"/>
      <c r="P472" s="43"/>
    </row>
    <row r="473" spans="9:16" x14ac:dyDescent="0.25">
      <c r="I473" s="22"/>
      <c r="J473" s="22"/>
      <c r="K473" s="22"/>
      <c r="L473" s="22"/>
      <c r="M473" s="22"/>
      <c r="N473" s="22"/>
      <c r="O473" s="16"/>
      <c r="P473" s="43"/>
    </row>
    <row r="474" spans="9:16" x14ac:dyDescent="0.25">
      <c r="I474" s="22"/>
      <c r="J474" s="22"/>
      <c r="K474" s="22"/>
      <c r="L474" s="22"/>
      <c r="M474" s="22"/>
      <c r="N474" s="22"/>
      <c r="O474" s="16"/>
      <c r="P474" s="43"/>
    </row>
    <row r="475" spans="9:16" x14ac:dyDescent="0.25">
      <c r="I475" s="22"/>
      <c r="J475" s="22"/>
      <c r="K475" s="22"/>
      <c r="L475" s="22"/>
      <c r="M475" s="22"/>
      <c r="N475" s="22"/>
      <c r="O475" s="16"/>
      <c r="P475" s="43"/>
    </row>
    <row r="476" spans="9:16" x14ac:dyDescent="0.25">
      <c r="I476" s="22"/>
      <c r="J476" s="22"/>
      <c r="K476" s="22"/>
      <c r="L476" s="22"/>
      <c r="M476" s="22"/>
      <c r="N476" s="22"/>
      <c r="O476" s="16"/>
      <c r="P476" s="43"/>
    </row>
    <row r="477" spans="9:16" x14ac:dyDescent="0.25">
      <c r="I477" s="22"/>
      <c r="J477" s="22"/>
      <c r="K477" s="22"/>
      <c r="L477" s="22"/>
      <c r="M477" s="22"/>
      <c r="N477" s="22"/>
      <c r="O477" s="16"/>
      <c r="P477" s="43"/>
    </row>
    <row r="478" spans="9:16" x14ac:dyDescent="0.25">
      <c r="I478" s="22"/>
      <c r="J478" s="22"/>
      <c r="K478" s="22"/>
      <c r="L478" s="22"/>
      <c r="M478" s="22"/>
      <c r="N478" s="22"/>
      <c r="O478" s="16"/>
      <c r="P478" s="43"/>
    </row>
    <row r="479" spans="9:16" x14ac:dyDescent="0.25">
      <c r="I479" s="22"/>
      <c r="J479" s="22"/>
      <c r="K479" s="22"/>
      <c r="L479" s="22"/>
      <c r="M479" s="22"/>
      <c r="N479" s="22"/>
      <c r="O479" s="16"/>
      <c r="P479" s="43"/>
    </row>
    <row r="480" spans="9:16" x14ac:dyDescent="0.25">
      <c r="I480" s="22"/>
      <c r="J480" s="22"/>
      <c r="K480" s="22"/>
      <c r="L480" s="22"/>
      <c r="M480" s="22"/>
      <c r="N480" s="22"/>
      <c r="O480" s="16"/>
      <c r="P480" s="43"/>
    </row>
    <row r="481" spans="9:16" x14ac:dyDescent="0.25">
      <c r="I481" s="22"/>
      <c r="J481" s="22"/>
      <c r="K481" s="22"/>
      <c r="L481" s="22"/>
      <c r="M481" s="22"/>
      <c r="N481" s="22"/>
      <c r="O481" s="16"/>
      <c r="P481" s="43"/>
    </row>
    <row r="482" spans="9:16" x14ac:dyDescent="0.25">
      <c r="I482" s="22"/>
      <c r="J482" s="22"/>
      <c r="K482" s="22"/>
      <c r="L482" s="22"/>
      <c r="M482" s="22"/>
      <c r="N482" s="22"/>
      <c r="O482" s="16"/>
      <c r="P482" s="43"/>
    </row>
    <row r="483" spans="9:16" x14ac:dyDescent="0.25">
      <c r="I483" s="22"/>
      <c r="J483" s="22"/>
      <c r="K483" s="22"/>
      <c r="L483" s="22"/>
      <c r="M483" s="22"/>
      <c r="N483" s="22"/>
      <c r="O483" s="16"/>
      <c r="P483" s="43"/>
    </row>
    <row r="484" spans="9:16" x14ac:dyDescent="0.25">
      <c r="I484" s="22"/>
      <c r="J484" s="22"/>
      <c r="K484" s="22"/>
      <c r="L484" s="22"/>
      <c r="M484" s="22"/>
      <c r="N484" s="22"/>
      <c r="O484" s="16"/>
      <c r="P484" s="43"/>
    </row>
    <row r="485" spans="9:16" x14ac:dyDescent="0.25">
      <c r="I485" s="22"/>
      <c r="J485" s="22"/>
      <c r="K485" s="22"/>
      <c r="L485" s="22"/>
      <c r="M485" s="22"/>
      <c r="N485" s="22"/>
      <c r="O485" s="16"/>
      <c r="P485" s="43"/>
    </row>
    <row r="486" spans="9:16" x14ac:dyDescent="0.25">
      <c r="I486" s="22"/>
      <c r="J486" s="22"/>
      <c r="K486" s="22"/>
      <c r="L486" s="22"/>
      <c r="M486" s="22"/>
      <c r="N486" s="22"/>
      <c r="O486" s="16"/>
      <c r="P486" s="43"/>
    </row>
    <row r="487" spans="9:16" x14ac:dyDescent="0.25">
      <c r="I487" s="22"/>
      <c r="J487" s="22"/>
      <c r="K487" s="22"/>
      <c r="L487" s="22"/>
      <c r="M487" s="22"/>
      <c r="N487" s="22"/>
      <c r="O487" s="16"/>
      <c r="P487" s="43"/>
    </row>
    <row r="488" spans="9:16" x14ac:dyDescent="0.25">
      <c r="I488" s="22"/>
      <c r="J488" s="22"/>
      <c r="K488" s="22"/>
      <c r="L488" s="22"/>
      <c r="M488" s="22"/>
      <c r="N488" s="22"/>
      <c r="O488" s="16"/>
      <c r="P488" s="43"/>
    </row>
    <row r="489" spans="9:16" x14ac:dyDescent="0.25">
      <c r="I489" s="22"/>
      <c r="J489" s="22"/>
      <c r="K489" s="22"/>
      <c r="L489" s="22"/>
      <c r="M489" s="22"/>
      <c r="N489" s="22"/>
      <c r="O489" s="16"/>
      <c r="P489" s="43"/>
    </row>
    <row r="490" spans="9:16" x14ac:dyDescent="0.25">
      <c r="I490" s="22"/>
      <c r="J490" s="22"/>
      <c r="K490" s="22"/>
      <c r="L490" s="22"/>
      <c r="M490" s="22"/>
      <c r="N490" s="22"/>
      <c r="O490" s="16"/>
      <c r="P490" s="43"/>
    </row>
    <row r="491" spans="9:16" x14ac:dyDescent="0.25">
      <c r="I491" s="22"/>
      <c r="J491" s="22"/>
      <c r="K491" s="22"/>
      <c r="L491" s="22"/>
      <c r="M491" s="22"/>
      <c r="N491" s="22"/>
      <c r="O491" s="16"/>
      <c r="P491" s="43"/>
    </row>
    <row r="492" spans="9:16" x14ac:dyDescent="0.25">
      <c r="I492" s="22"/>
      <c r="J492" s="22"/>
      <c r="K492" s="22"/>
      <c r="L492" s="22"/>
      <c r="M492" s="22"/>
      <c r="N492" s="22"/>
      <c r="O492" s="16"/>
      <c r="P492" s="43"/>
    </row>
    <row r="493" spans="9:16" x14ac:dyDescent="0.25">
      <c r="I493" s="22"/>
      <c r="J493" s="22"/>
      <c r="K493" s="22"/>
      <c r="L493" s="22"/>
      <c r="M493" s="22"/>
      <c r="N493" s="22"/>
      <c r="O493" s="16"/>
      <c r="P493" s="43"/>
    </row>
    <row r="494" spans="9:16" x14ac:dyDescent="0.25">
      <c r="I494" s="22"/>
      <c r="J494" s="22"/>
      <c r="K494" s="22"/>
      <c r="L494" s="22"/>
      <c r="M494" s="22"/>
      <c r="N494" s="22"/>
      <c r="O494" s="16"/>
      <c r="P494" s="43"/>
    </row>
    <row r="495" spans="9:16" x14ac:dyDescent="0.25">
      <c r="I495" s="22"/>
      <c r="J495" s="22"/>
      <c r="K495" s="22"/>
      <c r="L495" s="22"/>
      <c r="M495" s="22"/>
      <c r="N495" s="22"/>
      <c r="O495" s="16"/>
      <c r="P495" s="43"/>
    </row>
    <row r="496" spans="9:16" x14ac:dyDescent="0.25">
      <c r="I496" s="22"/>
      <c r="J496" s="22"/>
      <c r="K496" s="22"/>
      <c r="L496" s="22"/>
      <c r="M496" s="22"/>
      <c r="N496" s="22"/>
      <c r="O496" s="16"/>
      <c r="P496" s="43"/>
    </row>
    <row r="497" spans="9:16" x14ac:dyDescent="0.25">
      <c r="I497" s="22"/>
      <c r="J497" s="22"/>
      <c r="K497" s="22"/>
      <c r="L497" s="22"/>
      <c r="M497" s="22"/>
      <c r="N497" s="22"/>
      <c r="O497" s="16"/>
      <c r="P497" s="43"/>
    </row>
    <row r="498" spans="9:16" x14ac:dyDescent="0.25">
      <c r="I498" s="22"/>
      <c r="J498" s="22"/>
      <c r="K498" s="22"/>
      <c r="L498" s="22"/>
      <c r="M498" s="22"/>
      <c r="N498" s="22"/>
      <c r="O498" s="16"/>
      <c r="P498" s="43"/>
    </row>
    <row r="499" spans="9:16" x14ac:dyDescent="0.25">
      <c r="I499" s="22"/>
      <c r="J499" s="22"/>
      <c r="K499" s="22"/>
      <c r="L499" s="22"/>
      <c r="M499" s="22"/>
      <c r="N499" s="22"/>
      <c r="O499" s="16"/>
      <c r="P499" s="43"/>
    </row>
    <row r="500" spans="9:16" x14ac:dyDescent="0.25">
      <c r="I500" s="22"/>
      <c r="J500" s="22"/>
      <c r="K500" s="22"/>
      <c r="L500" s="22"/>
      <c r="M500" s="22"/>
      <c r="N500" s="22"/>
      <c r="O500" s="16"/>
      <c r="P500" s="43"/>
    </row>
    <row r="501" spans="9:16" x14ac:dyDescent="0.25">
      <c r="I501" s="22"/>
      <c r="J501" s="22"/>
      <c r="K501" s="22"/>
      <c r="L501" s="22"/>
      <c r="M501" s="22"/>
      <c r="N501" s="22"/>
      <c r="O501" s="16"/>
      <c r="P501" s="43"/>
    </row>
    <row r="502" spans="9:16" x14ac:dyDescent="0.25">
      <c r="I502" s="22"/>
      <c r="J502" s="22"/>
      <c r="K502" s="22"/>
      <c r="L502" s="22"/>
      <c r="M502" s="22"/>
      <c r="N502" s="22"/>
      <c r="O502" s="16"/>
      <c r="P502" s="43"/>
    </row>
    <row r="503" spans="9:16" x14ac:dyDescent="0.25">
      <c r="I503" s="22"/>
      <c r="J503" s="22"/>
      <c r="K503" s="22"/>
      <c r="L503" s="22"/>
      <c r="M503" s="22"/>
      <c r="N503" s="22"/>
      <c r="O503" s="16"/>
      <c r="P503" s="43"/>
    </row>
    <row r="504" spans="9:16" x14ac:dyDescent="0.25">
      <c r="I504" s="22"/>
      <c r="J504" s="22"/>
      <c r="K504" s="22"/>
      <c r="L504" s="22"/>
      <c r="M504" s="22"/>
      <c r="N504" s="22"/>
      <c r="O504" s="16"/>
      <c r="P504" s="43"/>
    </row>
    <row r="505" spans="9:16" x14ac:dyDescent="0.25">
      <c r="I505" s="22"/>
      <c r="J505" s="22"/>
      <c r="K505" s="22"/>
      <c r="L505" s="22"/>
      <c r="M505" s="22"/>
      <c r="N505" s="22"/>
      <c r="O505" s="16"/>
      <c r="P505" s="43"/>
    </row>
    <row r="506" spans="9:16" x14ac:dyDescent="0.25">
      <c r="I506" s="22"/>
      <c r="J506" s="22"/>
      <c r="K506" s="22"/>
      <c r="L506" s="22"/>
      <c r="M506" s="22"/>
      <c r="N506" s="22"/>
      <c r="O506" s="16"/>
      <c r="P506" s="43"/>
    </row>
    <row r="507" spans="9:16" x14ac:dyDescent="0.25">
      <c r="I507" s="22"/>
      <c r="J507" s="22"/>
      <c r="K507" s="22"/>
      <c r="L507" s="22"/>
      <c r="M507" s="22"/>
      <c r="N507" s="22"/>
      <c r="O507" s="16"/>
      <c r="P507" s="43"/>
    </row>
    <row r="508" spans="9:16" x14ac:dyDescent="0.25">
      <c r="I508" s="22"/>
      <c r="J508" s="22"/>
      <c r="K508" s="22"/>
      <c r="L508" s="22"/>
      <c r="M508" s="22"/>
      <c r="N508" s="22"/>
      <c r="O508" s="16"/>
      <c r="P508" s="43"/>
    </row>
    <row r="509" spans="9:16" x14ac:dyDescent="0.25">
      <c r="I509" s="22"/>
      <c r="J509" s="22"/>
      <c r="K509" s="22"/>
      <c r="L509" s="22"/>
      <c r="M509" s="22"/>
      <c r="N509" s="22"/>
      <c r="O509" s="16"/>
      <c r="P509" s="43"/>
    </row>
    <row r="510" spans="9:16" x14ac:dyDescent="0.25">
      <c r="I510" s="22"/>
      <c r="J510" s="22"/>
      <c r="K510" s="22"/>
      <c r="L510" s="22"/>
      <c r="M510" s="22"/>
      <c r="N510" s="22"/>
      <c r="O510" s="16"/>
      <c r="P510" s="43"/>
    </row>
    <row r="511" spans="9:16" x14ac:dyDescent="0.25">
      <c r="I511" s="22"/>
      <c r="J511" s="22"/>
      <c r="K511" s="22"/>
      <c r="L511" s="22"/>
      <c r="M511" s="22"/>
      <c r="N511" s="22"/>
      <c r="O511" s="16"/>
      <c r="P511" s="43"/>
    </row>
    <row r="512" spans="9:16" x14ac:dyDescent="0.25">
      <c r="I512" s="22"/>
      <c r="J512" s="22"/>
      <c r="K512" s="22"/>
      <c r="L512" s="22"/>
      <c r="M512" s="22"/>
      <c r="N512" s="22"/>
      <c r="O512" s="16"/>
      <c r="P512" s="43"/>
    </row>
    <row r="513" spans="9:16" x14ac:dyDescent="0.25">
      <c r="I513" s="22"/>
      <c r="J513" s="22"/>
      <c r="K513" s="22"/>
      <c r="L513" s="22"/>
      <c r="M513" s="22"/>
      <c r="N513" s="22"/>
      <c r="O513" s="16"/>
      <c r="P513" s="43"/>
    </row>
    <row r="514" spans="9:16" x14ac:dyDescent="0.25">
      <c r="I514" s="22"/>
      <c r="J514" s="22"/>
      <c r="K514" s="22"/>
      <c r="L514" s="22"/>
      <c r="M514" s="22"/>
      <c r="N514" s="22"/>
      <c r="O514" s="16"/>
      <c r="P514" s="43"/>
    </row>
    <row r="515" spans="9:16" x14ac:dyDescent="0.25">
      <c r="I515" s="22"/>
      <c r="J515" s="22"/>
      <c r="K515" s="22"/>
      <c r="L515" s="22"/>
      <c r="M515" s="22"/>
      <c r="N515" s="22"/>
      <c r="O515" s="16"/>
      <c r="P515" s="43"/>
    </row>
    <row r="516" spans="9:16" x14ac:dyDescent="0.25">
      <c r="I516" s="22"/>
      <c r="J516" s="22"/>
      <c r="K516" s="22"/>
      <c r="L516" s="22"/>
      <c r="M516" s="22"/>
      <c r="N516" s="22"/>
      <c r="O516" s="16"/>
      <c r="P516" s="43"/>
    </row>
    <row r="517" spans="9:16" x14ac:dyDescent="0.25">
      <c r="I517" s="22"/>
      <c r="J517" s="22"/>
      <c r="K517" s="22"/>
      <c r="L517" s="22"/>
      <c r="M517" s="22"/>
      <c r="N517" s="22"/>
      <c r="O517" s="16"/>
      <c r="P517" s="43"/>
    </row>
    <row r="518" spans="9:16" x14ac:dyDescent="0.25">
      <c r="I518" s="22"/>
      <c r="J518" s="22"/>
      <c r="K518" s="22"/>
      <c r="L518" s="22"/>
      <c r="M518" s="22"/>
      <c r="N518" s="22"/>
      <c r="O518" s="16"/>
      <c r="P518" s="43"/>
    </row>
    <row r="519" spans="9:16" x14ac:dyDescent="0.25">
      <c r="I519" s="22"/>
      <c r="J519" s="22"/>
      <c r="K519" s="22"/>
      <c r="L519" s="22"/>
      <c r="M519" s="22"/>
      <c r="N519" s="22"/>
      <c r="O519" s="16"/>
      <c r="P519" s="43"/>
    </row>
    <row r="520" spans="9:16" x14ac:dyDescent="0.25">
      <c r="I520" s="22"/>
      <c r="J520" s="22"/>
      <c r="K520" s="22"/>
      <c r="L520" s="22"/>
      <c r="M520" s="22"/>
      <c r="N520" s="22"/>
      <c r="O520" s="16"/>
      <c r="P520" s="43"/>
    </row>
    <row r="521" spans="9:16" x14ac:dyDescent="0.25">
      <c r="I521" s="22"/>
      <c r="J521" s="22"/>
      <c r="K521" s="22"/>
      <c r="L521" s="22"/>
      <c r="M521" s="22"/>
      <c r="N521" s="22"/>
      <c r="O521" s="16"/>
      <c r="P521" s="43"/>
    </row>
    <row r="522" spans="9:16" x14ac:dyDescent="0.25">
      <c r="I522" s="22"/>
      <c r="J522" s="22"/>
      <c r="K522" s="22"/>
      <c r="L522" s="22"/>
      <c r="M522" s="22"/>
      <c r="N522" s="22"/>
      <c r="O522" s="16"/>
      <c r="P522" s="43"/>
    </row>
    <row r="523" spans="9:16" x14ac:dyDescent="0.25">
      <c r="I523" s="22"/>
      <c r="J523" s="22"/>
      <c r="K523" s="22"/>
      <c r="L523" s="22"/>
      <c r="M523" s="22"/>
      <c r="N523" s="22"/>
      <c r="O523" s="16"/>
      <c r="P523" s="43"/>
    </row>
    <row r="524" spans="9:16" x14ac:dyDescent="0.25">
      <c r="I524" s="22"/>
      <c r="J524" s="22"/>
      <c r="K524" s="22"/>
      <c r="L524" s="22"/>
      <c r="M524" s="22"/>
      <c r="N524" s="22"/>
      <c r="O524" s="16"/>
      <c r="P524" s="43"/>
    </row>
    <row r="525" spans="9:16" x14ac:dyDescent="0.25">
      <c r="I525" s="22"/>
      <c r="J525" s="22"/>
      <c r="K525" s="22"/>
      <c r="L525" s="22"/>
      <c r="M525" s="22"/>
      <c r="N525" s="22"/>
      <c r="O525" s="16"/>
      <c r="P525" s="43"/>
    </row>
    <row r="526" spans="9:16" x14ac:dyDescent="0.25">
      <c r="I526" s="22"/>
      <c r="J526" s="22"/>
      <c r="K526" s="22"/>
      <c r="L526" s="22"/>
      <c r="M526" s="22"/>
      <c r="N526" s="22"/>
      <c r="O526" s="16"/>
      <c r="P526" s="43"/>
    </row>
    <row r="527" spans="9:16" x14ac:dyDescent="0.25">
      <c r="I527" s="22"/>
      <c r="J527" s="22"/>
      <c r="K527" s="22"/>
      <c r="L527" s="22"/>
      <c r="M527" s="22"/>
      <c r="N527" s="22"/>
      <c r="O527" s="16"/>
      <c r="P527" s="43"/>
    </row>
    <row r="528" spans="9:16" x14ac:dyDescent="0.25">
      <c r="I528" s="22"/>
      <c r="J528" s="22"/>
      <c r="K528" s="22"/>
      <c r="L528" s="22"/>
      <c r="M528" s="22"/>
      <c r="N528" s="22"/>
      <c r="O528" s="16"/>
      <c r="P528" s="43"/>
    </row>
    <row r="529" spans="9:16" x14ac:dyDescent="0.25">
      <c r="I529" s="22"/>
      <c r="J529" s="22"/>
      <c r="K529" s="22"/>
      <c r="L529" s="22"/>
      <c r="M529" s="22"/>
      <c r="N529" s="22"/>
      <c r="O529" s="16"/>
      <c r="P529" s="43"/>
    </row>
    <row r="530" spans="9:16" x14ac:dyDescent="0.25">
      <c r="I530" s="22"/>
      <c r="J530" s="22"/>
      <c r="K530" s="22"/>
      <c r="L530" s="22"/>
      <c r="M530" s="22"/>
      <c r="N530" s="22"/>
      <c r="O530" s="16"/>
      <c r="P530" s="43"/>
    </row>
    <row r="531" spans="9:16" x14ac:dyDescent="0.25">
      <c r="I531" s="22"/>
      <c r="J531" s="22"/>
      <c r="K531" s="22"/>
      <c r="L531" s="22"/>
      <c r="M531" s="22"/>
      <c r="N531" s="22"/>
      <c r="O531" s="16"/>
      <c r="P531" s="43"/>
    </row>
    <row r="532" spans="9:16" x14ac:dyDescent="0.25">
      <c r="I532" s="22"/>
      <c r="J532" s="22"/>
      <c r="K532" s="22"/>
      <c r="L532" s="22"/>
      <c r="M532" s="22"/>
      <c r="N532" s="22"/>
      <c r="O532" s="16"/>
      <c r="P532" s="43"/>
    </row>
    <row r="533" spans="9:16" x14ac:dyDescent="0.25">
      <c r="I533" s="22"/>
      <c r="J533" s="22"/>
      <c r="K533" s="22"/>
      <c r="L533" s="22"/>
      <c r="M533" s="22"/>
      <c r="N533" s="22"/>
      <c r="O533" s="16"/>
      <c r="P533" s="43"/>
    </row>
    <row r="534" spans="9:16" x14ac:dyDescent="0.25">
      <c r="I534" s="22"/>
      <c r="J534" s="22"/>
      <c r="K534" s="22"/>
      <c r="L534" s="22"/>
      <c r="M534" s="22"/>
      <c r="N534" s="22"/>
      <c r="O534" s="16"/>
      <c r="P534" s="43"/>
    </row>
    <row r="535" spans="9:16" x14ac:dyDescent="0.25">
      <c r="I535" s="22"/>
      <c r="J535" s="22"/>
      <c r="K535" s="22"/>
      <c r="L535" s="22"/>
      <c r="M535" s="22"/>
      <c r="N535" s="22"/>
      <c r="O535" s="16"/>
      <c r="P535" s="43"/>
    </row>
    <row r="536" spans="9:16" x14ac:dyDescent="0.25">
      <c r="I536" s="22"/>
      <c r="J536" s="22"/>
      <c r="K536" s="22"/>
      <c r="L536" s="22"/>
      <c r="M536" s="22"/>
      <c r="N536" s="22"/>
      <c r="O536" s="16"/>
      <c r="P536" s="43"/>
    </row>
    <row r="537" spans="9:16" x14ac:dyDescent="0.25">
      <c r="I537" s="22"/>
      <c r="J537" s="22"/>
      <c r="K537" s="22"/>
      <c r="L537" s="22"/>
      <c r="M537" s="22"/>
      <c r="N537" s="22"/>
      <c r="O537" s="16"/>
      <c r="P537" s="43"/>
    </row>
    <row r="538" spans="9:16" x14ac:dyDescent="0.25">
      <c r="I538" s="22"/>
      <c r="J538" s="22"/>
      <c r="K538" s="22"/>
      <c r="L538" s="22"/>
      <c r="M538" s="22"/>
      <c r="N538" s="22"/>
      <c r="O538" s="16"/>
      <c r="P538" s="43"/>
    </row>
    <row r="539" spans="9:16" x14ac:dyDescent="0.25">
      <c r="I539" s="22"/>
      <c r="J539" s="22"/>
      <c r="K539" s="22"/>
      <c r="L539" s="22"/>
      <c r="M539" s="22"/>
      <c r="N539" s="22"/>
      <c r="O539" s="16"/>
      <c r="P539" s="43"/>
    </row>
    <row r="540" spans="9:16" x14ac:dyDescent="0.25">
      <c r="I540" s="22"/>
      <c r="J540" s="22"/>
      <c r="K540" s="22"/>
      <c r="L540" s="22"/>
      <c r="M540" s="22"/>
      <c r="N540" s="22"/>
      <c r="O540" s="16"/>
      <c r="P540" s="43"/>
    </row>
    <row r="541" spans="9:16" x14ac:dyDescent="0.25">
      <c r="I541" s="22"/>
      <c r="J541" s="22"/>
      <c r="K541" s="22"/>
      <c r="L541" s="22"/>
      <c r="M541" s="22"/>
      <c r="N541" s="22"/>
      <c r="O541" s="16"/>
      <c r="P541" s="43"/>
    </row>
    <row r="542" spans="9:16" x14ac:dyDescent="0.25">
      <c r="I542" s="22"/>
      <c r="J542" s="22"/>
      <c r="K542" s="22"/>
      <c r="L542" s="22"/>
      <c r="M542" s="22"/>
      <c r="N542" s="22"/>
      <c r="O542" s="16"/>
      <c r="P542" s="43"/>
    </row>
    <row r="543" spans="9:16" x14ac:dyDescent="0.25">
      <c r="I543" s="22"/>
      <c r="J543" s="22"/>
      <c r="K543" s="22"/>
      <c r="L543" s="22"/>
      <c r="M543" s="22"/>
      <c r="N543" s="22"/>
      <c r="O543" s="16"/>
      <c r="P543" s="43"/>
    </row>
    <row r="544" spans="9:16" x14ac:dyDescent="0.25">
      <c r="I544" s="22"/>
      <c r="J544" s="22"/>
      <c r="K544" s="22"/>
      <c r="L544" s="22"/>
      <c r="M544" s="22"/>
      <c r="N544" s="22"/>
      <c r="O544" s="16"/>
      <c r="P544" s="43"/>
    </row>
    <row r="545" spans="9:16" x14ac:dyDescent="0.25">
      <c r="I545" s="22"/>
      <c r="J545" s="22"/>
      <c r="K545" s="22"/>
      <c r="L545" s="22"/>
      <c r="M545" s="22"/>
      <c r="N545" s="22"/>
      <c r="O545" s="16"/>
      <c r="P545" s="43"/>
    </row>
    <row r="546" spans="9:16" x14ac:dyDescent="0.25">
      <c r="I546" s="22"/>
      <c r="J546" s="22"/>
      <c r="K546" s="22"/>
      <c r="L546" s="22"/>
      <c r="M546" s="22"/>
      <c r="N546" s="22"/>
      <c r="O546" s="16"/>
      <c r="P546" s="43"/>
    </row>
    <row r="547" spans="9:16" x14ac:dyDescent="0.25">
      <c r="I547" s="22"/>
      <c r="J547" s="22"/>
      <c r="K547" s="22"/>
      <c r="L547" s="22"/>
      <c r="M547" s="22"/>
      <c r="N547" s="22"/>
      <c r="O547" s="16"/>
      <c r="P547" s="43"/>
    </row>
    <row r="548" spans="9:16" x14ac:dyDescent="0.25">
      <c r="I548" s="22"/>
      <c r="J548" s="22"/>
      <c r="K548" s="22"/>
      <c r="L548" s="22"/>
      <c r="M548" s="22"/>
      <c r="N548" s="22"/>
      <c r="O548" s="16"/>
      <c r="P548" s="43"/>
    </row>
    <row r="549" spans="9:16" x14ac:dyDescent="0.25">
      <c r="I549" s="22"/>
      <c r="J549" s="22"/>
      <c r="K549" s="22"/>
      <c r="L549" s="22"/>
      <c r="M549" s="22"/>
      <c r="N549" s="22"/>
      <c r="O549" s="16"/>
      <c r="P549" s="43"/>
    </row>
    <row r="550" spans="9:16" x14ac:dyDescent="0.25">
      <c r="I550" s="22"/>
      <c r="J550" s="22"/>
      <c r="K550" s="22"/>
      <c r="L550" s="22"/>
      <c r="M550" s="22"/>
      <c r="N550" s="22"/>
      <c r="O550" s="16"/>
      <c r="P550" s="43"/>
    </row>
    <row r="551" spans="9:16" x14ac:dyDescent="0.25">
      <c r="I551" s="22"/>
      <c r="J551" s="22"/>
      <c r="K551" s="22"/>
      <c r="L551" s="22"/>
      <c r="M551" s="22"/>
      <c r="N551" s="22"/>
      <c r="O551" s="16"/>
      <c r="P551" s="43"/>
    </row>
    <row r="552" spans="9:16" x14ac:dyDescent="0.25">
      <c r="I552" s="22"/>
      <c r="J552" s="22"/>
      <c r="K552" s="22"/>
      <c r="L552" s="22"/>
      <c r="M552" s="22"/>
      <c r="N552" s="22"/>
      <c r="O552" s="16"/>
      <c r="P552" s="43"/>
    </row>
    <row r="553" spans="9:16" x14ac:dyDescent="0.25">
      <c r="I553" s="22"/>
      <c r="J553" s="22"/>
      <c r="K553" s="22"/>
      <c r="L553" s="22"/>
      <c r="M553" s="22"/>
      <c r="N553" s="22"/>
      <c r="O553" s="16"/>
      <c r="P553" s="43"/>
    </row>
    <row r="554" spans="9:16" x14ac:dyDescent="0.25">
      <c r="I554" s="22"/>
      <c r="J554" s="22"/>
      <c r="K554" s="22"/>
      <c r="L554" s="22"/>
      <c r="M554" s="22"/>
      <c r="N554" s="22"/>
      <c r="O554" s="16"/>
      <c r="P554" s="43"/>
    </row>
    <row r="555" spans="9:16" x14ac:dyDescent="0.25">
      <c r="I555" s="22"/>
      <c r="J555" s="22"/>
      <c r="K555" s="22"/>
      <c r="L555" s="22"/>
      <c r="M555" s="22"/>
      <c r="N555" s="22"/>
      <c r="O555" s="16"/>
      <c r="P555" s="43"/>
    </row>
    <row r="556" spans="9:16" x14ac:dyDescent="0.25">
      <c r="I556" s="22"/>
      <c r="J556" s="22"/>
      <c r="K556" s="22"/>
      <c r="L556" s="22"/>
      <c r="M556" s="22"/>
      <c r="N556" s="22"/>
      <c r="O556" s="16"/>
      <c r="P556" s="43"/>
    </row>
    <row r="557" spans="9:16" x14ac:dyDescent="0.25">
      <c r="I557" s="22"/>
      <c r="J557" s="22"/>
      <c r="K557" s="22"/>
      <c r="L557" s="22"/>
      <c r="M557" s="22"/>
      <c r="N557" s="22"/>
      <c r="O557" s="16"/>
      <c r="P557" s="43"/>
    </row>
    <row r="558" spans="9:16" x14ac:dyDescent="0.25">
      <c r="I558" s="22"/>
      <c r="J558" s="22"/>
      <c r="K558" s="22"/>
      <c r="L558" s="22"/>
      <c r="M558" s="22"/>
      <c r="N558" s="22"/>
      <c r="O558" s="16"/>
      <c r="P558" s="43"/>
    </row>
    <row r="559" spans="9:16" x14ac:dyDescent="0.25">
      <c r="I559" s="22"/>
      <c r="J559" s="22"/>
      <c r="K559" s="22"/>
      <c r="L559" s="22"/>
      <c r="M559" s="22"/>
      <c r="N559" s="22"/>
      <c r="O559" s="16"/>
      <c r="P559" s="43"/>
    </row>
    <row r="560" spans="9:16" x14ac:dyDescent="0.25">
      <c r="I560" s="22"/>
      <c r="J560" s="22"/>
      <c r="K560" s="22"/>
      <c r="L560" s="22"/>
      <c r="M560" s="22"/>
      <c r="N560" s="22"/>
      <c r="O560" s="16"/>
      <c r="P560" s="43"/>
    </row>
    <row r="561" spans="9:16" x14ac:dyDescent="0.25">
      <c r="I561" s="22"/>
      <c r="J561" s="22"/>
      <c r="K561" s="22"/>
      <c r="L561" s="22"/>
      <c r="M561" s="22"/>
      <c r="N561" s="22"/>
      <c r="O561" s="16"/>
      <c r="P561" s="43"/>
    </row>
    <row r="562" spans="9:16" x14ac:dyDescent="0.25">
      <c r="I562" s="22"/>
      <c r="J562" s="22"/>
      <c r="K562" s="22"/>
      <c r="L562" s="22"/>
      <c r="M562" s="22"/>
      <c r="N562" s="22"/>
      <c r="O562" s="16"/>
      <c r="P562" s="43"/>
    </row>
    <row r="563" spans="9:16" x14ac:dyDescent="0.25">
      <c r="I563" s="22"/>
      <c r="J563" s="22"/>
      <c r="K563" s="22"/>
      <c r="L563" s="22"/>
      <c r="M563" s="22"/>
      <c r="N563" s="22"/>
      <c r="O563" s="16"/>
      <c r="P563" s="43"/>
    </row>
    <row r="564" spans="9:16" x14ac:dyDescent="0.25">
      <c r="I564" s="22"/>
      <c r="J564" s="22"/>
      <c r="K564" s="22"/>
      <c r="L564" s="22"/>
      <c r="M564" s="22"/>
      <c r="N564" s="22"/>
      <c r="O564" s="16"/>
      <c r="P564" s="43"/>
    </row>
    <row r="565" spans="9:16" x14ac:dyDescent="0.25">
      <c r="I565" s="22"/>
      <c r="J565" s="22"/>
      <c r="K565" s="22"/>
      <c r="L565" s="22"/>
      <c r="M565" s="22"/>
      <c r="N565" s="22"/>
      <c r="O565" s="16"/>
      <c r="P565" s="43"/>
    </row>
    <row r="566" spans="9:16" x14ac:dyDescent="0.25">
      <c r="I566" s="22"/>
      <c r="J566" s="22"/>
      <c r="K566" s="22"/>
      <c r="L566" s="22"/>
      <c r="M566" s="22"/>
      <c r="N566" s="22"/>
      <c r="O566" s="16"/>
      <c r="P566" s="43"/>
    </row>
    <row r="567" spans="9:16" x14ac:dyDescent="0.25">
      <c r="I567" s="22"/>
      <c r="J567" s="22"/>
      <c r="K567" s="22"/>
      <c r="L567" s="22"/>
      <c r="M567" s="22"/>
      <c r="N567" s="22"/>
      <c r="O567" s="16"/>
      <c r="P567" s="43"/>
    </row>
    <row r="568" spans="9:16" x14ac:dyDescent="0.25">
      <c r="I568" s="22"/>
      <c r="J568" s="22"/>
      <c r="K568" s="22"/>
      <c r="L568" s="22"/>
      <c r="M568" s="22"/>
      <c r="N568" s="22"/>
      <c r="O568" s="16"/>
      <c r="P568" s="43"/>
    </row>
    <row r="569" spans="9:16" x14ac:dyDescent="0.25">
      <c r="I569" s="22"/>
      <c r="J569" s="22"/>
      <c r="K569" s="22"/>
      <c r="L569" s="22"/>
      <c r="M569" s="22"/>
      <c r="N569" s="22"/>
      <c r="O569" s="16"/>
      <c r="P569" s="43"/>
    </row>
    <row r="570" spans="9:16" x14ac:dyDescent="0.25">
      <c r="I570" s="22"/>
      <c r="J570" s="22"/>
      <c r="K570" s="22"/>
      <c r="L570" s="22"/>
      <c r="M570" s="22"/>
      <c r="N570" s="22"/>
      <c r="O570" s="16"/>
      <c r="P570" s="43"/>
    </row>
    <row r="571" spans="9:16" x14ac:dyDescent="0.25">
      <c r="I571" s="22"/>
      <c r="J571" s="22"/>
      <c r="K571" s="22"/>
      <c r="L571" s="22"/>
      <c r="M571" s="22"/>
      <c r="N571" s="22"/>
      <c r="O571" s="16"/>
      <c r="P571" s="43"/>
    </row>
    <row r="572" spans="9:16" x14ac:dyDescent="0.25">
      <c r="I572" s="22"/>
      <c r="J572" s="22"/>
      <c r="K572" s="22"/>
      <c r="L572" s="22"/>
      <c r="M572" s="22"/>
      <c r="N572" s="22"/>
      <c r="O572" s="16"/>
      <c r="P572" s="43"/>
    </row>
    <row r="573" spans="9:16" x14ac:dyDescent="0.25">
      <c r="I573" s="22"/>
      <c r="J573" s="22"/>
      <c r="K573" s="22"/>
      <c r="L573" s="22"/>
      <c r="M573" s="22"/>
      <c r="N573" s="22"/>
      <c r="O573" s="16"/>
      <c r="P573" s="43"/>
    </row>
    <row r="574" spans="9:16" x14ac:dyDescent="0.25">
      <c r="I574" s="22"/>
      <c r="J574" s="22"/>
      <c r="K574" s="22"/>
      <c r="L574" s="22"/>
      <c r="M574" s="22"/>
      <c r="N574" s="22"/>
      <c r="O574" s="16"/>
      <c r="P574" s="43"/>
    </row>
    <row r="575" spans="9:16" x14ac:dyDescent="0.25">
      <c r="I575" s="22"/>
      <c r="J575" s="22"/>
      <c r="K575" s="22"/>
      <c r="L575" s="22"/>
      <c r="M575" s="22"/>
      <c r="N575" s="22"/>
      <c r="O575" s="16"/>
      <c r="P575" s="43"/>
    </row>
    <row r="576" spans="9:16" x14ac:dyDescent="0.25">
      <c r="I576" s="22"/>
      <c r="J576" s="22"/>
      <c r="K576" s="22"/>
      <c r="L576" s="22"/>
      <c r="M576" s="22"/>
      <c r="N576" s="22"/>
      <c r="O576" s="16"/>
      <c r="P576" s="43"/>
    </row>
    <row r="577" spans="9:16" x14ac:dyDescent="0.25">
      <c r="I577" s="22"/>
      <c r="J577" s="22"/>
      <c r="K577" s="22"/>
      <c r="L577" s="22"/>
      <c r="M577" s="22"/>
      <c r="N577" s="22"/>
      <c r="O577" s="16"/>
      <c r="P577" s="43"/>
    </row>
    <row r="578" spans="9:16" x14ac:dyDescent="0.25">
      <c r="I578" s="22"/>
      <c r="J578" s="22"/>
      <c r="K578" s="22"/>
      <c r="L578" s="22"/>
      <c r="M578" s="22"/>
      <c r="N578" s="22"/>
      <c r="O578" s="16"/>
      <c r="P578" s="43"/>
    </row>
    <row r="579" spans="9:16" x14ac:dyDescent="0.25">
      <c r="I579" s="22"/>
      <c r="J579" s="22"/>
      <c r="K579" s="22"/>
      <c r="L579" s="22"/>
      <c r="M579" s="22"/>
      <c r="N579" s="22"/>
      <c r="O579" s="16"/>
      <c r="P579" s="43"/>
    </row>
    <row r="580" spans="9:16" x14ac:dyDescent="0.25">
      <c r="I580" s="22"/>
      <c r="J580" s="22"/>
      <c r="K580" s="22"/>
      <c r="L580" s="22"/>
      <c r="M580" s="22"/>
      <c r="N580" s="22"/>
      <c r="O580" s="16"/>
      <c r="P580" s="43"/>
    </row>
    <row r="581" spans="9:16" x14ac:dyDescent="0.25">
      <c r="I581" s="22"/>
      <c r="J581" s="22"/>
      <c r="K581" s="22"/>
      <c r="L581" s="22"/>
      <c r="M581" s="22"/>
      <c r="N581" s="22"/>
      <c r="O581" s="16"/>
      <c r="P581" s="43"/>
    </row>
    <row r="582" spans="9:16" x14ac:dyDescent="0.25">
      <c r="I582" s="22"/>
      <c r="J582" s="22"/>
      <c r="K582" s="22"/>
      <c r="L582" s="22"/>
      <c r="M582" s="22"/>
      <c r="N582" s="22"/>
      <c r="O582" s="16"/>
      <c r="P582" s="43"/>
    </row>
    <row r="583" spans="9:16" x14ac:dyDescent="0.25">
      <c r="I583" s="22"/>
      <c r="J583" s="22"/>
      <c r="K583" s="22"/>
      <c r="L583" s="22"/>
      <c r="M583" s="22"/>
      <c r="N583" s="22"/>
      <c r="O583" s="16"/>
      <c r="P583" s="43"/>
    </row>
    <row r="584" spans="9:16" x14ac:dyDescent="0.25">
      <c r="I584" s="22"/>
      <c r="J584" s="22"/>
      <c r="K584" s="22"/>
      <c r="L584" s="22"/>
      <c r="M584" s="22"/>
      <c r="N584" s="22"/>
      <c r="O584" s="16"/>
      <c r="P584" s="43"/>
    </row>
    <row r="585" spans="9:16" x14ac:dyDescent="0.25">
      <c r="I585" s="22"/>
      <c r="J585" s="22"/>
      <c r="K585" s="22"/>
      <c r="L585" s="22"/>
      <c r="M585" s="22"/>
      <c r="N585" s="22"/>
      <c r="O585" s="16"/>
      <c r="P585" s="43"/>
    </row>
    <row r="586" spans="9:16" x14ac:dyDescent="0.25">
      <c r="I586" s="22"/>
      <c r="J586" s="22"/>
      <c r="K586" s="22"/>
      <c r="L586" s="22"/>
      <c r="M586" s="22"/>
      <c r="N586" s="22"/>
      <c r="O586" s="16"/>
      <c r="P586" s="43"/>
    </row>
    <row r="587" spans="9:16" x14ac:dyDescent="0.25">
      <c r="I587" s="22"/>
      <c r="J587" s="22"/>
      <c r="K587" s="22"/>
      <c r="L587" s="22"/>
      <c r="M587" s="22"/>
      <c r="N587" s="22"/>
      <c r="O587" s="16"/>
      <c r="P587" s="43"/>
    </row>
    <row r="588" spans="9:16" x14ac:dyDescent="0.25">
      <c r="I588" s="22"/>
      <c r="J588" s="22"/>
      <c r="K588" s="22"/>
      <c r="L588" s="22"/>
      <c r="M588" s="22"/>
      <c r="N588" s="22"/>
      <c r="O588" s="16"/>
      <c r="P588" s="43"/>
    </row>
    <row r="589" spans="9:16" x14ac:dyDescent="0.25">
      <c r="I589" s="22"/>
      <c r="J589" s="22"/>
      <c r="K589" s="22"/>
      <c r="L589" s="22"/>
      <c r="M589" s="22"/>
      <c r="N589" s="22"/>
      <c r="O589" s="16"/>
      <c r="P589" s="43"/>
    </row>
    <row r="590" spans="9:16" x14ac:dyDescent="0.25">
      <c r="I590" s="22"/>
      <c r="J590" s="22"/>
      <c r="K590" s="22"/>
      <c r="L590" s="22"/>
      <c r="M590" s="22"/>
      <c r="N590" s="22"/>
      <c r="O590" s="16"/>
      <c r="P590" s="43"/>
    </row>
    <row r="591" spans="9:16" x14ac:dyDescent="0.25">
      <c r="I591" s="22"/>
      <c r="J591" s="22"/>
      <c r="K591" s="22"/>
      <c r="L591" s="22"/>
      <c r="M591" s="22"/>
      <c r="N591" s="22"/>
      <c r="O591" s="16"/>
      <c r="P591" s="43"/>
    </row>
    <row r="592" spans="9:16" x14ac:dyDescent="0.25">
      <c r="I592" s="22"/>
      <c r="J592" s="22"/>
      <c r="K592" s="22"/>
      <c r="L592" s="22"/>
      <c r="M592" s="22"/>
      <c r="N592" s="22"/>
      <c r="O592" s="16"/>
      <c r="P592" s="43"/>
    </row>
    <row r="593" spans="9:16" x14ac:dyDescent="0.25">
      <c r="I593" s="22"/>
      <c r="J593" s="22"/>
      <c r="K593" s="22"/>
      <c r="L593" s="22"/>
      <c r="M593" s="22"/>
      <c r="N593" s="22"/>
      <c r="O593" s="16"/>
      <c r="P593" s="43"/>
    </row>
    <row r="594" spans="9:16" x14ac:dyDescent="0.25">
      <c r="I594" s="22"/>
      <c r="J594" s="22"/>
      <c r="K594" s="22"/>
      <c r="L594" s="22"/>
      <c r="M594" s="22"/>
      <c r="N594" s="22"/>
      <c r="O594" s="16"/>
      <c r="P594" s="43"/>
    </row>
    <row r="595" spans="9:16" x14ac:dyDescent="0.25">
      <c r="I595" s="22"/>
      <c r="J595" s="22"/>
      <c r="K595" s="22"/>
      <c r="L595" s="22"/>
      <c r="M595" s="22"/>
      <c r="N595" s="22"/>
      <c r="O595" s="16"/>
      <c r="P595" s="43"/>
    </row>
    <row r="596" spans="9:16" x14ac:dyDescent="0.25">
      <c r="I596" s="22"/>
      <c r="J596" s="22"/>
      <c r="K596" s="22"/>
      <c r="L596" s="22"/>
      <c r="M596" s="22"/>
      <c r="N596" s="22"/>
      <c r="O596" s="16"/>
      <c r="P596" s="43"/>
    </row>
    <row r="597" spans="9:16" x14ac:dyDescent="0.25">
      <c r="I597" s="22"/>
      <c r="J597" s="22"/>
      <c r="K597" s="22"/>
      <c r="L597" s="22"/>
      <c r="M597" s="22"/>
      <c r="N597" s="22"/>
      <c r="O597" s="16"/>
      <c r="P597" s="43"/>
    </row>
    <row r="598" spans="9:16" x14ac:dyDescent="0.25">
      <c r="I598" s="22"/>
      <c r="J598" s="22"/>
      <c r="K598" s="22"/>
      <c r="L598" s="22"/>
      <c r="M598" s="22"/>
      <c r="N598" s="22"/>
      <c r="O598" s="16"/>
      <c r="P598" s="43"/>
    </row>
    <row r="599" spans="9:16" x14ac:dyDescent="0.25">
      <c r="I599" s="22"/>
      <c r="J599" s="22"/>
      <c r="K599" s="22"/>
      <c r="L599" s="22"/>
      <c r="M599" s="22"/>
      <c r="N599" s="22"/>
      <c r="O599" s="16"/>
      <c r="P599" s="43"/>
    </row>
    <row r="600" spans="9:16" x14ac:dyDescent="0.25">
      <c r="I600" s="22"/>
      <c r="J600" s="22"/>
      <c r="K600" s="22"/>
      <c r="L600" s="22"/>
      <c r="M600" s="22"/>
      <c r="N600" s="22"/>
      <c r="O600" s="16"/>
      <c r="P600" s="43"/>
    </row>
    <row r="601" spans="9:16" x14ac:dyDescent="0.25">
      <c r="I601" s="22"/>
      <c r="J601" s="22"/>
      <c r="K601" s="22"/>
      <c r="L601" s="22"/>
      <c r="M601" s="22"/>
      <c r="N601" s="22"/>
      <c r="O601" s="16"/>
      <c r="P601" s="43"/>
    </row>
    <row r="602" spans="9:16" x14ac:dyDescent="0.25">
      <c r="I602" s="22"/>
      <c r="J602" s="22"/>
      <c r="K602" s="22"/>
      <c r="L602" s="22"/>
      <c r="M602" s="22"/>
      <c r="N602" s="22"/>
      <c r="O602" s="16"/>
      <c r="P602" s="43"/>
    </row>
    <row r="603" spans="9:16" x14ac:dyDescent="0.25">
      <c r="I603" s="22"/>
      <c r="J603" s="22"/>
      <c r="K603" s="22"/>
      <c r="L603" s="22"/>
      <c r="M603" s="22"/>
      <c r="N603" s="22"/>
      <c r="O603" s="16"/>
      <c r="P603" s="43"/>
    </row>
    <row r="604" spans="9:16" x14ac:dyDescent="0.25">
      <c r="I604" s="22"/>
      <c r="J604" s="22"/>
      <c r="K604" s="22"/>
      <c r="L604" s="22"/>
      <c r="M604" s="22"/>
      <c r="N604" s="22"/>
      <c r="O604" s="16"/>
      <c r="P604" s="43"/>
    </row>
    <row r="605" spans="9:16" x14ac:dyDescent="0.25">
      <c r="I605" s="22"/>
      <c r="J605" s="22"/>
      <c r="K605" s="22"/>
      <c r="L605" s="22"/>
      <c r="M605" s="22"/>
      <c r="N605" s="22"/>
      <c r="O605" s="16"/>
      <c r="P605" s="43"/>
    </row>
    <row r="606" spans="9:16" x14ac:dyDescent="0.25">
      <c r="I606" s="22"/>
      <c r="J606" s="22"/>
      <c r="K606" s="22"/>
      <c r="L606" s="22"/>
      <c r="M606" s="22"/>
      <c r="N606" s="22"/>
      <c r="O606" s="16"/>
      <c r="P606" s="43"/>
    </row>
    <row r="607" spans="9:16" x14ac:dyDescent="0.25">
      <c r="I607" s="22"/>
      <c r="J607" s="22"/>
      <c r="K607" s="22"/>
      <c r="L607" s="22"/>
      <c r="M607" s="22"/>
      <c r="N607" s="22"/>
      <c r="O607" s="16"/>
      <c r="P607" s="43"/>
    </row>
    <row r="608" spans="9:16" x14ac:dyDescent="0.25">
      <c r="I608" s="22"/>
      <c r="J608" s="22"/>
      <c r="K608" s="22"/>
      <c r="L608" s="22"/>
      <c r="M608" s="22"/>
      <c r="N608" s="22"/>
      <c r="O608" s="16"/>
      <c r="P608" s="43"/>
    </row>
    <row r="609" spans="9:16" x14ac:dyDescent="0.25">
      <c r="I609" s="22"/>
      <c r="J609" s="22"/>
      <c r="K609" s="22"/>
      <c r="L609" s="22"/>
      <c r="M609" s="22"/>
      <c r="N609" s="22"/>
      <c r="O609" s="16"/>
      <c r="P609" s="43"/>
    </row>
    <row r="610" spans="9:16" x14ac:dyDescent="0.25">
      <c r="I610" s="22"/>
      <c r="J610" s="22"/>
      <c r="K610" s="22"/>
      <c r="L610" s="22"/>
      <c r="M610" s="22"/>
      <c r="N610" s="22"/>
      <c r="O610" s="16"/>
      <c r="P610" s="43"/>
    </row>
    <row r="611" spans="9:16" x14ac:dyDescent="0.25">
      <c r="I611" s="22"/>
      <c r="J611" s="22"/>
      <c r="K611" s="22"/>
      <c r="L611" s="22"/>
      <c r="M611" s="22"/>
      <c r="N611" s="22"/>
      <c r="O611" s="16"/>
      <c r="P611" s="43"/>
    </row>
    <row r="612" spans="9:16" x14ac:dyDescent="0.25">
      <c r="I612" s="22"/>
      <c r="J612" s="22"/>
      <c r="K612" s="22"/>
      <c r="L612" s="22"/>
      <c r="M612" s="22"/>
      <c r="N612" s="22"/>
      <c r="O612" s="16"/>
      <c r="P612" s="43"/>
    </row>
    <row r="613" spans="9:16" x14ac:dyDescent="0.25">
      <c r="I613" s="22"/>
      <c r="J613" s="22"/>
      <c r="K613" s="22"/>
      <c r="L613" s="22"/>
      <c r="M613" s="22"/>
      <c r="N613" s="22"/>
      <c r="O613" s="16"/>
      <c r="P613" s="43"/>
    </row>
    <row r="614" spans="9:16" x14ac:dyDescent="0.25">
      <c r="I614" s="22"/>
      <c r="J614" s="22"/>
      <c r="K614" s="22"/>
      <c r="L614" s="22"/>
      <c r="M614" s="22"/>
      <c r="N614" s="22"/>
      <c r="O614" s="16"/>
      <c r="P614" s="43"/>
    </row>
    <row r="615" spans="9:16" x14ac:dyDescent="0.25">
      <c r="I615" s="22"/>
      <c r="J615" s="22"/>
      <c r="K615" s="22"/>
      <c r="L615" s="22"/>
      <c r="M615" s="22"/>
      <c r="N615" s="22"/>
      <c r="O615" s="16"/>
      <c r="P615" s="43"/>
    </row>
    <row r="616" spans="9:16" x14ac:dyDescent="0.25">
      <c r="I616" s="22"/>
      <c r="J616" s="22"/>
      <c r="K616" s="22"/>
      <c r="L616" s="22"/>
      <c r="M616" s="22"/>
      <c r="N616" s="22"/>
      <c r="O616" s="16"/>
      <c r="P616" s="43"/>
    </row>
    <row r="617" spans="9:16" x14ac:dyDescent="0.25">
      <c r="I617" s="22"/>
      <c r="J617" s="22"/>
      <c r="K617" s="22"/>
      <c r="L617" s="22"/>
      <c r="M617" s="22"/>
      <c r="N617" s="22"/>
      <c r="O617" s="16"/>
      <c r="P617" s="43"/>
    </row>
    <row r="618" spans="9:16" x14ac:dyDescent="0.25">
      <c r="I618" s="22"/>
      <c r="J618" s="22"/>
      <c r="K618" s="22"/>
      <c r="L618" s="22"/>
      <c r="M618" s="22"/>
      <c r="N618" s="22"/>
      <c r="O618" s="16"/>
      <c r="P618" s="43"/>
    </row>
    <row r="619" spans="9:16" x14ac:dyDescent="0.25">
      <c r="I619" s="22"/>
      <c r="J619" s="22"/>
      <c r="K619" s="22"/>
      <c r="L619" s="22"/>
      <c r="M619" s="22"/>
      <c r="N619" s="22"/>
      <c r="O619" s="16"/>
      <c r="P619" s="43"/>
    </row>
    <row r="620" spans="9:16" x14ac:dyDescent="0.25">
      <c r="I620" s="22"/>
      <c r="J620" s="22"/>
      <c r="K620" s="22"/>
      <c r="L620" s="22"/>
      <c r="M620" s="22"/>
      <c r="N620" s="22"/>
      <c r="O620" s="16"/>
      <c r="P620" s="43"/>
    </row>
    <row r="621" spans="9:16" x14ac:dyDescent="0.25">
      <c r="I621" s="22"/>
      <c r="J621" s="22"/>
      <c r="K621" s="22"/>
      <c r="L621" s="22"/>
      <c r="M621" s="22"/>
      <c r="N621" s="22"/>
      <c r="O621" s="16"/>
      <c r="P621" s="43"/>
    </row>
    <row r="622" spans="9:16" x14ac:dyDescent="0.25">
      <c r="I622" s="22"/>
      <c r="J622" s="22"/>
      <c r="K622" s="22"/>
      <c r="L622" s="22"/>
      <c r="M622" s="22"/>
      <c r="N622" s="22"/>
      <c r="O622" s="16"/>
      <c r="P622" s="43"/>
    </row>
    <row r="623" spans="9:16" x14ac:dyDescent="0.25">
      <c r="I623" s="22"/>
      <c r="J623" s="22"/>
      <c r="K623" s="22"/>
      <c r="L623" s="22"/>
      <c r="M623" s="22"/>
      <c r="N623" s="22"/>
      <c r="O623" s="16"/>
      <c r="P623" s="43"/>
    </row>
    <row r="624" spans="9:16" x14ac:dyDescent="0.25">
      <c r="I624" s="22"/>
      <c r="J624" s="22"/>
      <c r="K624" s="22"/>
      <c r="L624" s="22"/>
      <c r="M624" s="22"/>
      <c r="N624" s="22"/>
      <c r="O624" s="16"/>
      <c r="P624" s="43"/>
    </row>
    <row r="625" spans="9:16" x14ac:dyDescent="0.25">
      <c r="I625" s="22"/>
      <c r="J625" s="22"/>
      <c r="K625" s="22"/>
      <c r="L625" s="22"/>
      <c r="M625" s="22"/>
      <c r="N625" s="22"/>
      <c r="O625" s="16"/>
      <c r="P625" s="43"/>
    </row>
    <row r="626" spans="9:16" x14ac:dyDescent="0.25">
      <c r="I626" s="22"/>
      <c r="J626" s="22"/>
      <c r="K626" s="22"/>
      <c r="L626" s="22"/>
      <c r="M626" s="22"/>
      <c r="N626" s="22"/>
      <c r="O626" s="16"/>
      <c r="P626" s="43"/>
    </row>
    <row r="627" spans="9:16" x14ac:dyDescent="0.25">
      <c r="I627" s="22"/>
      <c r="J627" s="22"/>
      <c r="K627" s="22"/>
      <c r="L627" s="22"/>
      <c r="M627" s="22"/>
      <c r="N627" s="22"/>
      <c r="O627" s="16"/>
      <c r="P627" s="43"/>
    </row>
    <row r="628" spans="9:16" x14ac:dyDescent="0.25">
      <c r="I628" s="22"/>
      <c r="J628" s="22"/>
      <c r="K628" s="22"/>
      <c r="L628" s="22"/>
      <c r="M628" s="22"/>
      <c r="N628" s="22"/>
      <c r="O628" s="16"/>
      <c r="P628" s="43"/>
    </row>
    <row r="629" spans="9:16" x14ac:dyDescent="0.25">
      <c r="I629" s="22"/>
      <c r="J629" s="22"/>
      <c r="K629" s="22"/>
      <c r="L629" s="22"/>
      <c r="M629" s="22"/>
      <c r="N629" s="22"/>
      <c r="O629" s="16"/>
      <c r="P629" s="43"/>
    </row>
    <row r="630" spans="9:16" x14ac:dyDescent="0.25">
      <c r="I630" s="22"/>
      <c r="J630" s="22"/>
      <c r="K630" s="22"/>
      <c r="L630" s="22"/>
      <c r="M630" s="22"/>
      <c r="N630" s="22"/>
      <c r="O630" s="16"/>
      <c r="P630" s="43"/>
    </row>
    <row r="631" spans="9:16" x14ac:dyDescent="0.25">
      <c r="I631" s="22"/>
      <c r="J631" s="22"/>
      <c r="K631" s="22"/>
      <c r="L631" s="22"/>
      <c r="M631" s="22"/>
      <c r="N631" s="22"/>
      <c r="O631" s="16"/>
      <c r="P631" s="43"/>
    </row>
    <row r="632" spans="9:16" x14ac:dyDescent="0.25">
      <c r="I632" s="22"/>
      <c r="J632" s="22"/>
      <c r="K632" s="22"/>
      <c r="L632" s="22"/>
      <c r="M632" s="22"/>
      <c r="N632" s="22"/>
      <c r="O632" s="16"/>
      <c r="P632" s="43"/>
    </row>
    <row r="633" spans="9:16" x14ac:dyDescent="0.25">
      <c r="I633" s="22"/>
      <c r="J633" s="22"/>
      <c r="K633" s="22"/>
      <c r="L633" s="22"/>
      <c r="M633" s="22"/>
      <c r="N633" s="22"/>
      <c r="O633" s="16"/>
      <c r="P633" s="43"/>
    </row>
    <row r="634" spans="9:16" x14ac:dyDescent="0.25">
      <c r="I634" s="22"/>
      <c r="J634" s="22"/>
      <c r="K634" s="22"/>
      <c r="L634" s="22"/>
      <c r="M634" s="22"/>
      <c r="N634" s="22"/>
      <c r="O634" s="16"/>
      <c r="P634" s="43"/>
    </row>
    <row r="635" spans="9:16" x14ac:dyDescent="0.25">
      <c r="I635" s="22"/>
      <c r="J635" s="22"/>
      <c r="K635" s="22"/>
      <c r="L635" s="22"/>
      <c r="M635" s="22"/>
      <c r="N635" s="22"/>
      <c r="O635" s="16"/>
      <c r="P635" s="43"/>
    </row>
    <row r="636" spans="9:16" x14ac:dyDescent="0.25">
      <c r="I636" s="22"/>
      <c r="J636" s="22"/>
      <c r="K636" s="22"/>
      <c r="L636" s="22"/>
      <c r="M636" s="22"/>
      <c r="N636" s="22"/>
      <c r="O636" s="16"/>
      <c r="P636" s="43"/>
    </row>
    <row r="637" spans="9:16" x14ac:dyDescent="0.25">
      <c r="I637" s="22"/>
      <c r="J637" s="22"/>
      <c r="K637" s="22"/>
      <c r="L637" s="22"/>
      <c r="M637" s="22"/>
      <c r="N637" s="22"/>
      <c r="O637" s="16"/>
      <c r="P637" s="43"/>
    </row>
    <row r="638" spans="9:16" x14ac:dyDescent="0.25">
      <c r="I638" s="22"/>
      <c r="J638" s="22"/>
      <c r="K638" s="22"/>
      <c r="L638" s="22"/>
      <c r="M638" s="22"/>
      <c r="N638" s="22"/>
      <c r="O638" s="16"/>
      <c r="P638" s="43"/>
    </row>
    <row r="639" spans="9:16" x14ac:dyDescent="0.25">
      <c r="I639" s="22"/>
      <c r="J639" s="22"/>
      <c r="K639" s="22"/>
      <c r="L639" s="22"/>
      <c r="M639" s="22"/>
      <c r="N639" s="22"/>
      <c r="O639" s="16"/>
      <c r="P639" s="43"/>
    </row>
    <row r="640" spans="9:16" x14ac:dyDescent="0.25">
      <c r="I640" s="22"/>
      <c r="J640" s="22"/>
      <c r="K640" s="22"/>
      <c r="L640" s="22"/>
      <c r="M640" s="22"/>
      <c r="N640" s="22"/>
      <c r="O640" s="16"/>
      <c r="P640" s="43"/>
    </row>
    <row r="641" spans="9:16" x14ac:dyDescent="0.25">
      <c r="I641" s="22"/>
      <c r="J641" s="22"/>
      <c r="K641" s="22"/>
      <c r="L641" s="22"/>
      <c r="M641" s="22"/>
      <c r="N641" s="22"/>
      <c r="O641" s="16"/>
      <c r="P641" s="43"/>
    </row>
    <row r="642" spans="9:16" x14ac:dyDescent="0.25">
      <c r="I642" s="22"/>
      <c r="J642" s="22"/>
      <c r="K642" s="22"/>
      <c r="L642" s="22"/>
      <c r="M642" s="22"/>
      <c r="N642" s="22"/>
      <c r="O642" s="16"/>
      <c r="P642" s="43"/>
    </row>
    <row r="643" spans="9:16" x14ac:dyDescent="0.25">
      <c r="I643" s="22"/>
      <c r="J643" s="22"/>
      <c r="K643" s="22"/>
      <c r="L643" s="22"/>
      <c r="M643" s="22"/>
      <c r="N643" s="22"/>
      <c r="O643" s="16"/>
      <c r="P643" s="43"/>
    </row>
    <row r="644" spans="9:16" x14ac:dyDescent="0.25">
      <c r="I644" s="22"/>
      <c r="J644" s="22"/>
      <c r="K644" s="22"/>
      <c r="L644" s="22"/>
      <c r="M644" s="22"/>
      <c r="N644" s="22"/>
      <c r="O644" s="16"/>
      <c r="P644" s="43"/>
    </row>
    <row r="645" spans="9:16" x14ac:dyDescent="0.25">
      <c r="I645" s="22"/>
      <c r="J645" s="22"/>
      <c r="K645" s="22"/>
      <c r="L645" s="22"/>
      <c r="M645" s="22"/>
      <c r="N645" s="22"/>
      <c r="O645" s="16"/>
      <c r="P645" s="43"/>
    </row>
    <row r="646" spans="9:16" x14ac:dyDescent="0.25">
      <c r="I646" s="22"/>
      <c r="J646" s="22"/>
      <c r="K646" s="22"/>
      <c r="L646" s="22"/>
      <c r="M646" s="22"/>
      <c r="N646" s="22"/>
      <c r="O646" s="16"/>
      <c r="P646" s="43"/>
    </row>
    <row r="647" spans="9:16" x14ac:dyDescent="0.25">
      <c r="I647" s="22"/>
      <c r="J647" s="22"/>
      <c r="K647" s="22"/>
      <c r="L647" s="22"/>
      <c r="M647" s="22"/>
      <c r="N647" s="22"/>
      <c r="O647" s="16"/>
      <c r="P647" s="43"/>
    </row>
    <row r="648" spans="9:16" x14ac:dyDescent="0.25">
      <c r="I648" s="22"/>
      <c r="J648" s="22"/>
      <c r="K648" s="22"/>
      <c r="L648" s="22"/>
      <c r="M648" s="22"/>
      <c r="N648" s="22"/>
      <c r="O648" s="16"/>
      <c r="P648" s="43"/>
    </row>
    <row r="649" spans="9:16" x14ac:dyDescent="0.25">
      <c r="I649" s="22"/>
      <c r="J649" s="22"/>
      <c r="K649" s="22"/>
      <c r="L649" s="22"/>
      <c r="M649" s="22"/>
      <c r="N649" s="22"/>
      <c r="O649" s="16"/>
      <c r="P649" s="43"/>
    </row>
    <row r="650" spans="9:16" x14ac:dyDescent="0.25">
      <c r="I650" s="22"/>
      <c r="J650" s="22"/>
      <c r="K650" s="22"/>
      <c r="L650" s="22"/>
      <c r="M650" s="22"/>
      <c r="N650" s="22"/>
      <c r="O650" s="16"/>
      <c r="P650" s="43"/>
    </row>
    <row r="651" spans="9:16" x14ac:dyDescent="0.25">
      <c r="I651" s="22"/>
      <c r="J651" s="22"/>
      <c r="K651" s="22"/>
      <c r="L651" s="22"/>
      <c r="M651" s="22"/>
      <c r="N651" s="22"/>
      <c r="O651" s="16"/>
      <c r="P651" s="43"/>
    </row>
    <row r="652" spans="9:16" x14ac:dyDescent="0.25">
      <c r="I652" s="22"/>
      <c r="J652" s="22"/>
      <c r="K652" s="22"/>
      <c r="L652" s="22"/>
      <c r="M652" s="22"/>
      <c r="N652" s="22"/>
      <c r="O652" s="16"/>
      <c r="P652" s="43"/>
    </row>
    <row r="653" spans="9:16" x14ac:dyDescent="0.25">
      <c r="I653" s="22"/>
      <c r="J653" s="22"/>
      <c r="K653" s="22"/>
      <c r="L653" s="22"/>
      <c r="M653" s="22"/>
      <c r="N653" s="22"/>
      <c r="O653" s="16"/>
      <c r="P653" s="43"/>
    </row>
    <row r="654" spans="9:16" x14ac:dyDescent="0.25">
      <c r="I654" s="22"/>
      <c r="J654" s="22"/>
      <c r="K654" s="22"/>
      <c r="L654" s="22"/>
      <c r="M654" s="22"/>
      <c r="N654" s="22"/>
      <c r="O654" s="16"/>
      <c r="P654" s="43"/>
    </row>
    <row r="655" spans="9:16" x14ac:dyDescent="0.25">
      <c r="I655" s="22"/>
      <c r="J655" s="22"/>
      <c r="K655" s="22"/>
      <c r="L655" s="22"/>
      <c r="M655" s="22"/>
      <c r="N655" s="22"/>
      <c r="O655" s="16"/>
      <c r="P655" s="43"/>
    </row>
    <row r="656" spans="9:16" x14ac:dyDescent="0.25">
      <c r="I656" s="22"/>
      <c r="J656" s="22"/>
      <c r="K656" s="22"/>
      <c r="L656" s="22"/>
      <c r="M656" s="22"/>
      <c r="N656" s="22"/>
      <c r="O656" s="16"/>
      <c r="P656" s="43"/>
    </row>
    <row r="657" spans="9:16" x14ac:dyDescent="0.25">
      <c r="I657" s="22"/>
      <c r="J657" s="22"/>
      <c r="K657" s="22"/>
      <c r="L657" s="22"/>
      <c r="M657" s="22"/>
      <c r="N657" s="22"/>
      <c r="O657" s="16"/>
      <c r="P657" s="43"/>
    </row>
    <row r="658" spans="9:16" x14ac:dyDescent="0.25">
      <c r="I658" s="22"/>
      <c r="J658" s="22"/>
      <c r="K658" s="22"/>
      <c r="L658" s="22"/>
      <c r="M658" s="22"/>
      <c r="N658" s="22"/>
      <c r="O658" s="16"/>
      <c r="P658" s="43"/>
    </row>
    <row r="659" spans="9:16" x14ac:dyDescent="0.25">
      <c r="I659" s="22"/>
      <c r="J659" s="22"/>
      <c r="K659" s="22"/>
      <c r="L659" s="22"/>
      <c r="M659" s="22"/>
      <c r="N659" s="22"/>
      <c r="O659" s="16"/>
      <c r="P659" s="43"/>
    </row>
    <row r="660" spans="9:16" x14ac:dyDescent="0.25">
      <c r="I660" s="22"/>
      <c r="J660" s="22"/>
      <c r="K660" s="22"/>
      <c r="L660" s="22"/>
      <c r="M660" s="22"/>
      <c r="N660" s="22"/>
      <c r="O660" s="16"/>
      <c r="P660" s="43"/>
    </row>
    <row r="661" spans="9:16" x14ac:dyDescent="0.25">
      <c r="I661" s="22"/>
      <c r="J661" s="22"/>
      <c r="K661" s="22"/>
      <c r="L661" s="22"/>
      <c r="M661" s="22"/>
      <c r="N661" s="22"/>
      <c r="O661" s="16"/>
      <c r="P661" s="43"/>
    </row>
    <row r="662" spans="9:16" x14ac:dyDescent="0.25">
      <c r="I662" s="22"/>
      <c r="J662" s="22"/>
      <c r="K662" s="22"/>
      <c r="L662" s="22"/>
      <c r="M662" s="22"/>
      <c r="N662" s="22"/>
      <c r="O662" s="16"/>
      <c r="P662" s="43"/>
    </row>
    <row r="663" spans="9:16" x14ac:dyDescent="0.25">
      <c r="I663" s="22"/>
      <c r="J663" s="22"/>
      <c r="K663" s="22"/>
      <c r="L663" s="22"/>
      <c r="M663" s="22"/>
      <c r="N663" s="22"/>
      <c r="O663" s="16"/>
      <c r="P663" s="43"/>
    </row>
    <row r="664" spans="9:16" x14ac:dyDescent="0.25">
      <c r="I664" s="22"/>
      <c r="J664" s="22"/>
      <c r="K664" s="22"/>
      <c r="L664" s="22"/>
      <c r="M664" s="22"/>
      <c r="N664" s="22"/>
      <c r="O664" s="16"/>
      <c r="P664" s="43"/>
    </row>
    <row r="665" spans="9:16" x14ac:dyDescent="0.25">
      <c r="I665" s="22"/>
      <c r="J665" s="22"/>
      <c r="K665" s="22"/>
      <c r="L665" s="22"/>
      <c r="M665" s="22"/>
      <c r="N665" s="22"/>
      <c r="O665" s="16"/>
      <c r="P665" s="43"/>
    </row>
    <row r="666" spans="9:16" x14ac:dyDescent="0.25">
      <c r="I666" s="22"/>
      <c r="J666" s="22"/>
      <c r="K666" s="22"/>
      <c r="L666" s="22"/>
      <c r="M666" s="22"/>
      <c r="N666" s="22"/>
      <c r="O666" s="16"/>
      <c r="P666" s="43"/>
    </row>
    <row r="667" spans="9:16" x14ac:dyDescent="0.25">
      <c r="I667" s="22"/>
      <c r="J667" s="22"/>
      <c r="K667" s="22"/>
      <c r="L667" s="22"/>
      <c r="M667" s="22"/>
      <c r="N667" s="22"/>
      <c r="O667" s="16"/>
      <c r="P667" s="43"/>
    </row>
    <row r="668" spans="9:16" x14ac:dyDescent="0.25">
      <c r="I668" s="22"/>
      <c r="J668" s="22"/>
      <c r="K668" s="22"/>
      <c r="L668" s="22"/>
      <c r="M668" s="22"/>
      <c r="N668" s="22"/>
      <c r="O668" s="16"/>
      <c r="P668" s="43"/>
    </row>
    <row r="669" spans="9:16" x14ac:dyDescent="0.25">
      <c r="I669" s="22"/>
      <c r="J669" s="22"/>
      <c r="K669" s="22"/>
      <c r="L669" s="22"/>
      <c r="M669" s="22"/>
      <c r="N669" s="22"/>
      <c r="O669" s="16"/>
      <c r="P669" s="43"/>
    </row>
    <row r="670" spans="9:16" x14ac:dyDescent="0.25">
      <c r="I670" s="22"/>
      <c r="J670" s="22"/>
      <c r="K670" s="22"/>
      <c r="L670" s="22"/>
      <c r="M670" s="22"/>
      <c r="N670" s="22"/>
      <c r="O670" s="16"/>
      <c r="P670" s="43"/>
    </row>
    <row r="671" spans="9:16" x14ac:dyDescent="0.25">
      <c r="I671" s="22"/>
      <c r="J671" s="22"/>
      <c r="K671" s="22"/>
      <c r="L671" s="22"/>
      <c r="M671" s="22"/>
      <c r="N671" s="22"/>
      <c r="O671" s="16"/>
      <c r="P671" s="43"/>
    </row>
    <row r="672" spans="9:16" x14ac:dyDescent="0.25">
      <c r="I672" s="22"/>
      <c r="J672" s="22"/>
      <c r="K672" s="22"/>
      <c r="L672" s="22"/>
      <c r="M672" s="22"/>
      <c r="N672" s="22"/>
      <c r="O672" s="16"/>
      <c r="P672" s="43"/>
    </row>
    <row r="673" spans="9:16" x14ac:dyDescent="0.25">
      <c r="I673" s="22"/>
      <c r="J673" s="22"/>
      <c r="K673" s="22"/>
      <c r="L673" s="22"/>
      <c r="M673" s="22"/>
      <c r="N673" s="22"/>
      <c r="O673" s="16"/>
      <c r="P673" s="43"/>
    </row>
    <row r="674" spans="9:16" x14ac:dyDescent="0.25">
      <c r="I674" s="22"/>
      <c r="J674" s="22"/>
      <c r="K674" s="22"/>
      <c r="L674" s="22"/>
      <c r="M674" s="22"/>
      <c r="N674" s="22"/>
      <c r="O674" s="16"/>
      <c r="P674" s="43"/>
    </row>
    <row r="675" spans="9:16" x14ac:dyDescent="0.25">
      <c r="I675" s="22"/>
      <c r="J675" s="22"/>
      <c r="K675" s="22"/>
      <c r="L675" s="22"/>
      <c r="M675" s="22"/>
      <c r="N675" s="22"/>
      <c r="O675" s="16"/>
      <c r="P675" s="43"/>
    </row>
    <row r="676" spans="9:16" x14ac:dyDescent="0.25">
      <c r="I676" s="22"/>
      <c r="J676" s="22"/>
      <c r="K676" s="22"/>
      <c r="L676" s="22"/>
      <c r="M676" s="22"/>
      <c r="N676" s="22"/>
      <c r="O676" s="16"/>
      <c r="P676" s="43"/>
    </row>
    <row r="677" spans="9:16" x14ac:dyDescent="0.25">
      <c r="I677" s="22"/>
      <c r="J677" s="22"/>
      <c r="K677" s="22"/>
      <c r="L677" s="22"/>
      <c r="M677" s="22"/>
      <c r="N677" s="22"/>
      <c r="O677" s="16"/>
      <c r="P677" s="43"/>
    </row>
    <row r="678" spans="9:16" x14ac:dyDescent="0.25">
      <c r="I678" s="22"/>
      <c r="J678" s="22"/>
      <c r="K678" s="22"/>
      <c r="L678" s="22"/>
      <c r="M678" s="22"/>
      <c r="N678" s="22"/>
      <c r="O678" s="16"/>
      <c r="P678" s="43"/>
    </row>
    <row r="679" spans="9:16" x14ac:dyDescent="0.25">
      <c r="I679" s="22"/>
      <c r="J679" s="22"/>
      <c r="K679" s="22"/>
      <c r="L679" s="22"/>
      <c r="M679" s="22"/>
      <c r="N679" s="22"/>
      <c r="O679" s="16"/>
      <c r="P679" s="43"/>
    </row>
    <row r="680" spans="9:16" x14ac:dyDescent="0.25">
      <c r="I680" s="22"/>
      <c r="J680" s="22"/>
      <c r="K680" s="22"/>
      <c r="L680" s="22"/>
      <c r="M680" s="22"/>
      <c r="N680" s="22"/>
      <c r="O680" s="16"/>
      <c r="P680" s="43"/>
    </row>
    <row r="681" spans="9:16" x14ac:dyDescent="0.25">
      <c r="I681" s="22"/>
      <c r="J681" s="22"/>
      <c r="K681" s="22"/>
      <c r="L681" s="22"/>
      <c r="M681" s="22"/>
      <c r="N681" s="22"/>
      <c r="O681" s="16"/>
      <c r="P681" s="43"/>
    </row>
    <row r="682" spans="9:16" x14ac:dyDescent="0.25">
      <c r="I682" s="22"/>
      <c r="J682" s="22"/>
      <c r="K682" s="22"/>
      <c r="L682" s="22"/>
      <c r="M682" s="22"/>
      <c r="N682" s="22"/>
      <c r="O682" s="16"/>
      <c r="P682" s="43"/>
    </row>
    <row r="683" spans="9:16" x14ac:dyDescent="0.25">
      <c r="I683" s="22"/>
      <c r="J683" s="22"/>
      <c r="K683" s="22"/>
      <c r="L683" s="22"/>
      <c r="M683" s="22"/>
      <c r="N683" s="22"/>
      <c r="O683" s="16"/>
      <c r="P683" s="43"/>
    </row>
    <row r="684" spans="9:16" x14ac:dyDescent="0.25">
      <c r="I684" s="22"/>
      <c r="J684" s="22"/>
      <c r="K684" s="22"/>
      <c r="L684" s="22"/>
      <c r="M684" s="22"/>
      <c r="N684" s="22"/>
      <c r="O684" s="16"/>
      <c r="P684" s="43"/>
    </row>
    <row r="685" spans="9:16" x14ac:dyDescent="0.25">
      <c r="I685" s="22"/>
      <c r="J685" s="22"/>
      <c r="K685" s="22"/>
      <c r="L685" s="22"/>
      <c r="M685" s="22"/>
      <c r="N685" s="22"/>
      <c r="O685" s="16"/>
      <c r="P685" s="43"/>
    </row>
    <row r="686" spans="9:16" x14ac:dyDescent="0.25">
      <c r="I686" s="22"/>
      <c r="J686" s="22"/>
      <c r="K686" s="22"/>
      <c r="L686" s="22"/>
      <c r="M686" s="22"/>
      <c r="N686" s="22"/>
      <c r="O686" s="16"/>
      <c r="P686" s="43"/>
    </row>
    <row r="687" spans="9:16" x14ac:dyDescent="0.25">
      <c r="I687" s="22"/>
      <c r="J687" s="22"/>
      <c r="K687" s="22"/>
      <c r="L687" s="22"/>
      <c r="M687" s="22"/>
      <c r="N687" s="22"/>
      <c r="O687" s="16"/>
      <c r="P687" s="43"/>
    </row>
    <row r="688" spans="9:16" x14ac:dyDescent="0.25">
      <c r="I688" s="22"/>
      <c r="J688" s="22"/>
      <c r="K688" s="22"/>
      <c r="L688" s="22"/>
      <c r="M688" s="22"/>
      <c r="N688" s="22"/>
      <c r="O688" s="16"/>
      <c r="P688" s="43"/>
    </row>
    <row r="689" spans="9:16" x14ac:dyDescent="0.25">
      <c r="I689" s="22"/>
      <c r="J689" s="22"/>
      <c r="K689" s="22"/>
      <c r="L689" s="22"/>
      <c r="M689" s="22"/>
      <c r="N689" s="22"/>
      <c r="O689" s="16"/>
      <c r="P689" s="43"/>
    </row>
    <row r="690" spans="9:16" x14ac:dyDescent="0.25">
      <c r="I690" s="22"/>
      <c r="J690" s="22"/>
      <c r="K690" s="22"/>
      <c r="L690" s="22"/>
      <c r="M690" s="22"/>
      <c r="N690" s="22"/>
      <c r="O690" s="16"/>
      <c r="P690" s="43"/>
    </row>
    <row r="691" spans="9:16" x14ac:dyDescent="0.25">
      <c r="I691" s="22"/>
      <c r="J691" s="22"/>
      <c r="K691" s="22"/>
      <c r="L691" s="22"/>
      <c r="M691" s="22"/>
      <c r="N691" s="22"/>
      <c r="O691" s="16"/>
      <c r="P691" s="43"/>
    </row>
    <row r="692" spans="9:16" x14ac:dyDescent="0.25">
      <c r="I692" s="22"/>
      <c r="J692" s="22"/>
      <c r="K692" s="22"/>
      <c r="L692" s="22"/>
      <c r="M692" s="22"/>
      <c r="N692" s="22"/>
      <c r="O692" s="16"/>
      <c r="P692" s="43"/>
    </row>
    <row r="693" spans="9:16" x14ac:dyDescent="0.25">
      <c r="I693" s="22"/>
      <c r="J693" s="22"/>
      <c r="K693" s="22"/>
      <c r="L693" s="22"/>
      <c r="M693" s="22"/>
      <c r="N693" s="22"/>
      <c r="O693" s="16"/>
      <c r="P693" s="43"/>
    </row>
    <row r="694" spans="9:16" x14ac:dyDescent="0.25">
      <c r="I694" s="22"/>
      <c r="J694" s="22"/>
      <c r="K694" s="22"/>
      <c r="L694" s="22"/>
      <c r="M694" s="22"/>
      <c r="N694" s="22"/>
      <c r="O694" s="16"/>
      <c r="P694" s="43"/>
    </row>
    <row r="695" spans="9:16" x14ac:dyDescent="0.25">
      <c r="I695" s="22"/>
      <c r="J695" s="22"/>
      <c r="K695" s="22"/>
      <c r="L695" s="22"/>
      <c r="M695" s="22"/>
      <c r="N695" s="22"/>
      <c r="O695" s="16"/>
      <c r="P695" s="43"/>
    </row>
    <row r="696" spans="9:16" x14ac:dyDescent="0.25">
      <c r="I696" s="22"/>
      <c r="J696" s="22"/>
      <c r="K696" s="22"/>
      <c r="L696" s="22"/>
      <c r="M696" s="22"/>
      <c r="N696" s="22"/>
      <c r="O696" s="16"/>
      <c r="P696" s="43"/>
    </row>
    <row r="697" spans="9:16" x14ac:dyDescent="0.25">
      <c r="I697" s="22"/>
      <c r="J697" s="22"/>
      <c r="K697" s="22"/>
      <c r="L697" s="22"/>
      <c r="M697" s="22"/>
      <c r="N697" s="22"/>
      <c r="O697" s="16"/>
      <c r="P697" s="43"/>
    </row>
    <row r="698" spans="9:16" x14ac:dyDescent="0.25">
      <c r="I698" s="22"/>
      <c r="J698" s="22"/>
      <c r="K698" s="22"/>
      <c r="L698" s="22"/>
      <c r="M698" s="22"/>
      <c r="N698" s="22"/>
      <c r="O698" s="16"/>
      <c r="P698" s="43"/>
    </row>
    <row r="699" spans="9:16" x14ac:dyDescent="0.25">
      <c r="I699" s="22"/>
      <c r="J699" s="22"/>
      <c r="K699" s="22"/>
      <c r="L699" s="22"/>
      <c r="M699" s="22"/>
      <c r="N699" s="22"/>
      <c r="O699" s="16"/>
      <c r="P699" s="43"/>
    </row>
    <row r="700" spans="9:16" x14ac:dyDescent="0.25">
      <c r="I700" s="22"/>
      <c r="J700" s="22"/>
      <c r="K700" s="22"/>
      <c r="L700" s="22"/>
      <c r="M700" s="22"/>
      <c r="N700" s="22"/>
      <c r="O700" s="16"/>
      <c r="P700" s="43"/>
    </row>
    <row r="701" spans="9:16" x14ac:dyDescent="0.25">
      <c r="I701" s="22"/>
      <c r="J701" s="22"/>
      <c r="K701" s="22"/>
      <c r="L701" s="22"/>
      <c r="M701" s="22"/>
      <c r="N701" s="22"/>
      <c r="O701" s="16"/>
      <c r="P701" s="43"/>
    </row>
    <row r="702" spans="9:16" x14ac:dyDescent="0.25">
      <c r="I702" s="22"/>
      <c r="J702" s="22"/>
      <c r="K702" s="22"/>
      <c r="L702" s="22"/>
      <c r="M702" s="22"/>
      <c r="N702" s="22"/>
      <c r="O702" s="16"/>
      <c r="P702" s="43"/>
    </row>
    <row r="703" spans="9:16" x14ac:dyDescent="0.25">
      <c r="I703" s="22"/>
      <c r="J703" s="22"/>
      <c r="K703" s="22"/>
      <c r="L703" s="22"/>
      <c r="M703" s="22"/>
      <c r="N703" s="22"/>
      <c r="O703" s="16"/>
      <c r="P703" s="43"/>
    </row>
    <row r="704" spans="9:16" x14ac:dyDescent="0.25">
      <c r="I704" s="22"/>
      <c r="J704" s="22"/>
      <c r="K704" s="22"/>
      <c r="L704" s="22"/>
      <c r="M704" s="22"/>
      <c r="N704" s="22"/>
      <c r="O704" s="16"/>
      <c r="P704" s="43"/>
    </row>
    <row r="705" spans="9:16" x14ac:dyDescent="0.25">
      <c r="I705" s="22"/>
      <c r="J705" s="22"/>
      <c r="K705" s="22"/>
      <c r="L705" s="22"/>
      <c r="M705" s="22"/>
      <c r="N705" s="22"/>
      <c r="O705" s="16"/>
      <c r="P705" s="43"/>
    </row>
    <row r="706" spans="9:16" x14ac:dyDescent="0.25">
      <c r="I706" s="22"/>
      <c r="J706" s="22"/>
      <c r="K706" s="22"/>
      <c r="L706" s="22"/>
      <c r="M706" s="22"/>
      <c r="N706" s="22"/>
      <c r="O706" s="16"/>
      <c r="P706" s="43"/>
    </row>
    <row r="707" spans="9:16" x14ac:dyDescent="0.25">
      <c r="I707" s="22"/>
      <c r="J707" s="22"/>
      <c r="K707" s="22"/>
      <c r="L707" s="22"/>
      <c r="M707" s="22"/>
      <c r="N707" s="22"/>
      <c r="O707" s="16"/>
      <c r="P707" s="43"/>
    </row>
    <row r="708" spans="9:16" x14ac:dyDescent="0.25">
      <c r="I708" s="22"/>
      <c r="J708" s="22"/>
      <c r="K708" s="22"/>
      <c r="L708" s="22"/>
      <c r="M708" s="22"/>
      <c r="N708" s="22"/>
      <c r="O708" s="16"/>
      <c r="P708" s="43"/>
    </row>
    <row r="709" spans="9:16" x14ac:dyDescent="0.25">
      <c r="I709" s="22"/>
      <c r="J709" s="22"/>
      <c r="K709" s="22"/>
      <c r="L709" s="22"/>
      <c r="M709" s="22"/>
      <c r="N709" s="22"/>
      <c r="O709" s="16"/>
      <c r="P709" s="43"/>
    </row>
    <row r="710" spans="9:16" x14ac:dyDescent="0.25">
      <c r="I710" s="22"/>
      <c r="J710" s="22"/>
      <c r="K710" s="22"/>
      <c r="L710" s="22"/>
      <c r="M710" s="22"/>
      <c r="N710" s="22"/>
      <c r="O710" s="16"/>
      <c r="P710" s="43"/>
    </row>
    <row r="711" spans="9:16" x14ac:dyDescent="0.25">
      <c r="I711" s="22"/>
      <c r="J711" s="22"/>
      <c r="K711" s="22"/>
      <c r="L711" s="22"/>
      <c r="M711" s="22"/>
      <c r="N711" s="22"/>
      <c r="O711" s="16"/>
      <c r="P711" s="43"/>
    </row>
    <row r="712" spans="9:16" x14ac:dyDescent="0.25">
      <c r="I712" s="22"/>
      <c r="J712" s="22"/>
      <c r="K712" s="22"/>
      <c r="L712" s="22"/>
      <c r="M712" s="22"/>
      <c r="N712" s="22"/>
      <c r="O712" s="16"/>
      <c r="P712" s="43"/>
    </row>
    <row r="713" spans="9:16" x14ac:dyDescent="0.25">
      <c r="I713" s="22"/>
      <c r="J713" s="22"/>
      <c r="K713" s="22"/>
      <c r="L713" s="22"/>
      <c r="M713" s="22"/>
      <c r="N713" s="22"/>
      <c r="O713" s="16"/>
      <c r="P713" s="43"/>
    </row>
    <row r="714" spans="9:16" x14ac:dyDescent="0.25">
      <c r="I714" s="22"/>
      <c r="J714" s="22"/>
      <c r="K714" s="22"/>
      <c r="L714" s="22"/>
      <c r="M714" s="22"/>
      <c r="N714" s="22"/>
      <c r="O714" s="16"/>
      <c r="P714" s="43"/>
    </row>
    <row r="715" spans="9:16" x14ac:dyDescent="0.25">
      <c r="I715" s="22"/>
      <c r="J715" s="22"/>
      <c r="K715" s="22"/>
      <c r="L715" s="22"/>
      <c r="M715" s="22"/>
      <c r="N715" s="22"/>
      <c r="O715" s="16"/>
      <c r="P715" s="43"/>
    </row>
    <row r="716" spans="9:16" x14ac:dyDescent="0.25">
      <c r="I716" s="22"/>
      <c r="J716" s="22"/>
      <c r="K716" s="22"/>
      <c r="L716" s="22"/>
      <c r="M716" s="22"/>
      <c r="N716" s="22"/>
      <c r="O716" s="16"/>
      <c r="P716" s="43"/>
    </row>
    <row r="717" spans="9:16" x14ac:dyDescent="0.25">
      <c r="I717" s="22"/>
      <c r="J717" s="22"/>
      <c r="K717" s="22"/>
      <c r="L717" s="22"/>
      <c r="M717" s="22"/>
      <c r="N717" s="22"/>
      <c r="O717" s="16"/>
      <c r="P717" s="43"/>
    </row>
    <row r="718" spans="9:16" x14ac:dyDescent="0.25">
      <c r="I718" s="22"/>
      <c r="J718" s="22"/>
      <c r="K718" s="22"/>
      <c r="L718" s="22"/>
      <c r="M718" s="22"/>
      <c r="N718" s="22"/>
      <c r="O718" s="16"/>
      <c r="P718" s="43"/>
    </row>
    <row r="719" spans="9:16" x14ac:dyDescent="0.25">
      <c r="I719" s="22"/>
      <c r="J719" s="22"/>
      <c r="K719" s="22"/>
      <c r="L719" s="22"/>
      <c r="M719" s="22"/>
      <c r="N719" s="22"/>
      <c r="O719" s="16"/>
      <c r="P719" s="43"/>
    </row>
    <row r="720" spans="9:16" x14ac:dyDescent="0.25">
      <c r="I720" s="22"/>
      <c r="J720" s="22"/>
      <c r="K720" s="22"/>
      <c r="L720" s="22"/>
      <c r="M720" s="22"/>
      <c r="N720" s="22"/>
      <c r="O720" s="16"/>
      <c r="P720" s="43"/>
    </row>
    <row r="721" spans="9:16" x14ac:dyDescent="0.25">
      <c r="I721" s="22"/>
      <c r="J721" s="22"/>
      <c r="K721" s="22"/>
      <c r="L721" s="22"/>
      <c r="M721" s="22"/>
      <c r="N721" s="22"/>
      <c r="O721" s="16"/>
      <c r="P721" s="43"/>
    </row>
    <row r="722" spans="9:16" x14ac:dyDescent="0.25">
      <c r="I722" s="22"/>
      <c r="J722" s="22"/>
      <c r="K722" s="22"/>
      <c r="L722" s="22"/>
      <c r="M722" s="22"/>
      <c r="N722" s="22"/>
      <c r="O722" s="16"/>
      <c r="P722" s="43"/>
    </row>
    <row r="723" spans="9:16" x14ac:dyDescent="0.25">
      <c r="I723" s="22"/>
      <c r="J723" s="22"/>
      <c r="K723" s="22"/>
      <c r="L723" s="22"/>
      <c r="M723" s="22"/>
      <c r="N723" s="22"/>
      <c r="O723" s="16"/>
      <c r="P723" s="43"/>
    </row>
    <row r="724" spans="9:16" x14ac:dyDescent="0.25">
      <c r="I724" s="22"/>
      <c r="J724" s="22"/>
      <c r="K724" s="22"/>
      <c r="L724" s="22"/>
      <c r="M724" s="22"/>
      <c r="N724" s="22"/>
      <c r="O724" s="16"/>
      <c r="P724" s="43"/>
    </row>
    <row r="725" spans="9:16" x14ac:dyDescent="0.25">
      <c r="I725" s="22"/>
      <c r="J725" s="22"/>
      <c r="K725" s="22"/>
      <c r="L725" s="22"/>
      <c r="M725" s="22"/>
      <c r="N725" s="22"/>
      <c r="O725" s="16"/>
      <c r="P725" s="43"/>
    </row>
    <row r="726" spans="9:16" x14ac:dyDescent="0.25">
      <c r="I726" s="22"/>
      <c r="J726" s="22"/>
      <c r="K726" s="22"/>
      <c r="L726" s="22"/>
      <c r="M726" s="22"/>
      <c r="N726" s="22"/>
      <c r="O726" s="16"/>
      <c r="P726" s="43"/>
    </row>
    <row r="727" spans="9:16" x14ac:dyDescent="0.25">
      <c r="I727" s="22"/>
      <c r="J727" s="22"/>
      <c r="K727" s="22"/>
      <c r="L727" s="22"/>
      <c r="M727" s="22"/>
      <c r="N727" s="22"/>
      <c r="O727" s="16"/>
      <c r="P727" s="43"/>
    </row>
    <row r="728" spans="9:16" x14ac:dyDescent="0.25">
      <c r="I728" s="22"/>
      <c r="J728" s="22"/>
      <c r="K728" s="22"/>
      <c r="L728" s="22"/>
      <c r="M728" s="22"/>
      <c r="N728" s="22"/>
      <c r="O728" s="16"/>
      <c r="P728" s="43"/>
    </row>
    <row r="729" spans="9:16" x14ac:dyDescent="0.25">
      <c r="I729" s="22"/>
      <c r="J729" s="22"/>
      <c r="K729" s="22"/>
      <c r="L729" s="22"/>
      <c r="M729" s="22"/>
      <c r="N729" s="22"/>
      <c r="O729" s="16"/>
      <c r="P729" s="43"/>
    </row>
    <row r="730" spans="9:16" x14ac:dyDescent="0.25">
      <c r="I730" s="22"/>
      <c r="J730" s="22"/>
      <c r="K730" s="22"/>
      <c r="L730" s="22"/>
      <c r="M730" s="22"/>
      <c r="N730" s="22"/>
      <c r="O730" s="16"/>
      <c r="P730" s="43"/>
    </row>
    <row r="731" spans="9:16" x14ac:dyDescent="0.25">
      <c r="I731" s="22"/>
      <c r="J731" s="22"/>
      <c r="K731" s="22"/>
      <c r="L731" s="22"/>
      <c r="M731" s="22"/>
      <c r="N731" s="22"/>
      <c r="O731" s="16"/>
      <c r="P731" s="43"/>
    </row>
    <row r="732" spans="9:16" x14ac:dyDescent="0.25">
      <c r="I732" s="22"/>
      <c r="J732" s="22"/>
      <c r="K732" s="22"/>
      <c r="L732" s="22"/>
      <c r="M732" s="22"/>
      <c r="N732" s="22"/>
      <c r="O732" s="16"/>
      <c r="P732" s="43"/>
    </row>
    <row r="733" spans="9:16" x14ac:dyDescent="0.25">
      <c r="I733" s="22"/>
      <c r="J733" s="22"/>
      <c r="K733" s="22"/>
      <c r="L733" s="22"/>
      <c r="M733" s="22"/>
      <c r="N733" s="22"/>
      <c r="O733" s="16"/>
      <c r="P733" s="43"/>
    </row>
    <row r="734" spans="9:16" x14ac:dyDescent="0.25">
      <c r="I734" s="22"/>
      <c r="J734" s="22"/>
      <c r="K734" s="22"/>
      <c r="L734" s="22"/>
      <c r="M734" s="22"/>
      <c r="N734" s="22"/>
      <c r="O734" s="16"/>
      <c r="P734" s="43"/>
    </row>
    <row r="735" spans="9:16" x14ac:dyDescent="0.25">
      <c r="I735" s="22"/>
      <c r="J735" s="22"/>
      <c r="K735" s="22"/>
      <c r="L735" s="22"/>
      <c r="M735" s="22"/>
      <c r="N735" s="22"/>
      <c r="O735" s="16"/>
      <c r="P735" s="43"/>
    </row>
    <row r="736" spans="9:16" x14ac:dyDescent="0.25">
      <c r="I736" s="22"/>
      <c r="J736" s="22"/>
      <c r="K736" s="22"/>
      <c r="L736" s="22"/>
      <c r="M736" s="22"/>
      <c r="N736" s="22"/>
      <c r="O736" s="16"/>
      <c r="P736" s="43"/>
    </row>
    <row r="737" spans="9:16" x14ac:dyDescent="0.25">
      <c r="I737" s="22"/>
      <c r="J737" s="22"/>
      <c r="K737" s="22"/>
      <c r="L737" s="22"/>
      <c r="M737" s="22"/>
      <c r="N737" s="22"/>
      <c r="O737" s="16"/>
      <c r="P737" s="43"/>
    </row>
    <row r="738" spans="9:16" x14ac:dyDescent="0.25">
      <c r="I738" s="22"/>
      <c r="J738" s="22"/>
      <c r="K738" s="22"/>
      <c r="L738" s="22"/>
      <c r="M738" s="22"/>
      <c r="N738" s="22"/>
      <c r="O738" s="16"/>
      <c r="P738" s="43"/>
    </row>
    <row r="739" spans="9:16" x14ac:dyDescent="0.25">
      <c r="I739" s="22"/>
      <c r="J739" s="22"/>
      <c r="K739" s="22"/>
      <c r="L739" s="22"/>
      <c r="M739" s="22"/>
      <c r="N739" s="22"/>
      <c r="O739" s="16"/>
      <c r="P739" s="43"/>
    </row>
    <row r="740" spans="9:16" x14ac:dyDescent="0.25">
      <c r="I740" s="22"/>
      <c r="J740" s="22"/>
      <c r="K740" s="22"/>
      <c r="L740" s="22"/>
      <c r="M740" s="22"/>
      <c r="N740" s="22"/>
      <c r="O740" s="16"/>
      <c r="P740" s="43"/>
    </row>
    <row r="741" spans="9:16" x14ac:dyDescent="0.25">
      <c r="I741" s="22"/>
      <c r="J741" s="22"/>
      <c r="K741" s="22"/>
      <c r="L741" s="22"/>
      <c r="M741" s="22"/>
      <c r="N741" s="22"/>
      <c r="O741" s="16"/>
      <c r="P741" s="43"/>
    </row>
    <row r="742" spans="9:16" x14ac:dyDescent="0.25">
      <c r="I742" s="22"/>
      <c r="J742" s="22"/>
      <c r="K742" s="22"/>
      <c r="L742" s="22"/>
      <c r="M742" s="22"/>
      <c r="N742" s="22"/>
      <c r="O742" s="16"/>
      <c r="P742" s="43"/>
    </row>
    <row r="743" spans="9:16" x14ac:dyDescent="0.25">
      <c r="I743" s="22"/>
      <c r="J743" s="22"/>
      <c r="K743" s="22"/>
      <c r="L743" s="22"/>
      <c r="M743" s="22"/>
      <c r="N743" s="22"/>
      <c r="O743" s="16"/>
      <c r="P743" s="43"/>
    </row>
    <row r="744" spans="9:16" x14ac:dyDescent="0.25">
      <c r="I744" s="22"/>
      <c r="J744" s="22"/>
      <c r="K744" s="22"/>
      <c r="L744" s="22"/>
      <c r="M744" s="22"/>
      <c r="N744" s="22"/>
      <c r="O744" s="16"/>
      <c r="P744" s="43"/>
    </row>
    <row r="745" spans="9:16" x14ac:dyDescent="0.25">
      <c r="I745" s="22"/>
      <c r="J745" s="22"/>
      <c r="K745" s="22"/>
      <c r="L745" s="22"/>
      <c r="M745" s="22"/>
      <c r="N745" s="22"/>
      <c r="O745" s="16"/>
      <c r="P745" s="43"/>
    </row>
    <row r="746" spans="9:16" x14ac:dyDescent="0.25">
      <c r="I746" s="22"/>
      <c r="J746" s="22"/>
      <c r="K746" s="22"/>
      <c r="L746" s="22"/>
      <c r="M746" s="22"/>
      <c r="N746" s="22"/>
      <c r="O746" s="16"/>
      <c r="P746" s="43"/>
    </row>
    <row r="747" spans="9:16" x14ac:dyDescent="0.25">
      <c r="I747" s="22"/>
      <c r="J747" s="22"/>
      <c r="K747" s="22"/>
      <c r="L747" s="22"/>
      <c r="M747" s="22"/>
      <c r="N747" s="22"/>
      <c r="O747" s="16"/>
      <c r="P747" s="43"/>
    </row>
    <row r="748" spans="9:16" x14ac:dyDescent="0.25">
      <c r="I748" s="22"/>
      <c r="J748" s="22"/>
      <c r="K748" s="22"/>
      <c r="L748" s="22"/>
      <c r="M748" s="22"/>
      <c r="N748" s="22"/>
      <c r="O748" s="16"/>
      <c r="P748" s="43"/>
    </row>
    <row r="749" spans="9:16" x14ac:dyDescent="0.25">
      <c r="I749" s="22"/>
      <c r="J749" s="22"/>
      <c r="K749" s="22"/>
      <c r="L749" s="22"/>
      <c r="M749" s="22"/>
      <c r="N749" s="22"/>
      <c r="O749" s="16"/>
      <c r="P749" s="43"/>
    </row>
    <row r="750" spans="9:16" x14ac:dyDescent="0.25">
      <c r="I750" s="22"/>
      <c r="J750" s="22"/>
      <c r="K750" s="22"/>
      <c r="L750" s="22"/>
      <c r="M750" s="22"/>
      <c r="N750" s="22"/>
      <c r="O750" s="16"/>
      <c r="P750" s="43"/>
    </row>
    <row r="751" spans="9:16" x14ac:dyDescent="0.25">
      <c r="I751" s="22"/>
      <c r="J751" s="22"/>
      <c r="K751" s="22"/>
      <c r="L751" s="22"/>
      <c r="M751" s="22"/>
      <c r="N751" s="22"/>
      <c r="O751" s="16"/>
      <c r="P751" s="43"/>
    </row>
    <row r="752" spans="9:16" x14ac:dyDescent="0.25">
      <c r="I752" s="22"/>
      <c r="J752" s="22"/>
      <c r="K752" s="22"/>
      <c r="L752" s="22"/>
      <c r="M752" s="22"/>
      <c r="N752" s="22"/>
      <c r="O752" s="16"/>
      <c r="P752" s="43"/>
    </row>
    <row r="753" spans="9:16" x14ac:dyDescent="0.25">
      <c r="I753" s="22"/>
      <c r="J753" s="22"/>
      <c r="K753" s="22"/>
      <c r="L753" s="22"/>
      <c r="M753" s="22"/>
      <c r="N753" s="22"/>
      <c r="O753" s="16"/>
      <c r="P753" s="43"/>
    </row>
    <row r="754" spans="9:16" x14ac:dyDescent="0.25">
      <c r="I754" s="22"/>
      <c r="J754" s="22"/>
      <c r="K754" s="22"/>
      <c r="L754" s="22"/>
      <c r="M754" s="22"/>
      <c r="N754" s="22"/>
      <c r="O754" s="16"/>
      <c r="P754" s="43"/>
    </row>
    <row r="755" spans="9:16" x14ac:dyDescent="0.25">
      <c r="I755" s="22"/>
      <c r="J755" s="22"/>
      <c r="K755" s="22"/>
      <c r="L755" s="22"/>
      <c r="M755" s="22"/>
      <c r="N755" s="22"/>
      <c r="O755" s="16"/>
      <c r="P755" s="43"/>
    </row>
    <row r="756" spans="9:16" x14ac:dyDescent="0.25">
      <c r="I756" s="22"/>
      <c r="J756" s="22"/>
      <c r="K756" s="22"/>
      <c r="L756" s="22"/>
      <c r="M756" s="22"/>
      <c r="N756" s="22"/>
      <c r="O756" s="16"/>
      <c r="P756" s="43"/>
    </row>
    <row r="757" spans="9:16" x14ac:dyDescent="0.25">
      <c r="I757" s="22"/>
      <c r="J757" s="22"/>
      <c r="K757" s="22"/>
      <c r="L757" s="22"/>
      <c r="M757" s="22"/>
      <c r="N757" s="22"/>
      <c r="O757" s="16"/>
      <c r="P757" s="43"/>
    </row>
    <row r="758" spans="9:16" x14ac:dyDescent="0.25">
      <c r="I758" s="22"/>
      <c r="J758" s="22"/>
      <c r="K758" s="22"/>
      <c r="L758" s="22"/>
      <c r="M758" s="22"/>
      <c r="N758" s="22"/>
      <c r="O758" s="16"/>
      <c r="P758" s="43"/>
    </row>
    <row r="759" spans="9:16" x14ac:dyDescent="0.25">
      <c r="I759" s="22"/>
      <c r="J759" s="22"/>
      <c r="K759" s="22"/>
      <c r="L759" s="22"/>
      <c r="M759" s="22"/>
      <c r="N759" s="22"/>
      <c r="O759" s="16"/>
      <c r="P759" s="43"/>
    </row>
    <row r="760" spans="9:16" x14ac:dyDescent="0.25">
      <c r="I760" s="22"/>
      <c r="J760" s="22"/>
      <c r="K760" s="22"/>
      <c r="L760" s="22"/>
      <c r="M760" s="22"/>
      <c r="N760" s="22"/>
      <c r="O760" s="16"/>
      <c r="P760" s="43"/>
    </row>
    <row r="761" spans="9:16" x14ac:dyDescent="0.25">
      <c r="I761" s="22"/>
      <c r="J761" s="22"/>
      <c r="K761" s="22"/>
      <c r="L761" s="22"/>
      <c r="M761" s="22"/>
      <c r="N761" s="22"/>
      <c r="O761" s="16"/>
      <c r="P761" s="43"/>
    </row>
    <row r="762" spans="9:16" x14ac:dyDescent="0.25">
      <c r="I762" s="22"/>
      <c r="J762" s="22"/>
      <c r="K762" s="22"/>
      <c r="L762" s="22"/>
      <c r="M762" s="22"/>
      <c r="N762" s="22"/>
      <c r="O762" s="16"/>
      <c r="P762" s="43"/>
    </row>
    <row r="763" spans="9:16" x14ac:dyDescent="0.25">
      <c r="I763" s="22"/>
      <c r="J763" s="22"/>
      <c r="K763" s="22"/>
      <c r="L763" s="22"/>
      <c r="M763" s="22"/>
      <c r="N763" s="22"/>
      <c r="O763" s="16"/>
      <c r="P763" s="43"/>
    </row>
    <row r="764" spans="9:16" x14ac:dyDescent="0.25">
      <c r="I764" s="22"/>
      <c r="J764" s="22"/>
      <c r="K764" s="22"/>
      <c r="L764" s="22"/>
      <c r="M764" s="22"/>
      <c r="N764" s="22"/>
      <c r="O764" s="16"/>
      <c r="P764" s="43"/>
    </row>
    <row r="765" spans="9:16" x14ac:dyDescent="0.25">
      <c r="I765" s="22"/>
      <c r="J765" s="22"/>
      <c r="K765" s="22"/>
      <c r="L765" s="22"/>
      <c r="M765" s="22"/>
      <c r="N765" s="22"/>
      <c r="O765" s="16"/>
      <c r="P765" s="43"/>
    </row>
    <row r="766" spans="9:16" x14ac:dyDescent="0.25">
      <c r="I766" s="22"/>
      <c r="J766" s="22"/>
      <c r="K766" s="22"/>
      <c r="L766" s="22"/>
      <c r="M766" s="22"/>
      <c r="N766" s="22"/>
      <c r="O766" s="16"/>
      <c r="P766" s="43"/>
    </row>
    <row r="767" spans="9:16" x14ac:dyDescent="0.25">
      <c r="I767" s="22"/>
      <c r="J767" s="22"/>
      <c r="K767" s="22"/>
      <c r="L767" s="22"/>
      <c r="M767" s="22"/>
      <c r="N767" s="22"/>
      <c r="O767" s="16"/>
      <c r="P767" s="43"/>
    </row>
    <row r="768" spans="9:16" x14ac:dyDescent="0.25">
      <c r="I768" s="22"/>
      <c r="J768" s="22"/>
      <c r="K768" s="22"/>
      <c r="L768" s="22"/>
      <c r="M768" s="22"/>
      <c r="N768" s="22"/>
      <c r="O768" s="16"/>
      <c r="P768" s="43"/>
    </row>
    <row r="769" spans="9:16" x14ac:dyDescent="0.25">
      <c r="I769" s="22"/>
      <c r="J769" s="22"/>
      <c r="K769" s="22"/>
      <c r="L769" s="22"/>
      <c r="M769" s="22"/>
      <c r="N769" s="22"/>
      <c r="O769" s="16"/>
      <c r="P769" s="43"/>
    </row>
    <row r="770" spans="9:16" x14ac:dyDescent="0.25">
      <c r="I770" s="22"/>
      <c r="J770" s="22"/>
      <c r="K770" s="22"/>
      <c r="L770" s="22"/>
      <c r="M770" s="22"/>
      <c r="N770" s="22"/>
      <c r="O770" s="16"/>
      <c r="P770" s="43"/>
    </row>
    <row r="771" spans="9:16" x14ac:dyDescent="0.25">
      <c r="I771" s="22"/>
      <c r="J771" s="22"/>
      <c r="K771" s="22"/>
      <c r="L771" s="22"/>
      <c r="M771" s="22"/>
      <c r="N771" s="22"/>
      <c r="O771" s="16"/>
      <c r="P771" s="43"/>
    </row>
    <row r="772" spans="9:16" x14ac:dyDescent="0.25">
      <c r="I772" s="22"/>
      <c r="J772" s="22"/>
      <c r="K772" s="22"/>
      <c r="L772" s="22"/>
      <c r="M772" s="22"/>
      <c r="N772" s="22"/>
      <c r="O772" s="16"/>
      <c r="P772" s="43"/>
    </row>
    <row r="773" spans="9:16" x14ac:dyDescent="0.25">
      <c r="I773" s="22"/>
      <c r="J773" s="22"/>
      <c r="K773" s="22"/>
      <c r="L773" s="22"/>
      <c r="M773" s="22"/>
      <c r="N773" s="22"/>
      <c r="O773" s="16"/>
      <c r="P773" s="43"/>
    </row>
    <row r="774" spans="9:16" x14ac:dyDescent="0.25">
      <c r="I774" s="22"/>
      <c r="J774" s="22"/>
      <c r="K774" s="22"/>
      <c r="L774" s="22"/>
      <c r="M774" s="22"/>
      <c r="N774" s="22"/>
      <c r="O774" s="16"/>
      <c r="P774" s="43"/>
    </row>
    <row r="775" spans="9:16" x14ac:dyDescent="0.25">
      <c r="I775" s="22"/>
      <c r="J775" s="22"/>
      <c r="K775" s="22"/>
      <c r="L775" s="22"/>
      <c r="M775" s="22"/>
      <c r="N775" s="22"/>
      <c r="O775" s="16"/>
      <c r="P775" s="43"/>
    </row>
    <row r="776" spans="9:16" x14ac:dyDescent="0.25">
      <c r="I776" s="22"/>
      <c r="J776" s="22"/>
      <c r="K776" s="22"/>
      <c r="L776" s="22"/>
      <c r="M776" s="22"/>
      <c r="N776" s="22"/>
      <c r="O776" s="16"/>
      <c r="P776" s="43"/>
    </row>
    <row r="777" spans="9:16" x14ac:dyDescent="0.25">
      <c r="I777" s="22"/>
      <c r="J777" s="22"/>
      <c r="K777" s="22"/>
      <c r="L777" s="22"/>
      <c r="M777" s="22"/>
      <c r="N777" s="22"/>
      <c r="O777" s="16"/>
      <c r="P777" s="43"/>
    </row>
    <row r="778" spans="9:16" x14ac:dyDescent="0.25">
      <c r="I778" s="22"/>
      <c r="J778" s="22"/>
      <c r="K778" s="22"/>
      <c r="L778" s="22"/>
      <c r="M778" s="22"/>
      <c r="N778" s="22"/>
      <c r="O778" s="16"/>
      <c r="P778" s="43"/>
    </row>
    <row r="779" spans="9:16" x14ac:dyDescent="0.25">
      <c r="I779" s="22"/>
      <c r="J779" s="22"/>
      <c r="K779" s="22"/>
      <c r="L779" s="22"/>
      <c r="M779" s="22"/>
      <c r="N779" s="22"/>
      <c r="O779" s="16"/>
      <c r="P779" s="43"/>
    </row>
    <row r="780" spans="9:16" x14ac:dyDescent="0.25">
      <c r="I780" s="22"/>
      <c r="J780" s="22"/>
      <c r="K780" s="22"/>
      <c r="L780" s="22"/>
      <c r="M780" s="22"/>
      <c r="N780" s="22"/>
      <c r="O780" s="16"/>
      <c r="P780" s="43"/>
    </row>
    <row r="781" spans="9:16" x14ac:dyDescent="0.25">
      <c r="I781" s="22"/>
      <c r="J781" s="22"/>
      <c r="K781" s="22"/>
      <c r="L781" s="22"/>
      <c r="M781" s="22"/>
      <c r="N781" s="22"/>
      <c r="O781" s="16"/>
      <c r="P781" s="43"/>
    </row>
    <row r="782" spans="9:16" x14ac:dyDescent="0.25">
      <c r="I782" s="22"/>
      <c r="J782" s="22"/>
      <c r="K782" s="22"/>
      <c r="L782" s="22"/>
      <c r="M782" s="22"/>
      <c r="N782" s="22"/>
      <c r="O782" s="16"/>
      <c r="P782" s="43"/>
    </row>
    <row r="783" spans="9:16" x14ac:dyDescent="0.25">
      <c r="I783" s="22"/>
      <c r="J783" s="22"/>
      <c r="K783" s="22"/>
      <c r="L783" s="22"/>
      <c r="M783" s="22"/>
      <c r="N783" s="22"/>
      <c r="O783" s="16"/>
      <c r="P783" s="43"/>
    </row>
    <row r="784" spans="9:16" x14ac:dyDescent="0.25">
      <c r="I784" s="22"/>
      <c r="J784" s="22"/>
      <c r="K784" s="22"/>
      <c r="L784" s="22"/>
      <c r="M784" s="22"/>
      <c r="N784" s="22"/>
      <c r="O784" s="16"/>
      <c r="P784" s="43"/>
    </row>
    <row r="785" spans="9:16" x14ac:dyDescent="0.25">
      <c r="I785" s="22"/>
      <c r="J785" s="22"/>
      <c r="K785" s="22"/>
      <c r="L785" s="22"/>
      <c r="M785" s="22"/>
      <c r="N785" s="22"/>
      <c r="O785" s="16"/>
      <c r="P785" s="43"/>
    </row>
    <row r="786" spans="9:16" x14ac:dyDescent="0.25">
      <c r="I786" s="22"/>
      <c r="J786" s="22"/>
      <c r="K786" s="22"/>
      <c r="L786" s="22"/>
      <c r="M786" s="22"/>
      <c r="N786" s="22"/>
      <c r="O786" s="16"/>
      <c r="P786" s="43"/>
    </row>
    <row r="787" spans="9:16" x14ac:dyDescent="0.25">
      <c r="I787" s="22"/>
      <c r="J787" s="22"/>
      <c r="K787" s="22"/>
      <c r="L787" s="22"/>
      <c r="M787" s="22"/>
      <c r="N787" s="22"/>
      <c r="O787" s="16"/>
      <c r="P787" s="43"/>
    </row>
    <row r="788" spans="9:16" x14ac:dyDescent="0.25">
      <c r="I788" s="22"/>
      <c r="J788" s="22"/>
      <c r="K788" s="22"/>
      <c r="L788" s="22"/>
      <c r="M788" s="22"/>
      <c r="N788" s="22"/>
      <c r="O788" s="16"/>
      <c r="P788" s="43"/>
    </row>
    <row r="789" spans="9:16" x14ac:dyDescent="0.25">
      <c r="I789" s="22"/>
      <c r="J789" s="22"/>
      <c r="K789" s="22"/>
      <c r="L789" s="22"/>
      <c r="M789" s="22"/>
      <c r="N789" s="22"/>
      <c r="O789" s="16"/>
      <c r="P789" s="43"/>
    </row>
    <row r="790" spans="9:16" x14ac:dyDescent="0.25">
      <c r="I790" s="22"/>
      <c r="J790" s="22"/>
      <c r="K790" s="22"/>
      <c r="L790" s="22"/>
      <c r="M790" s="22"/>
      <c r="N790" s="22"/>
      <c r="O790" s="16"/>
      <c r="P790" s="43"/>
    </row>
    <row r="791" spans="9:16" x14ac:dyDescent="0.25">
      <c r="I791" s="22"/>
      <c r="J791" s="22"/>
      <c r="K791" s="22"/>
      <c r="L791" s="22"/>
      <c r="M791" s="22"/>
      <c r="N791" s="22"/>
      <c r="O791" s="16"/>
      <c r="P791" s="43"/>
    </row>
    <row r="792" spans="9:16" x14ac:dyDescent="0.25">
      <c r="I792" s="22"/>
      <c r="J792" s="22"/>
      <c r="K792" s="22"/>
      <c r="L792" s="22"/>
      <c r="M792" s="22"/>
      <c r="N792" s="22"/>
      <c r="O792" s="16"/>
      <c r="P792" s="43"/>
    </row>
    <row r="793" spans="9:16" x14ac:dyDescent="0.25">
      <c r="I793" s="22"/>
      <c r="J793" s="22"/>
      <c r="K793" s="22"/>
      <c r="L793" s="22"/>
      <c r="M793" s="22"/>
      <c r="N793" s="22"/>
      <c r="O793" s="16"/>
      <c r="P793" s="43"/>
    </row>
    <row r="794" spans="9:16" x14ac:dyDescent="0.25">
      <c r="I794" s="22"/>
      <c r="J794" s="22"/>
      <c r="K794" s="22"/>
      <c r="L794" s="22"/>
      <c r="M794" s="22"/>
      <c r="N794" s="22"/>
      <c r="O794" s="16"/>
      <c r="P794" s="43"/>
    </row>
    <row r="795" spans="9:16" x14ac:dyDescent="0.25">
      <c r="I795" s="22"/>
      <c r="J795" s="22"/>
      <c r="K795" s="22"/>
      <c r="L795" s="22"/>
      <c r="M795" s="22"/>
      <c r="N795" s="22"/>
      <c r="O795" s="16"/>
      <c r="P795" s="43"/>
    </row>
    <row r="796" spans="9:16" x14ac:dyDescent="0.25">
      <c r="I796" s="22"/>
      <c r="J796" s="22"/>
      <c r="K796" s="22"/>
      <c r="L796" s="22"/>
      <c r="M796" s="22"/>
      <c r="N796" s="22"/>
      <c r="O796" s="16"/>
      <c r="P796" s="43"/>
    </row>
    <row r="797" spans="9:16" x14ac:dyDescent="0.25">
      <c r="I797" s="22"/>
      <c r="J797" s="22"/>
      <c r="K797" s="22"/>
      <c r="L797" s="22"/>
      <c r="M797" s="22"/>
      <c r="N797" s="22"/>
      <c r="O797" s="16"/>
      <c r="P797" s="43"/>
    </row>
    <row r="798" spans="9:16" x14ac:dyDescent="0.25">
      <c r="I798" s="22"/>
      <c r="J798" s="22"/>
      <c r="K798" s="22"/>
      <c r="L798" s="22"/>
      <c r="M798" s="22"/>
      <c r="N798" s="22"/>
      <c r="O798" s="16"/>
      <c r="P798" s="43"/>
    </row>
    <row r="799" spans="9:16" x14ac:dyDescent="0.25">
      <c r="I799" s="22"/>
      <c r="J799" s="22"/>
      <c r="K799" s="22"/>
      <c r="L799" s="22"/>
      <c r="M799" s="22"/>
      <c r="N799" s="22"/>
      <c r="O799" s="16"/>
      <c r="P799" s="43"/>
    </row>
    <row r="800" spans="9:16" x14ac:dyDescent="0.25">
      <c r="I800" s="22"/>
      <c r="J800" s="22"/>
      <c r="K800" s="22"/>
      <c r="L800" s="22"/>
      <c r="M800" s="22"/>
      <c r="N800" s="22"/>
      <c r="O800" s="16"/>
      <c r="P800" s="43"/>
    </row>
    <row r="801" spans="9:16" x14ac:dyDescent="0.25">
      <c r="I801" s="22"/>
      <c r="J801" s="22"/>
      <c r="K801" s="22"/>
      <c r="L801" s="22"/>
      <c r="M801" s="22"/>
      <c r="N801" s="22"/>
      <c r="O801" s="16"/>
      <c r="P801" s="43"/>
    </row>
    <row r="802" spans="9:16" x14ac:dyDescent="0.25">
      <c r="I802" s="22"/>
      <c r="J802" s="22"/>
      <c r="K802" s="22"/>
      <c r="L802" s="22"/>
      <c r="M802" s="22"/>
      <c r="N802" s="22"/>
      <c r="O802" s="16"/>
      <c r="P802" s="43"/>
    </row>
    <row r="803" spans="9:16" x14ac:dyDescent="0.25">
      <c r="I803" s="22"/>
      <c r="J803" s="22"/>
      <c r="K803" s="22"/>
      <c r="L803" s="22"/>
      <c r="M803" s="22"/>
      <c r="N803" s="22"/>
      <c r="O803" s="16"/>
      <c r="P803" s="43"/>
    </row>
    <row r="804" spans="9:16" x14ac:dyDescent="0.25">
      <c r="I804" s="22"/>
      <c r="J804" s="22"/>
      <c r="K804" s="22"/>
      <c r="L804" s="22"/>
      <c r="M804" s="22"/>
      <c r="N804" s="22"/>
      <c r="O804" s="16"/>
      <c r="P804" s="43"/>
    </row>
    <row r="805" spans="9:16" x14ac:dyDescent="0.25">
      <c r="I805" s="22"/>
      <c r="J805" s="22"/>
      <c r="K805" s="22"/>
      <c r="L805" s="22"/>
      <c r="M805" s="22"/>
      <c r="N805" s="22"/>
      <c r="O805" s="16"/>
      <c r="P805" s="43"/>
    </row>
    <row r="806" spans="9:16" x14ac:dyDescent="0.25">
      <c r="I806" s="22"/>
      <c r="J806" s="22"/>
      <c r="K806" s="22"/>
      <c r="L806" s="22"/>
      <c r="M806" s="22"/>
      <c r="N806" s="22"/>
      <c r="O806" s="16"/>
      <c r="P806" s="43"/>
    </row>
    <row r="807" spans="9:16" x14ac:dyDescent="0.25">
      <c r="I807" s="22"/>
      <c r="J807" s="22"/>
      <c r="K807" s="22"/>
      <c r="L807" s="22"/>
      <c r="M807" s="22"/>
      <c r="N807" s="22"/>
      <c r="O807" s="16"/>
      <c r="P807" s="43"/>
    </row>
    <row r="808" spans="9:16" x14ac:dyDescent="0.25">
      <c r="I808" s="22"/>
      <c r="J808" s="22"/>
      <c r="K808" s="22"/>
      <c r="L808" s="22"/>
      <c r="M808" s="22"/>
      <c r="N808" s="22"/>
      <c r="O808" s="16"/>
      <c r="P808" s="43"/>
    </row>
    <row r="809" spans="9:16" x14ac:dyDescent="0.25">
      <c r="I809" s="22"/>
      <c r="J809" s="22"/>
      <c r="K809" s="22"/>
      <c r="L809" s="22"/>
      <c r="M809" s="22"/>
      <c r="N809" s="22"/>
      <c r="O809" s="16"/>
      <c r="P809" s="43"/>
    </row>
    <row r="810" spans="9:16" x14ac:dyDescent="0.25">
      <c r="I810" s="22"/>
      <c r="J810" s="22"/>
      <c r="K810" s="22"/>
      <c r="L810" s="22"/>
      <c r="M810" s="22"/>
      <c r="N810" s="22"/>
      <c r="O810" s="16"/>
      <c r="P810" s="43"/>
    </row>
    <row r="811" spans="9:16" x14ac:dyDescent="0.25">
      <c r="I811" s="22"/>
      <c r="J811" s="22"/>
      <c r="K811" s="22"/>
      <c r="L811" s="22"/>
      <c r="M811" s="22"/>
      <c r="N811" s="22"/>
      <c r="O811" s="16"/>
      <c r="P811" s="43"/>
    </row>
    <row r="812" spans="9:16" x14ac:dyDescent="0.25">
      <c r="I812" s="22"/>
      <c r="J812" s="22"/>
      <c r="K812" s="22"/>
      <c r="L812" s="22"/>
      <c r="M812" s="22"/>
      <c r="N812" s="22"/>
      <c r="O812" s="16"/>
      <c r="P812" s="43"/>
    </row>
    <row r="813" spans="9:16" x14ac:dyDescent="0.25">
      <c r="I813" s="22"/>
      <c r="J813" s="22"/>
      <c r="K813" s="22"/>
      <c r="L813" s="22"/>
      <c r="M813" s="22"/>
      <c r="N813" s="22"/>
      <c r="O813" s="16"/>
      <c r="P813" s="43"/>
    </row>
    <row r="814" spans="9:16" x14ac:dyDescent="0.25">
      <c r="I814" s="22"/>
      <c r="J814" s="22"/>
      <c r="K814" s="22"/>
      <c r="L814" s="22"/>
      <c r="M814" s="22"/>
      <c r="N814" s="22"/>
      <c r="O814" s="16"/>
      <c r="P814" s="43"/>
    </row>
    <row r="815" spans="9:16" x14ac:dyDescent="0.25">
      <c r="I815" s="22"/>
      <c r="J815" s="22"/>
      <c r="K815" s="22"/>
      <c r="L815" s="22"/>
      <c r="M815" s="22"/>
      <c r="N815" s="22"/>
      <c r="O815" s="16"/>
      <c r="P815" s="43"/>
    </row>
    <row r="816" spans="9:16" x14ac:dyDescent="0.25">
      <c r="I816" s="22"/>
      <c r="J816" s="22"/>
      <c r="K816" s="22"/>
      <c r="L816" s="22"/>
      <c r="M816" s="22"/>
      <c r="N816" s="22"/>
      <c r="O816" s="16"/>
      <c r="P816" s="43"/>
    </row>
    <row r="817" spans="9:16" x14ac:dyDescent="0.25">
      <c r="I817" s="22"/>
      <c r="J817" s="22"/>
      <c r="K817" s="22"/>
      <c r="L817" s="22"/>
      <c r="M817" s="22"/>
      <c r="N817" s="22"/>
      <c r="O817" s="16"/>
      <c r="P817" s="43"/>
    </row>
    <row r="818" spans="9:16" x14ac:dyDescent="0.25">
      <c r="I818" s="22"/>
      <c r="J818" s="22"/>
      <c r="K818" s="22"/>
      <c r="L818" s="22"/>
      <c r="M818" s="22"/>
      <c r="N818" s="22"/>
      <c r="O818" s="16"/>
      <c r="P818" s="43"/>
    </row>
    <row r="819" spans="9:16" x14ac:dyDescent="0.25">
      <c r="I819" s="22"/>
      <c r="J819" s="22"/>
      <c r="K819" s="22"/>
      <c r="L819" s="22"/>
      <c r="M819" s="22"/>
      <c r="N819" s="22"/>
      <c r="O819" s="16"/>
      <c r="P819" s="43"/>
    </row>
    <row r="820" spans="9:16" x14ac:dyDescent="0.25">
      <c r="I820" s="22"/>
      <c r="J820" s="22"/>
      <c r="K820" s="22"/>
      <c r="L820" s="22"/>
      <c r="M820" s="22"/>
      <c r="N820" s="22"/>
      <c r="O820" s="16"/>
      <c r="P820" s="43"/>
    </row>
    <row r="821" spans="9:16" x14ac:dyDescent="0.25">
      <c r="I821" s="22"/>
      <c r="J821" s="22"/>
      <c r="K821" s="22"/>
      <c r="L821" s="22"/>
      <c r="M821" s="22"/>
      <c r="N821" s="22"/>
      <c r="O821" s="16"/>
      <c r="P821" s="43"/>
    </row>
    <row r="822" spans="9:16" x14ac:dyDescent="0.25">
      <c r="I822" s="22"/>
      <c r="J822" s="22"/>
      <c r="K822" s="22"/>
      <c r="L822" s="22"/>
      <c r="M822" s="22"/>
      <c r="N822" s="22"/>
      <c r="O822" s="16"/>
      <c r="P822" s="43"/>
    </row>
    <row r="823" spans="9:16" x14ac:dyDescent="0.25">
      <c r="I823" s="22"/>
      <c r="J823" s="22"/>
      <c r="K823" s="22"/>
      <c r="L823" s="22"/>
      <c r="M823" s="22"/>
      <c r="N823" s="22"/>
      <c r="O823" s="16"/>
      <c r="P823" s="43"/>
    </row>
    <row r="824" spans="9:16" x14ac:dyDescent="0.25">
      <c r="I824" s="22"/>
      <c r="J824" s="22"/>
      <c r="K824" s="22"/>
      <c r="L824" s="22"/>
      <c r="M824" s="22"/>
      <c r="N824" s="22"/>
      <c r="O824" s="16"/>
      <c r="P824" s="43"/>
    </row>
    <row r="825" spans="9:16" x14ac:dyDescent="0.25">
      <c r="I825" s="22"/>
      <c r="J825" s="22"/>
      <c r="K825" s="22"/>
      <c r="L825" s="22"/>
      <c r="M825" s="22"/>
      <c r="N825" s="22"/>
      <c r="O825" s="16"/>
      <c r="P825" s="43"/>
    </row>
    <row r="826" spans="9:16" x14ac:dyDescent="0.25">
      <c r="I826" s="22"/>
      <c r="J826" s="22"/>
      <c r="K826" s="22"/>
      <c r="L826" s="22"/>
      <c r="M826" s="22"/>
      <c r="N826" s="22"/>
      <c r="O826" s="16"/>
      <c r="P826" s="43"/>
    </row>
    <row r="827" spans="9:16" x14ac:dyDescent="0.25">
      <c r="I827" s="22"/>
      <c r="J827" s="22"/>
      <c r="K827" s="22"/>
      <c r="L827" s="22"/>
      <c r="M827" s="22"/>
      <c r="N827" s="22"/>
      <c r="O827" s="16"/>
      <c r="P827" s="43"/>
    </row>
    <row r="828" spans="9:16" x14ac:dyDescent="0.25">
      <c r="I828" s="22"/>
      <c r="J828" s="22"/>
      <c r="K828" s="22"/>
      <c r="L828" s="22"/>
      <c r="M828" s="22"/>
      <c r="N828" s="22"/>
      <c r="O828" s="16"/>
      <c r="P828" s="43"/>
    </row>
    <row r="829" spans="9:16" x14ac:dyDescent="0.25">
      <c r="I829" s="22"/>
      <c r="J829" s="22"/>
      <c r="K829" s="22"/>
      <c r="L829" s="22"/>
      <c r="M829" s="22"/>
      <c r="N829" s="22"/>
      <c r="O829" s="16"/>
      <c r="P829" s="43"/>
    </row>
    <row r="830" spans="9:16" x14ac:dyDescent="0.25">
      <c r="I830" s="22"/>
      <c r="J830" s="22"/>
      <c r="K830" s="22"/>
      <c r="L830" s="22"/>
      <c r="M830" s="22"/>
      <c r="N830" s="22"/>
      <c r="O830" s="16"/>
      <c r="P830" s="43"/>
    </row>
    <row r="831" spans="9:16" x14ac:dyDescent="0.25">
      <c r="I831" s="22"/>
      <c r="J831" s="22"/>
      <c r="K831" s="22"/>
      <c r="L831" s="22"/>
      <c r="M831" s="22"/>
      <c r="N831" s="22"/>
      <c r="O831" s="16"/>
      <c r="P831" s="43"/>
    </row>
    <row r="832" spans="9:16" x14ac:dyDescent="0.25">
      <c r="I832" s="22"/>
      <c r="J832" s="22"/>
      <c r="K832" s="22"/>
      <c r="L832" s="22"/>
      <c r="M832" s="22"/>
      <c r="N832" s="22"/>
      <c r="O832" s="16"/>
      <c r="P832" s="43"/>
    </row>
    <row r="833" spans="9:16" x14ac:dyDescent="0.25">
      <c r="I833" s="22"/>
      <c r="J833" s="22"/>
      <c r="K833" s="22"/>
      <c r="L833" s="22"/>
      <c r="M833" s="22"/>
      <c r="N833" s="22"/>
      <c r="O833" s="16"/>
      <c r="P833" s="43"/>
    </row>
    <row r="834" spans="9:16" x14ac:dyDescent="0.25">
      <c r="I834" s="22"/>
      <c r="J834" s="22"/>
      <c r="K834" s="22"/>
      <c r="L834" s="22"/>
      <c r="M834" s="22"/>
      <c r="N834" s="22"/>
      <c r="O834" s="16"/>
      <c r="P834" s="43"/>
    </row>
    <row r="835" spans="9:16" x14ac:dyDescent="0.25">
      <c r="I835" s="22"/>
      <c r="J835" s="22"/>
      <c r="K835" s="22"/>
      <c r="L835" s="22"/>
      <c r="M835" s="22"/>
      <c r="N835" s="22"/>
      <c r="O835" s="16"/>
      <c r="P835" s="43"/>
    </row>
    <row r="836" spans="9:16" x14ac:dyDescent="0.25">
      <c r="I836" s="22"/>
      <c r="J836" s="22"/>
      <c r="K836" s="22"/>
      <c r="L836" s="22"/>
      <c r="M836" s="22"/>
      <c r="N836" s="22"/>
      <c r="O836" s="16"/>
      <c r="P836" s="43"/>
    </row>
    <row r="837" spans="9:16" x14ac:dyDescent="0.25">
      <c r="I837" s="22"/>
      <c r="J837" s="22"/>
      <c r="K837" s="22"/>
      <c r="L837" s="22"/>
      <c r="M837" s="22"/>
      <c r="N837" s="22"/>
      <c r="O837" s="16"/>
      <c r="P837" s="43"/>
    </row>
    <row r="838" spans="9:16" x14ac:dyDescent="0.25">
      <c r="I838" s="22"/>
      <c r="J838" s="22"/>
      <c r="K838" s="22"/>
      <c r="L838" s="22"/>
      <c r="M838" s="22"/>
      <c r="N838" s="22"/>
      <c r="O838" s="16"/>
      <c r="P838" s="43"/>
    </row>
    <row r="839" spans="9:16" x14ac:dyDescent="0.25">
      <c r="I839" s="22"/>
      <c r="J839" s="22"/>
      <c r="K839" s="22"/>
      <c r="L839" s="22"/>
      <c r="M839" s="22"/>
      <c r="N839" s="22"/>
      <c r="O839" s="16"/>
      <c r="P839" s="43"/>
    </row>
    <row r="840" spans="9:16" x14ac:dyDescent="0.25">
      <c r="I840" s="22"/>
      <c r="J840" s="22"/>
      <c r="K840" s="22"/>
      <c r="L840" s="22"/>
      <c r="M840" s="22"/>
      <c r="N840" s="22"/>
      <c r="O840" s="16"/>
      <c r="P840" s="43"/>
    </row>
    <row r="841" spans="9:16" x14ac:dyDescent="0.25">
      <c r="I841" s="22"/>
      <c r="J841" s="22"/>
      <c r="K841" s="22"/>
      <c r="L841" s="22"/>
      <c r="M841" s="22"/>
      <c r="N841" s="22"/>
      <c r="O841" s="16"/>
      <c r="P841" s="43"/>
    </row>
    <row r="842" spans="9:16" x14ac:dyDescent="0.25">
      <c r="I842" s="22"/>
      <c r="J842" s="22"/>
      <c r="K842" s="22"/>
      <c r="L842" s="22"/>
      <c r="M842" s="22"/>
      <c r="N842" s="22"/>
      <c r="O842" s="16"/>
      <c r="P842" s="43"/>
    </row>
    <row r="843" spans="9:16" x14ac:dyDescent="0.25">
      <c r="I843" s="22"/>
      <c r="J843" s="22"/>
      <c r="K843" s="22"/>
      <c r="L843" s="22"/>
      <c r="M843" s="22"/>
      <c r="N843" s="22"/>
      <c r="O843" s="16"/>
      <c r="P843" s="43"/>
    </row>
    <row r="844" spans="9:16" x14ac:dyDescent="0.25">
      <c r="I844" s="22"/>
      <c r="J844" s="22"/>
      <c r="K844" s="22"/>
      <c r="L844" s="22"/>
      <c r="M844" s="22"/>
      <c r="N844" s="22"/>
      <c r="O844" s="16"/>
      <c r="P844" s="43"/>
    </row>
    <row r="845" spans="9:16" x14ac:dyDescent="0.25">
      <c r="I845" s="22"/>
      <c r="J845" s="22"/>
      <c r="K845" s="22"/>
      <c r="L845" s="22"/>
      <c r="M845" s="22"/>
      <c r="N845" s="22"/>
      <c r="O845" s="16"/>
      <c r="P845" s="43"/>
    </row>
    <row r="846" spans="9:16" x14ac:dyDescent="0.25">
      <c r="I846" s="22"/>
      <c r="J846" s="22"/>
      <c r="K846" s="22"/>
      <c r="L846" s="22"/>
      <c r="M846" s="22"/>
      <c r="N846" s="22"/>
      <c r="O846" s="16"/>
      <c r="P846" s="43"/>
    </row>
    <row r="847" spans="9:16" x14ac:dyDescent="0.25">
      <c r="I847" s="22"/>
      <c r="J847" s="22"/>
      <c r="K847" s="22"/>
      <c r="L847" s="22"/>
      <c r="M847" s="22"/>
      <c r="N847" s="22"/>
      <c r="O847" s="16"/>
      <c r="P847" s="43"/>
    </row>
    <row r="848" spans="9:16" x14ac:dyDescent="0.25">
      <c r="I848" s="22"/>
      <c r="J848" s="22"/>
      <c r="K848" s="22"/>
      <c r="L848" s="22"/>
      <c r="M848" s="22"/>
      <c r="N848" s="22"/>
      <c r="O848" s="16"/>
      <c r="P848" s="43"/>
    </row>
    <row r="849" spans="9:16" x14ac:dyDescent="0.25">
      <c r="I849" s="22"/>
      <c r="J849" s="22"/>
      <c r="K849" s="22"/>
      <c r="L849" s="22"/>
      <c r="M849" s="22"/>
      <c r="N849" s="22"/>
      <c r="O849" s="16"/>
      <c r="P849" s="43"/>
    </row>
    <row r="850" spans="9:16" x14ac:dyDescent="0.25">
      <c r="I850" s="22"/>
      <c r="J850" s="22"/>
      <c r="K850" s="22"/>
      <c r="L850" s="22"/>
      <c r="M850" s="22"/>
      <c r="N850" s="22"/>
      <c r="O850" s="16"/>
      <c r="P850" s="43"/>
    </row>
    <row r="851" spans="9:16" x14ac:dyDescent="0.25">
      <c r="I851" s="22"/>
      <c r="J851" s="22"/>
      <c r="K851" s="22"/>
      <c r="L851" s="22"/>
      <c r="M851" s="22"/>
      <c r="N851" s="22"/>
      <c r="O851" s="16"/>
      <c r="P851" s="43"/>
    </row>
    <row r="852" spans="9:16" x14ac:dyDescent="0.25">
      <c r="I852" s="22"/>
      <c r="J852" s="22"/>
      <c r="K852" s="22"/>
      <c r="L852" s="22"/>
      <c r="M852" s="22"/>
      <c r="N852" s="22"/>
      <c r="O852" s="16"/>
      <c r="P852" s="43"/>
    </row>
    <row r="853" spans="9:16" x14ac:dyDescent="0.25">
      <c r="I853" s="22"/>
      <c r="J853" s="22"/>
      <c r="K853" s="22"/>
      <c r="L853" s="22"/>
      <c r="M853" s="22"/>
      <c r="N853" s="22"/>
      <c r="O853" s="16"/>
      <c r="P853" s="43"/>
    </row>
    <row r="854" spans="9:16" x14ac:dyDescent="0.25">
      <c r="I854" s="22"/>
      <c r="J854" s="22"/>
      <c r="K854" s="22"/>
      <c r="L854" s="22"/>
      <c r="M854" s="22"/>
      <c r="N854" s="22"/>
      <c r="O854" s="16"/>
      <c r="P854" s="43"/>
    </row>
    <row r="855" spans="9:16" x14ac:dyDescent="0.25">
      <c r="I855" s="22"/>
      <c r="J855" s="22"/>
      <c r="K855" s="22"/>
      <c r="L855" s="22"/>
      <c r="M855" s="22"/>
      <c r="N855" s="22"/>
      <c r="O855" s="16"/>
      <c r="P855" s="43"/>
    </row>
    <row r="856" spans="9:16" x14ac:dyDescent="0.25">
      <c r="I856" s="22"/>
      <c r="J856" s="22"/>
      <c r="K856" s="22"/>
      <c r="L856" s="22"/>
      <c r="M856" s="22"/>
      <c r="N856" s="22"/>
      <c r="O856" s="16"/>
      <c r="P856" s="43"/>
    </row>
    <row r="857" spans="9:16" x14ac:dyDescent="0.25">
      <c r="I857" s="22"/>
      <c r="J857" s="22"/>
      <c r="K857" s="22"/>
      <c r="L857" s="22"/>
      <c r="M857" s="22"/>
      <c r="N857" s="22"/>
      <c r="O857" s="16"/>
      <c r="P857" s="43"/>
    </row>
    <row r="858" spans="9:16" x14ac:dyDescent="0.25">
      <c r="I858" s="22"/>
      <c r="J858" s="22"/>
      <c r="K858" s="22"/>
      <c r="L858" s="22"/>
      <c r="M858" s="22"/>
      <c r="N858" s="22"/>
      <c r="O858" s="16"/>
      <c r="P858" s="43"/>
    </row>
    <row r="859" spans="9:16" x14ac:dyDescent="0.25">
      <c r="I859" s="22"/>
      <c r="J859" s="22"/>
      <c r="K859" s="22"/>
      <c r="L859" s="22"/>
      <c r="M859" s="22"/>
      <c r="N859" s="22"/>
      <c r="O859" s="16"/>
      <c r="P859" s="43"/>
    </row>
    <row r="860" spans="9:16" x14ac:dyDescent="0.25">
      <c r="I860" s="22"/>
      <c r="J860" s="22"/>
      <c r="K860" s="22"/>
      <c r="L860" s="22"/>
      <c r="M860" s="22"/>
      <c r="N860" s="22"/>
      <c r="O860" s="16"/>
      <c r="P860" s="43"/>
    </row>
    <row r="861" spans="9:16" x14ac:dyDescent="0.25">
      <c r="I861" s="22"/>
      <c r="J861" s="22"/>
      <c r="K861" s="22"/>
      <c r="L861" s="22"/>
      <c r="M861" s="22"/>
      <c r="N861" s="22"/>
      <c r="O861" s="16"/>
      <c r="P861" s="43"/>
    </row>
    <row r="862" spans="9:16" x14ac:dyDescent="0.25">
      <c r="I862" s="22"/>
      <c r="J862" s="22"/>
      <c r="K862" s="22"/>
      <c r="L862" s="22"/>
      <c r="M862" s="22"/>
      <c r="N862" s="22"/>
      <c r="O862" s="16"/>
      <c r="P862" s="43"/>
    </row>
    <row r="863" spans="9:16" x14ac:dyDescent="0.25">
      <c r="I863" s="22"/>
      <c r="J863" s="22"/>
      <c r="K863" s="22"/>
      <c r="L863" s="22"/>
      <c r="M863" s="22"/>
      <c r="N863" s="22"/>
      <c r="O863" s="16"/>
      <c r="P863" s="43"/>
    </row>
    <row r="864" spans="9:16" x14ac:dyDescent="0.25">
      <c r="I864" s="22"/>
      <c r="J864" s="22"/>
      <c r="K864" s="22"/>
      <c r="L864" s="22"/>
      <c r="M864" s="22"/>
      <c r="N864" s="22"/>
      <c r="O864" s="16"/>
      <c r="P864" s="43"/>
    </row>
    <row r="865" spans="9:16" x14ac:dyDescent="0.25">
      <c r="I865" s="22"/>
      <c r="J865" s="22"/>
      <c r="K865" s="22"/>
      <c r="L865" s="22"/>
      <c r="M865" s="22"/>
      <c r="N865" s="22"/>
      <c r="O865" s="16"/>
      <c r="P865" s="43"/>
    </row>
    <row r="866" spans="9:16" x14ac:dyDescent="0.25">
      <c r="I866" s="22"/>
      <c r="J866" s="22"/>
      <c r="K866" s="22"/>
      <c r="L866" s="22"/>
      <c r="M866" s="22"/>
      <c r="N866" s="22"/>
      <c r="O866" s="16"/>
      <c r="P866" s="43"/>
    </row>
    <row r="867" spans="9:16" x14ac:dyDescent="0.25">
      <c r="I867" s="22"/>
      <c r="J867" s="22"/>
      <c r="K867" s="22"/>
      <c r="L867" s="22"/>
      <c r="M867" s="22"/>
      <c r="N867" s="22"/>
      <c r="O867" s="16"/>
      <c r="P867" s="43"/>
    </row>
    <row r="868" spans="9:16" x14ac:dyDescent="0.25">
      <c r="I868" s="22"/>
      <c r="J868" s="22"/>
      <c r="K868" s="22"/>
      <c r="L868" s="22"/>
      <c r="M868" s="22"/>
      <c r="N868" s="22"/>
      <c r="O868" s="16"/>
      <c r="P868" s="43"/>
    </row>
    <row r="869" spans="9:16" x14ac:dyDescent="0.25">
      <c r="I869" s="22"/>
      <c r="J869" s="22"/>
      <c r="K869" s="22"/>
      <c r="L869" s="22"/>
      <c r="M869" s="22"/>
      <c r="N869" s="22"/>
      <c r="O869" s="16"/>
      <c r="P869" s="43"/>
    </row>
    <row r="870" spans="9:16" x14ac:dyDescent="0.25">
      <c r="I870" s="22"/>
      <c r="J870" s="22"/>
      <c r="K870" s="22"/>
      <c r="L870" s="22"/>
      <c r="M870" s="22"/>
      <c r="N870" s="22"/>
      <c r="O870" s="16"/>
      <c r="P870" s="43"/>
    </row>
    <row r="871" spans="9:16" x14ac:dyDescent="0.25">
      <c r="I871" s="22"/>
      <c r="J871" s="22"/>
      <c r="K871" s="22"/>
      <c r="L871" s="22"/>
      <c r="M871" s="22"/>
      <c r="N871" s="22"/>
      <c r="O871" s="16"/>
      <c r="P871" s="43"/>
    </row>
    <row r="872" spans="9:16" x14ac:dyDescent="0.25">
      <c r="I872" s="22"/>
      <c r="J872" s="22"/>
      <c r="K872" s="22"/>
      <c r="L872" s="22"/>
      <c r="M872" s="22"/>
      <c r="N872" s="22"/>
      <c r="O872" s="16"/>
      <c r="P872" s="43"/>
    </row>
    <row r="873" spans="9:16" x14ac:dyDescent="0.25">
      <c r="I873" s="22"/>
      <c r="J873" s="22"/>
      <c r="K873" s="22"/>
      <c r="L873" s="22"/>
      <c r="M873" s="22"/>
      <c r="N873" s="22"/>
      <c r="O873" s="16"/>
      <c r="P873" s="43"/>
    </row>
    <row r="874" spans="9:16" x14ac:dyDescent="0.25">
      <c r="I874" s="22"/>
      <c r="J874" s="22"/>
      <c r="K874" s="22"/>
      <c r="L874" s="22"/>
      <c r="M874" s="22"/>
      <c r="N874" s="22"/>
      <c r="O874" s="16"/>
      <c r="P874" s="43"/>
    </row>
    <row r="875" spans="9:16" x14ac:dyDescent="0.25">
      <c r="I875" s="22"/>
      <c r="J875" s="22"/>
      <c r="K875" s="22"/>
      <c r="L875" s="22"/>
      <c r="M875" s="22"/>
      <c r="N875" s="22"/>
      <c r="O875" s="16"/>
      <c r="P875" s="43"/>
    </row>
    <row r="876" spans="9:16" x14ac:dyDescent="0.25">
      <c r="I876" s="22"/>
      <c r="J876" s="22"/>
      <c r="K876" s="22"/>
      <c r="L876" s="22"/>
      <c r="M876" s="22"/>
      <c r="N876" s="22"/>
      <c r="O876" s="16"/>
      <c r="P876" s="43"/>
    </row>
    <row r="877" spans="9:16" x14ac:dyDescent="0.25">
      <c r="I877" s="22"/>
      <c r="J877" s="22"/>
      <c r="K877" s="22"/>
      <c r="L877" s="22"/>
      <c r="M877" s="22"/>
      <c r="N877" s="22"/>
      <c r="O877" s="16"/>
      <c r="P877" s="43"/>
    </row>
    <row r="878" spans="9:16" x14ac:dyDescent="0.25">
      <c r="I878" s="22"/>
      <c r="J878" s="22"/>
      <c r="K878" s="22"/>
      <c r="L878" s="22"/>
      <c r="M878" s="22"/>
      <c r="N878" s="22"/>
      <c r="O878" s="16"/>
      <c r="P878" s="43"/>
    </row>
    <row r="879" spans="9:16" x14ac:dyDescent="0.25">
      <c r="I879" s="22"/>
      <c r="J879" s="22"/>
      <c r="K879" s="22"/>
      <c r="L879" s="22"/>
      <c r="M879" s="22"/>
      <c r="N879" s="22"/>
      <c r="O879" s="16"/>
      <c r="P879" s="43"/>
    </row>
    <row r="880" spans="9:16" x14ac:dyDescent="0.25">
      <c r="I880" s="22"/>
      <c r="J880" s="22"/>
      <c r="K880" s="22"/>
      <c r="L880" s="22"/>
      <c r="M880" s="22"/>
      <c r="N880" s="22"/>
      <c r="O880" s="16"/>
      <c r="P880" s="43"/>
    </row>
    <row r="881" spans="9:16" x14ac:dyDescent="0.25">
      <c r="I881" s="22"/>
      <c r="J881" s="22"/>
      <c r="K881" s="22"/>
      <c r="L881" s="22"/>
      <c r="M881" s="22"/>
      <c r="N881" s="22"/>
      <c r="O881" s="16"/>
      <c r="P881" s="43"/>
    </row>
    <row r="882" spans="9:16" x14ac:dyDescent="0.25">
      <c r="I882" s="22"/>
      <c r="J882" s="22"/>
      <c r="K882" s="22"/>
      <c r="L882" s="22"/>
      <c r="M882" s="22"/>
      <c r="N882" s="22"/>
      <c r="O882" s="16"/>
      <c r="P882" s="43"/>
    </row>
    <row r="883" spans="9:16" x14ac:dyDescent="0.25">
      <c r="I883" s="22"/>
      <c r="J883" s="22"/>
      <c r="K883" s="22"/>
      <c r="L883" s="22"/>
      <c r="M883" s="22"/>
      <c r="N883" s="22"/>
      <c r="O883" s="16"/>
      <c r="P883" s="43"/>
    </row>
    <row r="884" spans="9:16" x14ac:dyDescent="0.25">
      <c r="I884" s="22"/>
      <c r="J884" s="22"/>
      <c r="K884" s="22"/>
      <c r="L884" s="22"/>
      <c r="M884" s="22"/>
      <c r="N884" s="22"/>
      <c r="O884" s="16"/>
      <c r="P884" s="43"/>
    </row>
    <row r="885" spans="9:16" x14ac:dyDescent="0.25">
      <c r="I885" s="22"/>
      <c r="J885" s="22"/>
      <c r="K885" s="22"/>
      <c r="L885" s="22"/>
      <c r="M885" s="22"/>
      <c r="N885" s="22"/>
      <c r="O885" s="16"/>
      <c r="P885" s="43"/>
    </row>
    <row r="886" spans="9:16" x14ac:dyDescent="0.25">
      <c r="I886" s="22"/>
      <c r="J886" s="22"/>
      <c r="K886" s="22"/>
      <c r="L886" s="22"/>
      <c r="M886" s="22"/>
      <c r="N886" s="22"/>
      <c r="O886" s="16"/>
      <c r="P886" s="43"/>
    </row>
    <row r="887" spans="9:16" x14ac:dyDescent="0.25">
      <c r="I887" s="22"/>
      <c r="J887" s="22"/>
      <c r="K887" s="22"/>
      <c r="L887" s="22"/>
      <c r="M887" s="22"/>
      <c r="N887" s="22"/>
      <c r="O887" s="16"/>
      <c r="P887" s="43"/>
    </row>
    <row r="888" spans="9:16" x14ac:dyDescent="0.25">
      <c r="I888" s="22"/>
      <c r="J888" s="22"/>
      <c r="K888" s="22"/>
      <c r="L888" s="22"/>
      <c r="M888" s="22"/>
      <c r="N888" s="22"/>
      <c r="O888" s="16"/>
      <c r="P888" s="43"/>
    </row>
    <row r="889" spans="9:16" x14ac:dyDescent="0.25">
      <c r="I889" s="22"/>
      <c r="J889" s="22"/>
      <c r="K889" s="22"/>
      <c r="L889" s="22"/>
      <c r="M889" s="22"/>
      <c r="N889" s="22"/>
      <c r="O889" s="16"/>
      <c r="P889" s="43"/>
    </row>
    <row r="890" spans="9:16" x14ac:dyDescent="0.25">
      <c r="I890" s="22"/>
      <c r="J890" s="22"/>
      <c r="K890" s="22"/>
      <c r="L890" s="22"/>
      <c r="M890" s="22"/>
      <c r="N890" s="22"/>
      <c r="O890" s="16"/>
      <c r="P890" s="43"/>
    </row>
    <row r="891" spans="9:16" x14ac:dyDescent="0.25">
      <c r="I891" s="22"/>
      <c r="J891" s="22"/>
      <c r="K891" s="22"/>
      <c r="L891" s="22"/>
      <c r="M891" s="22"/>
      <c r="N891" s="22"/>
      <c r="O891" s="16"/>
      <c r="P891" s="43"/>
    </row>
    <row r="892" spans="9:16" x14ac:dyDescent="0.25">
      <c r="I892" s="22"/>
      <c r="J892" s="22"/>
      <c r="K892" s="22"/>
      <c r="L892" s="22"/>
      <c r="M892" s="22"/>
      <c r="N892" s="22"/>
      <c r="O892" s="16"/>
      <c r="P892" s="43"/>
    </row>
    <row r="893" spans="9:16" x14ac:dyDescent="0.25">
      <c r="I893" s="22"/>
      <c r="J893" s="22"/>
      <c r="K893" s="22"/>
      <c r="L893" s="22"/>
      <c r="M893" s="22"/>
      <c r="N893" s="22"/>
      <c r="O893" s="16"/>
      <c r="P893" s="43"/>
    </row>
    <row r="894" spans="9:16" x14ac:dyDescent="0.25">
      <c r="I894" s="22"/>
      <c r="J894" s="22"/>
      <c r="K894" s="22"/>
      <c r="L894" s="22"/>
      <c r="M894" s="22"/>
      <c r="N894" s="22"/>
      <c r="O894" s="16"/>
      <c r="P894" s="43"/>
    </row>
    <row r="895" spans="9:16" x14ac:dyDescent="0.25">
      <c r="I895" s="22"/>
      <c r="J895" s="22"/>
      <c r="K895" s="22"/>
      <c r="L895" s="22"/>
      <c r="M895" s="22"/>
      <c r="N895" s="22"/>
      <c r="O895" s="16"/>
      <c r="P895" s="43"/>
    </row>
    <row r="896" spans="9:16" x14ac:dyDescent="0.25">
      <c r="I896" s="22"/>
      <c r="J896" s="22"/>
      <c r="K896" s="22"/>
      <c r="L896" s="22"/>
      <c r="M896" s="22"/>
      <c r="N896" s="22"/>
      <c r="O896" s="16"/>
      <c r="P896" s="43"/>
    </row>
    <row r="897" spans="9:16" x14ac:dyDescent="0.25">
      <c r="I897" s="22"/>
      <c r="J897" s="22"/>
      <c r="K897" s="22"/>
      <c r="L897" s="22"/>
      <c r="M897" s="22"/>
      <c r="N897" s="22"/>
      <c r="O897" s="16"/>
      <c r="P897" s="43"/>
    </row>
    <row r="898" spans="9:16" x14ac:dyDescent="0.25">
      <c r="I898" s="22"/>
      <c r="J898" s="22"/>
      <c r="K898" s="22"/>
      <c r="L898" s="22"/>
      <c r="M898" s="22"/>
      <c r="N898" s="22"/>
      <c r="O898" s="16"/>
      <c r="P898" s="43"/>
    </row>
    <row r="899" spans="9:16" x14ac:dyDescent="0.25">
      <c r="I899" s="22"/>
      <c r="J899" s="22"/>
      <c r="K899" s="22"/>
      <c r="L899" s="22"/>
      <c r="M899" s="22"/>
      <c r="N899" s="22"/>
      <c r="O899" s="16"/>
      <c r="P899" s="43"/>
    </row>
    <row r="900" spans="9:16" x14ac:dyDescent="0.25">
      <c r="I900" s="22"/>
      <c r="J900" s="22"/>
      <c r="K900" s="22"/>
      <c r="L900" s="22"/>
      <c r="M900" s="22"/>
      <c r="N900" s="22"/>
      <c r="O900" s="16"/>
      <c r="P900" s="43"/>
    </row>
    <row r="901" spans="9:16" x14ac:dyDescent="0.25">
      <c r="I901" s="22"/>
      <c r="J901" s="22"/>
      <c r="K901" s="22"/>
      <c r="L901" s="22"/>
      <c r="M901" s="22"/>
      <c r="N901" s="22"/>
      <c r="O901" s="16"/>
      <c r="P901" s="43"/>
    </row>
    <row r="902" spans="9:16" x14ac:dyDescent="0.25">
      <c r="I902" s="22"/>
      <c r="J902" s="22"/>
      <c r="K902" s="22"/>
      <c r="L902" s="22"/>
      <c r="M902" s="22"/>
      <c r="N902" s="22"/>
      <c r="O902" s="16"/>
      <c r="P902" s="43"/>
    </row>
    <row r="903" spans="9:16" x14ac:dyDescent="0.25">
      <c r="I903" s="22"/>
      <c r="J903" s="22"/>
      <c r="K903" s="22"/>
      <c r="L903" s="22"/>
      <c r="M903" s="22"/>
      <c r="N903" s="22"/>
      <c r="O903" s="16"/>
      <c r="P903" s="43"/>
    </row>
    <row r="904" spans="9:16" x14ac:dyDescent="0.25">
      <c r="I904" s="22"/>
      <c r="J904" s="22"/>
      <c r="K904" s="22"/>
      <c r="L904" s="22"/>
      <c r="M904" s="22"/>
      <c r="N904" s="22"/>
      <c r="O904" s="16"/>
      <c r="P904" s="43"/>
    </row>
    <row r="905" spans="9:16" x14ac:dyDescent="0.25">
      <c r="I905" s="22"/>
      <c r="J905" s="22"/>
      <c r="K905" s="22"/>
      <c r="L905" s="22"/>
      <c r="M905" s="22"/>
      <c r="N905" s="22"/>
      <c r="O905" s="16"/>
      <c r="P905" s="43"/>
    </row>
    <row r="906" spans="9:16" x14ac:dyDescent="0.25">
      <c r="I906" s="22"/>
      <c r="J906" s="22"/>
      <c r="K906" s="22"/>
      <c r="L906" s="22"/>
      <c r="M906" s="22"/>
      <c r="N906" s="22"/>
      <c r="O906" s="16"/>
      <c r="P906" s="43"/>
    </row>
    <row r="907" spans="9:16" x14ac:dyDescent="0.25">
      <c r="I907" s="22"/>
      <c r="J907" s="22"/>
      <c r="K907" s="22"/>
      <c r="L907" s="22"/>
      <c r="M907" s="22"/>
      <c r="N907" s="22"/>
      <c r="O907" s="16"/>
      <c r="P907" s="43"/>
    </row>
    <row r="908" spans="9:16" x14ac:dyDescent="0.25">
      <c r="I908" s="22"/>
      <c r="J908" s="22"/>
      <c r="K908" s="22"/>
      <c r="L908" s="22"/>
      <c r="M908" s="22"/>
      <c r="N908" s="22"/>
      <c r="O908" s="16"/>
      <c r="P908" s="43"/>
    </row>
    <row r="909" spans="9:16" x14ac:dyDescent="0.25">
      <c r="I909" s="22"/>
      <c r="J909" s="22"/>
      <c r="K909" s="22"/>
      <c r="L909" s="22"/>
      <c r="M909" s="22"/>
      <c r="N909" s="22"/>
      <c r="O909" s="16"/>
      <c r="P909" s="43"/>
    </row>
    <row r="910" spans="9:16" x14ac:dyDescent="0.25">
      <c r="I910" s="22"/>
      <c r="J910" s="22"/>
      <c r="K910" s="22"/>
      <c r="L910" s="22"/>
      <c r="M910" s="22"/>
      <c r="N910" s="22"/>
      <c r="O910" s="16"/>
      <c r="P910" s="43"/>
    </row>
    <row r="911" spans="9:16" x14ac:dyDescent="0.25">
      <c r="I911" s="22"/>
      <c r="J911" s="22"/>
      <c r="K911" s="22"/>
      <c r="L911" s="22"/>
      <c r="M911" s="22"/>
      <c r="N911" s="22"/>
      <c r="O911" s="16"/>
      <c r="P911" s="43"/>
    </row>
    <row r="912" spans="9:16" x14ac:dyDescent="0.25">
      <c r="I912" s="22"/>
      <c r="J912" s="22"/>
      <c r="K912" s="22"/>
      <c r="L912" s="22"/>
      <c r="M912" s="22"/>
      <c r="N912" s="22"/>
      <c r="O912" s="16"/>
      <c r="P912" s="43"/>
    </row>
    <row r="913" spans="9:16" x14ac:dyDescent="0.25">
      <c r="I913" s="22"/>
      <c r="J913" s="22"/>
      <c r="K913" s="22"/>
      <c r="L913" s="22"/>
      <c r="M913" s="22"/>
      <c r="N913" s="22"/>
      <c r="O913" s="16"/>
      <c r="P913" s="43"/>
    </row>
    <row r="914" spans="9:16" x14ac:dyDescent="0.25">
      <c r="I914" s="22"/>
      <c r="J914" s="22"/>
      <c r="K914" s="22"/>
      <c r="L914" s="22"/>
      <c r="M914" s="22"/>
      <c r="N914" s="22"/>
      <c r="O914" s="16"/>
      <c r="P914" s="43"/>
    </row>
    <row r="915" spans="9:16" x14ac:dyDescent="0.25">
      <c r="I915" s="22"/>
      <c r="J915" s="22"/>
      <c r="K915" s="22"/>
      <c r="L915" s="22"/>
      <c r="M915" s="22"/>
      <c r="N915" s="22"/>
      <c r="O915" s="16"/>
      <c r="P915" s="43"/>
    </row>
    <row r="916" spans="9:16" x14ac:dyDescent="0.25">
      <c r="I916" s="22"/>
      <c r="J916" s="22"/>
      <c r="K916" s="22"/>
      <c r="L916" s="22"/>
      <c r="M916" s="22"/>
      <c r="N916" s="22"/>
      <c r="O916" s="16"/>
      <c r="P916" s="43"/>
    </row>
    <row r="917" spans="9:16" x14ac:dyDescent="0.25">
      <c r="I917" s="22"/>
      <c r="J917" s="22"/>
      <c r="K917" s="22"/>
      <c r="L917" s="22"/>
      <c r="M917" s="22"/>
      <c r="N917" s="22"/>
      <c r="O917" s="16"/>
      <c r="P917" s="43"/>
    </row>
    <row r="918" spans="9:16" x14ac:dyDescent="0.25">
      <c r="I918" s="22"/>
      <c r="J918" s="22"/>
      <c r="K918" s="22"/>
      <c r="L918" s="22"/>
      <c r="M918" s="22"/>
      <c r="N918" s="22"/>
      <c r="O918" s="16"/>
      <c r="P918" s="43"/>
    </row>
    <row r="919" spans="9:16" x14ac:dyDescent="0.25">
      <c r="I919" s="22"/>
      <c r="J919" s="22"/>
      <c r="K919" s="22"/>
      <c r="L919" s="22"/>
      <c r="M919" s="22"/>
      <c r="N919" s="22"/>
      <c r="O919" s="16"/>
      <c r="P919" s="43"/>
    </row>
    <row r="920" spans="9:16" x14ac:dyDescent="0.25">
      <c r="I920" s="22"/>
      <c r="J920" s="22"/>
      <c r="K920" s="22"/>
      <c r="L920" s="22"/>
      <c r="M920" s="22"/>
      <c r="N920" s="22"/>
      <c r="O920" s="16"/>
      <c r="P920" s="43"/>
    </row>
    <row r="921" spans="9:16" x14ac:dyDescent="0.25">
      <c r="I921" s="22"/>
      <c r="J921" s="22"/>
      <c r="K921" s="22"/>
      <c r="L921" s="22"/>
      <c r="M921" s="22"/>
      <c r="N921" s="22"/>
      <c r="O921" s="16"/>
      <c r="P921" s="43"/>
    </row>
    <row r="922" spans="9:16" x14ac:dyDescent="0.25">
      <c r="I922" s="22"/>
      <c r="J922" s="22"/>
      <c r="K922" s="22"/>
      <c r="L922" s="22"/>
      <c r="M922" s="22"/>
      <c r="N922" s="22"/>
      <c r="O922" s="16"/>
      <c r="P922" s="43"/>
    </row>
    <row r="923" spans="9:16" x14ac:dyDescent="0.25">
      <c r="I923" s="22"/>
      <c r="J923" s="22"/>
      <c r="K923" s="22"/>
      <c r="L923" s="22"/>
      <c r="M923" s="22"/>
      <c r="N923" s="22"/>
      <c r="O923" s="16"/>
      <c r="P923" s="43"/>
    </row>
    <row r="924" spans="9:16" x14ac:dyDescent="0.25">
      <c r="I924" s="22"/>
      <c r="J924" s="22"/>
      <c r="K924" s="22"/>
      <c r="L924" s="22"/>
      <c r="M924" s="22"/>
      <c r="N924" s="22"/>
      <c r="O924" s="16"/>
      <c r="P924" s="43"/>
    </row>
    <row r="925" spans="9:16" x14ac:dyDescent="0.25">
      <c r="I925" s="22"/>
      <c r="J925" s="22"/>
      <c r="K925" s="22"/>
      <c r="L925" s="22"/>
      <c r="M925" s="22"/>
      <c r="N925" s="22"/>
      <c r="O925" s="16"/>
      <c r="P925" s="43"/>
    </row>
    <row r="926" spans="9:16" x14ac:dyDescent="0.25">
      <c r="I926" s="22"/>
      <c r="J926" s="22"/>
      <c r="K926" s="22"/>
      <c r="L926" s="22"/>
      <c r="M926" s="22"/>
      <c r="N926" s="22"/>
      <c r="O926" s="16"/>
      <c r="P926" s="43"/>
    </row>
    <row r="927" spans="9:16" x14ac:dyDescent="0.25">
      <c r="I927" s="22"/>
      <c r="J927" s="22"/>
      <c r="K927" s="22"/>
      <c r="L927" s="22"/>
      <c r="M927" s="22"/>
      <c r="N927" s="22"/>
      <c r="O927" s="16"/>
      <c r="P927" s="43"/>
    </row>
    <row r="928" spans="9:16" x14ac:dyDescent="0.25">
      <c r="I928" s="22"/>
      <c r="J928" s="22"/>
      <c r="K928" s="22"/>
      <c r="L928" s="22"/>
      <c r="M928" s="22"/>
      <c r="N928" s="22"/>
      <c r="O928" s="16"/>
      <c r="P928" s="43"/>
    </row>
    <row r="929" spans="9:16" x14ac:dyDescent="0.25">
      <c r="I929" s="22"/>
      <c r="J929" s="22"/>
      <c r="K929" s="22"/>
      <c r="L929" s="22"/>
      <c r="M929" s="22"/>
      <c r="N929" s="22"/>
      <c r="O929" s="16"/>
      <c r="P929" s="43"/>
    </row>
    <row r="930" spans="9:16" x14ac:dyDescent="0.25">
      <c r="I930" s="22"/>
      <c r="J930" s="22"/>
      <c r="K930" s="22"/>
      <c r="L930" s="22"/>
      <c r="M930" s="22"/>
      <c r="N930" s="22"/>
      <c r="O930" s="16"/>
      <c r="P930" s="43"/>
    </row>
    <row r="931" spans="9:16" x14ac:dyDescent="0.25">
      <c r="I931" s="22"/>
      <c r="J931" s="22"/>
      <c r="K931" s="22"/>
      <c r="L931" s="22"/>
      <c r="M931" s="22"/>
      <c r="N931" s="22"/>
      <c r="O931" s="16"/>
      <c r="P931" s="43"/>
    </row>
    <row r="932" spans="9:16" x14ac:dyDescent="0.25">
      <c r="I932" s="22"/>
      <c r="J932" s="22"/>
      <c r="K932" s="22"/>
      <c r="L932" s="22"/>
      <c r="M932" s="22"/>
      <c r="N932" s="22"/>
      <c r="O932" s="16"/>
      <c r="P932" s="43"/>
    </row>
    <row r="933" spans="9:16" x14ac:dyDescent="0.25">
      <c r="I933" s="22"/>
      <c r="J933" s="22"/>
      <c r="K933" s="22"/>
      <c r="L933" s="22"/>
      <c r="M933" s="22"/>
      <c r="N933" s="22"/>
      <c r="O933" s="16"/>
      <c r="P933" s="43"/>
    </row>
    <row r="934" spans="9:16" x14ac:dyDescent="0.25">
      <c r="I934" s="22"/>
      <c r="J934" s="22"/>
      <c r="K934" s="22"/>
      <c r="L934" s="22"/>
      <c r="M934" s="22"/>
      <c r="N934" s="22"/>
      <c r="O934" s="16"/>
      <c r="P934" s="43"/>
    </row>
    <row r="935" spans="9:16" x14ac:dyDescent="0.25">
      <c r="I935" s="22"/>
      <c r="J935" s="22"/>
      <c r="K935" s="22"/>
      <c r="L935" s="22"/>
      <c r="M935" s="22"/>
      <c r="N935" s="22"/>
      <c r="O935" s="16"/>
      <c r="P935" s="43"/>
    </row>
    <row r="936" spans="9:16" x14ac:dyDescent="0.25">
      <c r="I936" s="22"/>
      <c r="J936" s="22"/>
      <c r="K936" s="22"/>
      <c r="L936" s="22"/>
      <c r="M936" s="22"/>
      <c r="N936" s="22"/>
      <c r="O936" s="16"/>
      <c r="P936" s="43"/>
    </row>
    <row r="937" spans="9:16" x14ac:dyDescent="0.25">
      <c r="I937" s="22"/>
      <c r="J937" s="22"/>
      <c r="K937" s="22"/>
      <c r="L937" s="22"/>
      <c r="M937" s="22"/>
      <c r="N937" s="22"/>
      <c r="O937" s="16"/>
      <c r="P937" s="43"/>
    </row>
    <row r="938" spans="9:16" x14ac:dyDescent="0.25">
      <c r="I938" s="22"/>
      <c r="J938" s="22"/>
      <c r="K938" s="22"/>
      <c r="L938" s="22"/>
      <c r="M938" s="22"/>
      <c r="N938" s="22"/>
      <c r="O938" s="16"/>
      <c r="P938" s="43"/>
    </row>
    <row r="939" spans="9:16" x14ac:dyDescent="0.25">
      <c r="I939" s="22"/>
      <c r="J939" s="22"/>
      <c r="K939" s="22"/>
      <c r="L939" s="22"/>
      <c r="M939" s="22"/>
      <c r="N939" s="22"/>
      <c r="O939" s="16"/>
      <c r="P939" s="43"/>
    </row>
    <row r="940" spans="9:16" x14ac:dyDescent="0.25">
      <c r="I940" s="22"/>
      <c r="J940" s="22"/>
      <c r="K940" s="22"/>
      <c r="L940" s="22"/>
      <c r="M940" s="22"/>
      <c r="N940" s="22"/>
      <c r="O940" s="16"/>
      <c r="P940" s="43"/>
    </row>
    <row r="941" spans="9:16" x14ac:dyDescent="0.25">
      <c r="I941" s="22"/>
      <c r="J941" s="22"/>
      <c r="K941" s="22"/>
      <c r="L941" s="22"/>
      <c r="M941" s="22"/>
      <c r="N941" s="22"/>
      <c r="O941" s="16"/>
      <c r="P941" s="43"/>
    </row>
    <row r="942" spans="9:16" x14ac:dyDescent="0.25">
      <c r="I942" s="22"/>
      <c r="J942" s="22"/>
      <c r="K942" s="22"/>
      <c r="L942" s="22"/>
      <c r="M942" s="22"/>
      <c r="N942" s="22"/>
      <c r="O942" s="16"/>
      <c r="P942" s="43"/>
    </row>
    <row r="943" spans="9:16" x14ac:dyDescent="0.25">
      <c r="I943" s="22"/>
      <c r="J943" s="22"/>
      <c r="K943" s="22"/>
      <c r="L943" s="22"/>
      <c r="M943" s="22"/>
      <c r="N943" s="22"/>
      <c r="O943" s="16"/>
      <c r="P943" s="43"/>
    </row>
    <row r="944" spans="9:16" x14ac:dyDescent="0.25">
      <c r="I944" s="22"/>
      <c r="J944" s="22"/>
      <c r="K944" s="22"/>
      <c r="L944" s="22"/>
      <c r="M944" s="22"/>
      <c r="N944" s="22"/>
      <c r="O944" s="16"/>
      <c r="P944" s="43"/>
    </row>
    <row r="945" spans="9:16" x14ac:dyDescent="0.25">
      <c r="I945" s="22"/>
      <c r="J945" s="22"/>
      <c r="K945" s="22"/>
      <c r="L945" s="22"/>
      <c r="M945" s="22"/>
      <c r="N945" s="22"/>
      <c r="O945" s="16"/>
      <c r="P945" s="43"/>
    </row>
    <row r="946" spans="9:16" x14ac:dyDescent="0.25">
      <c r="I946" s="22"/>
      <c r="J946" s="22"/>
      <c r="K946" s="22"/>
      <c r="L946" s="22"/>
      <c r="M946" s="22"/>
      <c r="N946" s="22"/>
      <c r="O946" s="16"/>
      <c r="P946" s="43"/>
    </row>
    <row r="947" spans="9:16" x14ac:dyDescent="0.25">
      <c r="I947" s="22"/>
      <c r="J947" s="22"/>
      <c r="K947" s="22"/>
      <c r="L947" s="22"/>
      <c r="M947" s="22"/>
      <c r="N947" s="22"/>
      <c r="O947" s="16"/>
      <c r="P947" s="43"/>
    </row>
    <row r="948" spans="9:16" x14ac:dyDescent="0.25">
      <c r="I948" s="22"/>
      <c r="J948" s="22"/>
      <c r="K948" s="22"/>
      <c r="L948" s="22"/>
      <c r="M948" s="22"/>
      <c r="N948" s="22"/>
      <c r="O948" s="16"/>
      <c r="P948" s="43"/>
    </row>
    <row r="949" spans="9:16" x14ac:dyDescent="0.25">
      <c r="I949" s="22"/>
      <c r="J949" s="22"/>
      <c r="K949" s="22"/>
      <c r="L949" s="22"/>
      <c r="M949" s="22"/>
      <c r="N949" s="22"/>
      <c r="O949" s="16"/>
      <c r="P949" s="43"/>
    </row>
    <row r="950" spans="9:16" x14ac:dyDescent="0.25">
      <c r="I950" s="22"/>
      <c r="J950" s="22"/>
      <c r="K950" s="22"/>
      <c r="L950" s="22"/>
      <c r="M950" s="22"/>
      <c r="N950" s="22"/>
      <c r="O950" s="16"/>
      <c r="P950" s="43"/>
    </row>
    <row r="951" spans="9:16" x14ac:dyDescent="0.25">
      <c r="I951" s="22"/>
      <c r="J951" s="22"/>
      <c r="K951" s="22"/>
      <c r="L951" s="22"/>
      <c r="M951" s="22"/>
      <c r="N951" s="22"/>
      <c r="O951" s="16"/>
      <c r="P951" s="43"/>
    </row>
    <row r="952" spans="9:16" x14ac:dyDescent="0.25">
      <c r="I952" s="22"/>
      <c r="J952" s="22"/>
      <c r="K952" s="22"/>
      <c r="L952" s="22"/>
      <c r="M952" s="22"/>
      <c r="N952" s="22"/>
      <c r="O952" s="16"/>
      <c r="P952" s="43"/>
    </row>
    <row r="953" spans="9:16" x14ac:dyDescent="0.25">
      <c r="I953" s="22"/>
      <c r="J953" s="22"/>
      <c r="K953" s="22"/>
      <c r="L953" s="22"/>
      <c r="M953" s="22"/>
      <c r="N953" s="22"/>
      <c r="O953" s="16"/>
      <c r="P953" s="43"/>
    </row>
    <row r="954" spans="9:16" x14ac:dyDescent="0.25">
      <c r="I954" s="22"/>
      <c r="J954" s="22"/>
      <c r="K954" s="22"/>
      <c r="L954" s="22"/>
      <c r="M954" s="22"/>
      <c r="N954" s="22"/>
      <c r="O954" s="16"/>
      <c r="P954" s="43"/>
    </row>
    <row r="955" spans="9:16" x14ac:dyDescent="0.25">
      <c r="I955" s="22"/>
      <c r="J955" s="22"/>
      <c r="K955" s="22"/>
      <c r="L955" s="22"/>
      <c r="M955" s="22"/>
      <c r="N955" s="22"/>
      <c r="O955" s="16"/>
      <c r="P955" s="43"/>
    </row>
    <row r="956" spans="9:16" x14ac:dyDescent="0.25">
      <c r="I956" s="22"/>
      <c r="J956" s="22"/>
      <c r="K956" s="22"/>
      <c r="L956" s="22"/>
      <c r="M956" s="22"/>
      <c r="N956" s="22"/>
      <c r="O956" s="16"/>
      <c r="P956" s="43"/>
    </row>
    <row r="957" spans="9:16" x14ac:dyDescent="0.25">
      <c r="I957" s="22"/>
      <c r="J957" s="22"/>
      <c r="K957" s="22"/>
      <c r="L957" s="22"/>
      <c r="M957" s="22"/>
      <c r="N957" s="22"/>
      <c r="O957" s="16"/>
      <c r="P957" s="43"/>
    </row>
    <row r="958" spans="9:16" x14ac:dyDescent="0.25">
      <c r="I958" s="22"/>
      <c r="J958" s="22"/>
      <c r="K958" s="22"/>
      <c r="L958" s="22"/>
      <c r="M958" s="22"/>
      <c r="N958" s="22"/>
      <c r="O958" s="16"/>
      <c r="P958" s="43"/>
    </row>
    <row r="959" spans="9:16" x14ac:dyDescent="0.25">
      <c r="I959" s="22"/>
      <c r="J959" s="22"/>
      <c r="K959" s="22"/>
      <c r="L959" s="22"/>
      <c r="M959" s="22"/>
      <c r="N959" s="22"/>
      <c r="O959" s="16"/>
      <c r="P959" s="43"/>
    </row>
    <row r="960" spans="9:16" x14ac:dyDescent="0.25">
      <c r="I960" s="22"/>
      <c r="J960" s="22"/>
      <c r="K960" s="22"/>
      <c r="L960" s="22"/>
      <c r="M960" s="22"/>
      <c r="N960" s="22"/>
      <c r="O960" s="16"/>
      <c r="P960" s="43"/>
    </row>
    <row r="961" spans="9:16" x14ac:dyDescent="0.25">
      <c r="I961" s="22"/>
      <c r="J961" s="22"/>
      <c r="K961" s="22"/>
      <c r="L961" s="22"/>
      <c r="M961" s="22"/>
      <c r="N961" s="22"/>
      <c r="O961" s="16"/>
      <c r="P961" s="43"/>
    </row>
    <row r="962" spans="9:16" x14ac:dyDescent="0.25">
      <c r="I962" s="22"/>
      <c r="J962" s="22"/>
      <c r="K962" s="22"/>
      <c r="L962" s="22"/>
      <c r="M962" s="22"/>
      <c r="N962" s="22"/>
      <c r="O962" s="16"/>
      <c r="P962" s="43"/>
    </row>
    <row r="963" spans="9:16" x14ac:dyDescent="0.25">
      <c r="I963" s="22"/>
      <c r="J963" s="22"/>
      <c r="K963" s="22"/>
      <c r="L963" s="22"/>
      <c r="M963" s="22"/>
      <c r="N963" s="22"/>
      <c r="O963" s="16"/>
      <c r="P963" s="43"/>
    </row>
    <row r="964" spans="9:16" x14ac:dyDescent="0.25">
      <c r="I964" s="22"/>
      <c r="J964" s="22"/>
      <c r="K964" s="22"/>
      <c r="L964" s="22"/>
      <c r="M964" s="22"/>
      <c r="N964" s="22"/>
      <c r="O964" s="16"/>
      <c r="P964" s="43"/>
    </row>
    <row r="965" spans="9:16" x14ac:dyDescent="0.25">
      <c r="I965" s="22"/>
      <c r="J965" s="22"/>
      <c r="K965" s="22"/>
      <c r="L965" s="22"/>
      <c r="M965" s="22"/>
      <c r="N965" s="22"/>
      <c r="O965" s="16"/>
      <c r="P965" s="43"/>
    </row>
    <row r="966" spans="9:16" x14ac:dyDescent="0.25">
      <c r="I966" s="22"/>
      <c r="J966" s="22"/>
      <c r="K966" s="22"/>
      <c r="L966" s="22"/>
      <c r="M966" s="22"/>
      <c r="N966" s="22"/>
      <c r="O966" s="16"/>
      <c r="P966" s="43"/>
    </row>
    <row r="967" spans="9:16" x14ac:dyDescent="0.25">
      <c r="I967" s="22"/>
      <c r="J967" s="22"/>
      <c r="K967" s="22"/>
      <c r="L967" s="22"/>
      <c r="M967" s="22"/>
      <c r="N967" s="22"/>
      <c r="O967" s="16"/>
      <c r="P967" s="43"/>
    </row>
    <row r="968" spans="9:16" x14ac:dyDescent="0.25">
      <c r="I968" s="22"/>
      <c r="J968" s="22"/>
      <c r="K968" s="22"/>
      <c r="L968" s="22"/>
      <c r="M968" s="22"/>
      <c r="N968" s="22"/>
      <c r="O968" s="16"/>
      <c r="P968" s="43"/>
    </row>
    <row r="969" spans="9:16" x14ac:dyDescent="0.25">
      <c r="I969" s="22"/>
      <c r="J969" s="22"/>
      <c r="K969" s="22"/>
      <c r="L969" s="22"/>
      <c r="M969" s="22"/>
      <c r="N969" s="22"/>
      <c r="O969" s="16"/>
      <c r="P969" s="43"/>
    </row>
    <row r="970" spans="9:16" x14ac:dyDescent="0.25">
      <c r="I970" s="22"/>
      <c r="J970" s="22"/>
      <c r="K970" s="22"/>
      <c r="L970" s="22"/>
      <c r="M970" s="22"/>
      <c r="N970" s="22"/>
      <c r="O970" s="16"/>
      <c r="P970" s="43"/>
    </row>
    <row r="971" spans="9:16" x14ac:dyDescent="0.25">
      <c r="I971" s="22"/>
      <c r="J971" s="22"/>
      <c r="K971" s="22"/>
      <c r="L971" s="22"/>
      <c r="M971" s="22"/>
      <c r="N971" s="22"/>
      <c r="O971" s="16"/>
      <c r="P971" s="43"/>
    </row>
    <row r="972" spans="9:16" x14ac:dyDescent="0.25">
      <c r="I972" s="22"/>
      <c r="J972" s="22"/>
      <c r="K972" s="22"/>
      <c r="L972" s="22"/>
      <c r="M972" s="22"/>
      <c r="N972" s="22"/>
      <c r="O972" s="16"/>
      <c r="P972" s="43"/>
    </row>
    <row r="973" spans="9:16" x14ac:dyDescent="0.25">
      <c r="I973" s="22"/>
      <c r="J973" s="22"/>
      <c r="K973" s="22"/>
      <c r="L973" s="22"/>
      <c r="M973" s="22"/>
      <c r="N973" s="22"/>
      <c r="O973" s="16"/>
      <c r="P973" s="43"/>
    </row>
    <row r="974" spans="9:16" x14ac:dyDescent="0.25">
      <c r="I974" s="22"/>
      <c r="J974" s="22"/>
      <c r="K974" s="22"/>
      <c r="L974" s="22"/>
      <c r="M974" s="22"/>
      <c r="N974" s="22"/>
      <c r="O974" s="16"/>
      <c r="P974" s="43"/>
    </row>
    <row r="975" spans="9:16" x14ac:dyDescent="0.25">
      <c r="I975" s="22"/>
      <c r="J975" s="22"/>
      <c r="K975" s="22"/>
      <c r="L975" s="22"/>
      <c r="M975" s="22"/>
      <c r="N975" s="22"/>
      <c r="O975" s="16"/>
      <c r="P975" s="43"/>
    </row>
    <row r="976" spans="9:16" x14ac:dyDescent="0.25">
      <c r="I976" s="22"/>
      <c r="J976" s="22"/>
      <c r="K976" s="22"/>
      <c r="L976" s="22"/>
      <c r="M976" s="22"/>
      <c r="N976" s="22"/>
      <c r="O976" s="16"/>
      <c r="P976" s="43"/>
    </row>
    <row r="977" spans="9:16" x14ac:dyDescent="0.25">
      <c r="I977" s="22"/>
      <c r="J977" s="22"/>
      <c r="K977" s="22"/>
      <c r="L977" s="22"/>
      <c r="M977" s="22"/>
      <c r="N977" s="22"/>
      <c r="O977" s="16"/>
      <c r="P977" s="43"/>
    </row>
    <row r="978" spans="9:16" x14ac:dyDescent="0.25">
      <c r="I978" s="22"/>
      <c r="J978" s="22"/>
      <c r="K978" s="22"/>
      <c r="L978" s="22"/>
      <c r="M978" s="22"/>
      <c r="N978" s="22"/>
      <c r="O978" s="16"/>
      <c r="P978" s="43"/>
    </row>
    <row r="979" spans="9:16" x14ac:dyDescent="0.25">
      <c r="I979" s="22"/>
      <c r="J979" s="22"/>
      <c r="K979" s="22"/>
      <c r="L979" s="22"/>
      <c r="M979" s="22"/>
      <c r="N979" s="22"/>
      <c r="O979" s="16"/>
      <c r="P979" s="43"/>
    </row>
    <row r="980" spans="9:16" x14ac:dyDescent="0.25">
      <c r="I980" s="22"/>
      <c r="J980" s="22"/>
      <c r="K980" s="22"/>
      <c r="L980" s="22"/>
      <c r="M980" s="22"/>
      <c r="N980" s="22"/>
      <c r="O980" s="16"/>
      <c r="P980" s="43"/>
    </row>
    <row r="981" spans="9:16" x14ac:dyDescent="0.25">
      <c r="I981" s="22"/>
      <c r="J981" s="22"/>
      <c r="K981" s="22"/>
      <c r="L981" s="22"/>
      <c r="M981" s="22"/>
      <c r="N981" s="22"/>
      <c r="O981" s="16"/>
      <c r="P981" s="43"/>
    </row>
    <row r="982" spans="9:16" x14ac:dyDescent="0.25">
      <c r="I982" s="22"/>
      <c r="J982" s="22"/>
      <c r="K982" s="22"/>
      <c r="L982" s="22"/>
      <c r="M982" s="22"/>
      <c r="N982" s="22"/>
      <c r="O982" s="16"/>
      <c r="P982" s="43"/>
    </row>
    <row r="983" spans="9:16" x14ac:dyDescent="0.25">
      <c r="I983" s="22"/>
      <c r="J983" s="22"/>
      <c r="K983" s="22"/>
      <c r="L983" s="22"/>
      <c r="M983" s="22"/>
      <c r="N983" s="22"/>
      <c r="O983" s="16"/>
      <c r="P983" s="43"/>
    </row>
    <row r="984" spans="9:16" x14ac:dyDescent="0.25">
      <c r="I984" s="22"/>
      <c r="J984" s="22"/>
      <c r="K984" s="22"/>
      <c r="L984" s="22"/>
      <c r="M984" s="22"/>
      <c r="N984" s="22"/>
      <c r="O984" s="16"/>
      <c r="P984" s="43"/>
    </row>
    <row r="985" spans="9:16" x14ac:dyDescent="0.25">
      <c r="I985" s="22"/>
      <c r="J985" s="22"/>
      <c r="K985" s="22"/>
      <c r="L985" s="22"/>
      <c r="M985" s="22"/>
      <c r="N985" s="22"/>
      <c r="O985" s="16"/>
      <c r="P985" s="43"/>
    </row>
    <row r="986" spans="9:16" x14ac:dyDescent="0.25">
      <c r="I986" s="22"/>
      <c r="J986" s="22"/>
      <c r="K986" s="22"/>
      <c r="L986" s="22"/>
      <c r="M986" s="22"/>
      <c r="N986" s="22"/>
      <c r="O986" s="16"/>
      <c r="P986" s="43"/>
    </row>
    <row r="987" spans="9:16" x14ac:dyDescent="0.25">
      <c r="I987" s="22"/>
      <c r="J987" s="22"/>
      <c r="K987" s="22"/>
      <c r="L987" s="22"/>
      <c r="M987" s="22"/>
      <c r="N987" s="22"/>
      <c r="O987" s="16"/>
      <c r="P987" s="43"/>
    </row>
    <row r="988" spans="9:16" x14ac:dyDescent="0.25">
      <c r="I988" s="22"/>
      <c r="J988" s="22"/>
      <c r="K988" s="22"/>
      <c r="L988" s="22"/>
      <c r="M988" s="22"/>
      <c r="N988" s="22"/>
      <c r="O988" s="16"/>
      <c r="P988" s="43"/>
    </row>
    <row r="989" spans="9:16" x14ac:dyDescent="0.25">
      <c r="I989" s="22"/>
      <c r="J989" s="22"/>
      <c r="K989" s="22"/>
      <c r="L989" s="22"/>
      <c r="M989" s="22"/>
      <c r="N989" s="22"/>
      <c r="O989" s="16"/>
      <c r="P989" s="43"/>
    </row>
    <row r="990" spans="9:16" x14ac:dyDescent="0.25">
      <c r="I990" s="22"/>
      <c r="J990" s="22"/>
      <c r="K990" s="22"/>
      <c r="L990" s="22"/>
      <c r="M990" s="22"/>
      <c r="N990" s="22"/>
      <c r="O990" s="16"/>
      <c r="P990" s="43"/>
    </row>
    <row r="991" spans="9:16" x14ac:dyDescent="0.25">
      <c r="I991" s="22"/>
      <c r="J991" s="22"/>
      <c r="K991" s="22"/>
      <c r="L991" s="22"/>
      <c r="M991" s="22"/>
      <c r="N991" s="22"/>
      <c r="O991" s="16"/>
      <c r="P991" s="43"/>
    </row>
    <row r="992" spans="9:16" x14ac:dyDescent="0.25">
      <c r="I992" s="22"/>
      <c r="J992" s="22"/>
      <c r="K992" s="22"/>
      <c r="L992" s="22"/>
      <c r="M992" s="22"/>
      <c r="N992" s="22"/>
      <c r="O992" s="16"/>
      <c r="P992" s="43"/>
    </row>
    <row r="993" spans="9:16" x14ac:dyDescent="0.25">
      <c r="I993" s="22"/>
      <c r="J993" s="22"/>
      <c r="K993" s="22"/>
      <c r="L993" s="22"/>
      <c r="M993" s="22"/>
      <c r="N993" s="22"/>
      <c r="O993" s="16"/>
      <c r="P993" s="43"/>
    </row>
    <row r="994" spans="9:16" x14ac:dyDescent="0.25">
      <c r="I994" s="22"/>
      <c r="J994" s="22"/>
      <c r="K994" s="22"/>
      <c r="L994" s="22"/>
      <c r="M994" s="22"/>
      <c r="N994" s="22"/>
      <c r="O994" s="16"/>
      <c r="P994" s="43"/>
    </row>
    <row r="995" spans="9:16" x14ac:dyDescent="0.25">
      <c r="I995" s="22"/>
      <c r="J995" s="22"/>
      <c r="K995" s="22"/>
      <c r="L995" s="22"/>
      <c r="M995" s="22"/>
      <c r="N995" s="22"/>
      <c r="O995" s="16"/>
      <c r="P995" s="43"/>
    </row>
    <row r="996" spans="9:16" x14ac:dyDescent="0.25">
      <c r="I996" s="22"/>
      <c r="J996" s="22"/>
      <c r="K996" s="22"/>
      <c r="L996" s="22"/>
      <c r="M996" s="22"/>
      <c r="N996" s="22"/>
      <c r="O996" s="16"/>
      <c r="P996" s="43"/>
    </row>
    <row r="997" spans="9:16" x14ac:dyDescent="0.25">
      <c r="I997" s="22"/>
      <c r="J997" s="22"/>
      <c r="K997" s="22"/>
      <c r="L997" s="22"/>
      <c r="M997" s="22"/>
      <c r="N997" s="22"/>
      <c r="O997" s="16"/>
      <c r="P997" s="43"/>
    </row>
    <row r="998" spans="9:16" x14ac:dyDescent="0.25">
      <c r="I998" s="22"/>
      <c r="J998" s="22"/>
      <c r="K998" s="22"/>
      <c r="L998" s="22"/>
      <c r="M998" s="22"/>
      <c r="N998" s="22"/>
      <c r="O998" s="16"/>
      <c r="P998" s="43"/>
    </row>
    <row r="999" spans="9:16" x14ac:dyDescent="0.25">
      <c r="I999" s="22"/>
      <c r="J999" s="22"/>
      <c r="K999" s="22"/>
      <c r="L999" s="22"/>
      <c r="M999" s="22"/>
      <c r="N999" s="22"/>
      <c r="O999" s="16"/>
      <c r="P999" s="43"/>
    </row>
    <row r="1000" spans="9:16" x14ac:dyDescent="0.25">
      <c r="I1000" s="22"/>
      <c r="J1000" s="22"/>
      <c r="K1000" s="22"/>
      <c r="L1000" s="22"/>
      <c r="M1000" s="22"/>
      <c r="N1000" s="22"/>
      <c r="O1000" s="16"/>
      <c r="P1000" s="43"/>
    </row>
    <row r="1001" spans="9:16" x14ac:dyDescent="0.25">
      <c r="I1001" s="22"/>
      <c r="J1001" s="22"/>
      <c r="K1001" s="22"/>
      <c r="L1001" s="22"/>
      <c r="M1001" s="22"/>
      <c r="N1001" s="22"/>
      <c r="O1001" s="16"/>
      <c r="P1001" s="43"/>
    </row>
    <row r="1002" spans="9:16" x14ac:dyDescent="0.25">
      <c r="I1002" s="22"/>
      <c r="J1002" s="22"/>
      <c r="K1002" s="22"/>
      <c r="L1002" s="22"/>
      <c r="M1002" s="22"/>
      <c r="N1002" s="22"/>
      <c r="O1002" s="16"/>
      <c r="P1002" s="43"/>
    </row>
    <row r="1003" spans="9:16" x14ac:dyDescent="0.25">
      <c r="I1003" s="22"/>
      <c r="J1003" s="22"/>
      <c r="K1003" s="22"/>
      <c r="L1003" s="22"/>
      <c r="M1003" s="22"/>
      <c r="N1003" s="22"/>
      <c r="O1003" s="16"/>
      <c r="P1003" s="43"/>
    </row>
    <row r="1004" spans="9:16" x14ac:dyDescent="0.25">
      <c r="I1004" s="22"/>
      <c r="J1004" s="22"/>
      <c r="K1004" s="22"/>
      <c r="L1004" s="22"/>
      <c r="M1004" s="22"/>
      <c r="N1004" s="22"/>
      <c r="O1004" s="16"/>
      <c r="P1004" s="43"/>
    </row>
    <row r="1005" spans="9:16" x14ac:dyDescent="0.25">
      <c r="I1005" s="22"/>
      <c r="J1005" s="22"/>
      <c r="K1005" s="22"/>
      <c r="L1005" s="22"/>
      <c r="M1005" s="22"/>
      <c r="N1005" s="22"/>
      <c r="O1005" s="16"/>
      <c r="P1005" s="43"/>
    </row>
    <row r="1006" spans="9:16" x14ac:dyDescent="0.25">
      <c r="I1006" s="22"/>
      <c r="J1006" s="22"/>
      <c r="K1006" s="22"/>
      <c r="L1006" s="22"/>
      <c r="M1006" s="22"/>
      <c r="N1006" s="22"/>
      <c r="O1006" s="16"/>
      <c r="P1006" s="43"/>
    </row>
    <row r="1007" spans="9:16" x14ac:dyDescent="0.25">
      <c r="I1007" s="22"/>
      <c r="J1007" s="22"/>
      <c r="K1007" s="22"/>
      <c r="L1007" s="22"/>
      <c r="M1007" s="22"/>
      <c r="N1007" s="22"/>
      <c r="O1007" s="16"/>
      <c r="P1007" s="43"/>
    </row>
    <row r="1008" spans="9:16" x14ac:dyDescent="0.25">
      <c r="I1008" s="22"/>
      <c r="J1008" s="22"/>
      <c r="K1008" s="22"/>
      <c r="L1008" s="22"/>
      <c r="M1008" s="22"/>
      <c r="N1008" s="22"/>
      <c r="O1008" s="16"/>
      <c r="P1008" s="43"/>
    </row>
    <row r="1009" spans="9:16" x14ac:dyDescent="0.25">
      <c r="I1009" s="22"/>
      <c r="J1009" s="22"/>
      <c r="K1009" s="22"/>
      <c r="L1009" s="22"/>
      <c r="M1009" s="22"/>
      <c r="N1009" s="22"/>
      <c r="O1009" s="16"/>
      <c r="P1009" s="43"/>
    </row>
    <row r="1010" spans="9:16" x14ac:dyDescent="0.25">
      <c r="I1010" s="22"/>
      <c r="J1010" s="22"/>
      <c r="K1010" s="22"/>
      <c r="L1010" s="22"/>
      <c r="M1010" s="22"/>
      <c r="N1010" s="22"/>
      <c r="O1010" s="16"/>
      <c r="P1010" s="43"/>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B6" sqref="B6:D6"/>
    </sheetView>
  </sheetViews>
  <sheetFormatPr defaultRowHeight="15.75" x14ac:dyDescent="0.25"/>
  <cols>
    <col min="1" max="1" width="6.625" style="11" customWidth="1"/>
    <col min="2" max="2" width="17.5" style="17" customWidth="1"/>
    <col min="3" max="3" width="20.125" style="17" customWidth="1"/>
    <col min="4" max="4" width="157.75" style="17" customWidth="1"/>
    <col min="5" max="14" width="17.5" style="17" customWidth="1"/>
    <col min="15" max="16384" width="9" style="17"/>
  </cols>
  <sheetData>
    <row r="1" spans="1:14" s="2" customFormat="1" ht="41.25" customHeight="1" x14ac:dyDescent="0.25">
      <c r="A1" s="101" t="s">
        <v>66</v>
      </c>
      <c r="B1" s="101"/>
      <c r="C1" s="101"/>
    </row>
    <row r="2" spans="1:14" ht="276.75" customHeight="1" x14ac:dyDescent="0.25">
      <c r="A2" s="75">
        <f>IF(ISBLANK(B2),"", MAX(A$1:A1)+1)</f>
        <v>1</v>
      </c>
      <c r="B2" s="107" t="s">
        <v>67</v>
      </c>
      <c r="C2" s="106"/>
      <c r="D2" s="106"/>
      <c r="E2" s="12"/>
      <c r="F2" s="12"/>
      <c r="G2" s="12"/>
      <c r="H2" s="12"/>
      <c r="I2" s="12"/>
      <c r="J2" s="12"/>
      <c r="K2" s="12"/>
      <c r="L2" s="12"/>
      <c r="M2" s="12"/>
      <c r="N2" s="12"/>
    </row>
    <row r="3" spans="1:14" x14ac:dyDescent="0.25">
      <c r="A3" s="75" t="str">
        <f>IF(ISBLANK(B3),"", MAX(A$2:A2)+1)</f>
        <v/>
      </c>
      <c r="B3" s="106"/>
      <c r="C3" s="106"/>
      <c r="D3" s="106"/>
      <c r="E3" s="12"/>
      <c r="F3" s="41"/>
      <c r="G3" s="41"/>
      <c r="H3" s="41"/>
      <c r="I3" s="41"/>
      <c r="J3" s="41"/>
      <c r="K3" s="41" t="s">
        <v>92</v>
      </c>
      <c r="L3" s="41" t="s">
        <v>92</v>
      </c>
      <c r="M3" s="12"/>
      <c r="N3" s="12"/>
    </row>
    <row r="4" spans="1:14" x14ac:dyDescent="0.25">
      <c r="A4" s="75" t="str">
        <f>IF(ISBLANK(B4),"", MAX(A$2:A3)+1)</f>
        <v/>
      </c>
      <c r="B4" s="106"/>
      <c r="C4" s="106"/>
      <c r="D4" s="106"/>
      <c r="E4" s="19"/>
      <c r="F4" s="19"/>
      <c r="G4" s="19"/>
      <c r="H4" s="19"/>
      <c r="I4" s="19"/>
      <c r="J4" s="19"/>
      <c r="K4" s="19"/>
      <c r="L4" s="19"/>
      <c r="M4" s="12"/>
      <c r="N4" s="12"/>
    </row>
    <row r="5" spans="1:14" x14ac:dyDescent="0.25">
      <c r="A5" s="75" t="str">
        <f>IF(ISBLANK(B5),"", MAX(A$2:A4)+1)</f>
        <v/>
      </c>
      <c r="B5" s="106"/>
      <c r="C5" s="106"/>
      <c r="D5" s="106"/>
      <c r="E5" s="19"/>
      <c r="F5" s="19"/>
      <c r="G5" s="19"/>
      <c r="H5" s="19"/>
      <c r="I5" s="19"/>
      <c r="J5" s="19"/>
      <c r="K5" s="19"/>
      <c r="L5" s="19"/>
      <c r="M5" s="12"/>
      <c r="N5" s="12"/>
    </row>
    <row r="6" spans="1:14" x14ac:dyDescent="0.25">
      <c r="A6" s="75" t="str">
        <f>IF(ISBLANK(B6),"", MAX(A$2:A5)+1)</f>
        <v/>
      </c>
      <c r="B6" s="106"/>
      <c r="C6" s="106"/>
      <c r="D6" s="106"/>
      <c r="E6" s="19"/>
      <c r="F6" s="19"/>
      <c r="G6" s="19"/>
      <c r="H6" s="19"/>
      <c r="I6" s="19"/>
      <c r="J6" s="19"/>
      <c r="K6" s="19"/>
      <c r="L6" s="19"/>
      <c r="M6" s="12"/>
      <c r="N6" s="12"/>
    </row>
    <row r="7" spans="1:14" x14ac:dyDescent="0.25">
      <c r="A7" s="75" t="str">
        <f>IF(ISBLANK(B7),"", MAX(A$2:A6)+1)</f>
        <v/>
      </c>
      <c r="B7" s="106"/>
      <c r="C7" s="106"/>
      <c r="D7" s="106"/>
      <c r="E7" s="19"/>
      <c r="F7" s="19"/>
      <c r="G7" s="19"/>
      <c r="H7" s="19"/>
      <c r="I7" s="19"/>
      <c r="J7" s="19"/>
      <c r="K7" s="19"/>
      <c r="L7" s="19"/>
      <c r="M7" s="12"/>
      <c r="N7" s="12"/>
    </row>
    <row r="8" spans="1:14" x14ac:dyDescent="0.25">
      <c r="A8" s="75" t="str">
        <f>IF(ISBLANK(B8),"", MAX(A$2:A7)+1)</f>
        <v/>
      </c>
      <c r="B8" s="106"/>
      <c r="C8" s="106"/>
      <c r="D8" s="106"/>
      <c r="E8" s="19"/>
      <c r="F8" s="19"/>
      <c r="G8" s="19"/>
      <c r="H8" s="19"/>
      <c r="I8" s="19"/>
      <c r="J8" s="19"/>
      <c r="K8" s="19"/>
      <c r="L8" s="19"/>
      <c r="M8" s="12"/>
      <c r="N8" s="12"/>
    </row>
    <row r="9" spans="1:14" x14ac:dyDescent="0.25">
      <c r="A9" s="75" t="str">
        <f>IF(ISBLANK(B9),"", MAX(A$2:A8)+1)</f>
        <v/>
      </c>
      <c r="B9" s="106"/>
      <c r="C9" s="106"/>
      <c r="D9" s="106"/>
      <c r="E9" s="19"/>
      <c r="F9" s="19"/>
      <c r="G9" s="19"/>
      <c r="H9" s="19"/>
      <c r="I9" s="19"/>
      <c r="J9" s="19"/>
      <c r="K9" s="19"/>
      <c r="L9" s="19"/>
      <c r="M9" s="12"/>
      <c r="N9" s="12"/>
    </row>
    <row r="10" spans="1:14" x14ac:dyDescent="0.25">
      <c r="A10" s="75" t="str">
        <f>IF(ISBLANK(B10),"", MAX(A$2:A9)+1)</f>
        <v/>
      </c>
      <c r="B10" s="106"/>
      <c r="C10" s="106"/>
      <c r="D10" s="106"/>
      <c r="E10" s="19"/>
      <c r="F10" s="19"/>
      <c r="G10" s="19"/>
      <c r="H10" s="19"/>
      <c r="I10" s="19"/>
      <c r="J10" s="19"/>
      <c r="K10" s="12"/>
      <c r="L10" s="12"/>
      <c r="M10" s="12"/>
      <c r="N10" s="12"/>
    </row>
    <row r="11" spans="1:14" x14ac:dyDescent="0.25">
      <c r="A11" s="75" t="str">
        <f>IF(ISBLANK(B11),"", MAX(A$2:A10)+1)</f>
        <v/>
      </c>
      <c r="B11" s="106"/>
      <c r="C11" s="106"/>
      <c r="D11" s="106"/>
      <c r="E11" s="19"/>
      <c r="F11" s="19"/>
      <c r="G11" s="19"/>
      <c r="H11" s="19"/>
      <c r="I11" s="19"/>
      <c r="J11" s="19"/>
      <c r="K11" s="12"/>
      <c r="L11" s="12"/>
      <c r="M11" s="12"/>
      <c r="N11" s="12"/>
    </row>
    <row r="12" spans="1:14" x14ac:dyDescent="0.25">
      <c r="A12" s="75" t="str">
        <f>IF(ISBLANK(B12),"", MAX(A$2:A11)+1)</f>
        <v/>
      </c>
      <c r="B12" s="106"/>
      <c r="C12" s="106"/>
      <c r="D12" s="106"/>
      <c r="E12" s="19"/>
      <c r="F12" s="19"/>
      <c r="G12" s="19"/>
      <c r="H12" s="19"/>
      <c r="I12" s="19"/>
      <c r="J12" s="19"/>
      <c r="K12" s="12"/>
      <c r="L12" s="12"/>
      <c r="M12" s="12"/>
      <c r="N12" s="12"/>
    </row>
    <row r="13" spans="1:14" x14ac:dyDescent="0.25">
      <c r="A13" s="75" t="str">
        <f>IF(ISBLANK(B13),"", MAX(A$2:A12)+1)</f>
        <v/>
      </c>
      <c r="B13" s="106"/>
      <c r="C13" s="106"/>
      <c r="D13" s="106"/>
      <c r="E13" s="19"/>
      <c r="F13" s="19"/>
      <c r="G13" s="19"/>
      <c r="H13" s="19"/>
      <c r="I13" s="19"/>
      <c r="J13" s="19"/>
      <c r="K13" s="12"/>
      <c r="L13" s="12"/>
      <c r="M13" s="12"/>
      <c r="N13" s="12"/>
    </row>
    <row r="14" spans="1:14" x14ac:dyDescent="0.25">
      <c r="A14" s="75" t="str">
        <f>IF(ISBLANK(B14),"", MAX(A$2:A13)+1)</f>
        <v/>
      </c>
      <c r="B14" s="106"/>
      <c r="C14" s="106"/>
      <c r="D14" s="106"/>
      <c r="E14" s="19"/>
      <c r="F14" s="19"/>
      <c r="G14" s="19"/>
      <c r="H14" s="19"/>
      <c r="I14" s="19"/>
      <c r="J14" s="19"/>
      <c r="K14" s="12"/>
      <c r="L14" s="12"/>
      <c r="M14" s="12"/>
      <c r="N14" s="12"/>
    </row>
    <row r="15" spans="1:14" x14ac:dyDescent="0.25">
      <c r="A15" s="75" t="str">
        <f>IF(ISBLANK(B15),"", MAX(A$2:A14)+1)</f>
        <v/>
      </c>
      <c r="B15" s="106"/>
      <c r="C15" s="106"/>
      <c r="D15" s="106"/>
      <c r="E15" s="12"/>
      <c r="F15" s="12"/>
      <c r="G15" s="12"/>
      <c r="H15" s="12"/>
      <c r="I15" s="12"/>
      <c r="J15" s="12"/>
      <c r="K15" s="12"/>
      <c r="L15" s="12"/>
      <c r="M15" s="12"/>
      <c r="N15" s="12"/>
    </row>
    <row r="16" spans="1:14" x14ac:dyDescent="0.25">
      <c r="A16" s="75" t="str">
        <f>IF(ISBLANK(B16),"", MAX(A$2:A15)+1)</f>
        <v/>
      </c>
      <c r="B16" s="106"/>
      <c r="C16" s="106"/>
      <c r="D16" s="106"/>
      <c r="E16" s="12"/>
      <c r="F16" s="12"/>
      <c r="G16" s="12"/>
      <c r="H16" s="12"/>
      <c r="I16" s="12"/>
      <c r="J16" s="12"/>
      <c r="K16" s="12"/>
      <c r="L16" s="12"/>
      <c r="M16" s="12"/>
      <c r="N16" s="12"/>
    </row>
    <row r="17" spans="1:14" x14ac:dyDescent="0.25">
      <c r="A17" s="75" t="str">
        <f>IF(ISBLANK(B17),"", MAX(A$2:A16)+1)</f>
        <v/>
      </c>
      <c r="B17" s="106"/>
      <c r="C17" s="106"/>
      <c r="D17" s="106"/>
      <c r="E17" s="12"/>
      <c r="F17" s="12"/>
      <c r="G17" s="12"/>
      <c r="H17" s="12"/>
      <c r="I17" s="12"/>
      <c r="J17" s="12"/>
      <c r="K17" s="12"/>
      <c r="L17" s="12"/>
      <c r="M17" s="12"/>
      <c r="N17" s="12"/>
    </row>
    <row r="18" spans="1:14" x14ac:dyDescent="0.25">
      <c r="A18" s="75" t="str">
        <f>IF(ISBLANK(B18),"", MAX(A$2:A17)+1)</f>
        <v/>
      </c>
      <c r="B18" s="106"/>
      <c r="C18" s="106"/>
      <c r="D18" s="106"/>
      <c r="E18" s="12"/>
      <c r="F18" s="12"/>
      <c r="G18" s="12"/>
      <c r="H18" s="12"/>
      <c r="I18" s="12"/>
      <c r="J18" s="12"/>
      <c r="K18" s="12"/>
      <c r="L18" s="12"/>
      <c r="M18" s="12"/>
      <c r="N18" s="12"/>
    </row>
    <row r="19" spans="1:14" x14ac:dyDescent="0.25">
      <c r="A19" s="75" t="str">
        <f>IF(ISBLANK(B19),"", MAX(A$2:A18)+1)</f>
        <v/>
      </c>
      <c r="B19" s="106"/>
      <c r="C19" s="106"/>
      <c r="D19" s="106"/>
      <c r="E19" s="12"/>
      <c r="F19" s="12"/>
      <c r="G19" s="12"/>
      <c r="H19" s="12"/>
      <c r="I19" s="12"/>
      <c r="J19" s="12"/>
      <c r="K19" s="12"/>
      <c r="L19" s="12"/>
      <c r="M19" s="12"/>
      <c r="N19" s="12"/>
    </row>
    <row r="20" spans="1:14" x14ac:dyDescent="0.25">
      <c r="A20" s="75" t="str">
        <f>IF(ISBLANK(B20),"", MAX(A$2:A19)+1)</f>
        <v/>
      </c>
      <c r="B20" s="106"/>
      <c r="C20" s="106"/>
      <c r="D20" s="106"/>
      <c r="E20" s="12"/>
      <c r="F20" s="12"/>
      <c r="G20" s="12"/>
      <c r="H20" s="12"/>
      <c r="I20" s="12"/>
      <c r="J20" s="12"/>
      <c r="K20" s="12"/>
      <c r="L20" s="12"/>
      <c r="M20" s="12"/>
      <c r="N20" s="12"/>
    </row>
    <row r="21" spans="1:14" x14ac:dyDescent="0.25">
      <c r="A21" s="75" t="str">
        <f>IF(ISBLANK(B21),"", MAX(A$2:A20)+1)</f>
        <v/>
      </c>
      <c r="B21" s="106"/>
      <c r="C21" s="106"/>
      <c r="D21" s="106"/>
      <c r="E21" s="12"/>
      <c r="F21" s="12"/>
      <c r="G21" s="12"/>
      <c r="H21" s="12"/>
      <c r="I21" s="12"/>
      <c r="J21" s="12"/>
      <c r="K21" s="12"/>
      <c r="L21" s="12"/>
      <c r="M21" s="12"/>
      <c r="N21" s="12"/>
    </row>
    <row r="22" spans="1:14" x14ac:dyDescent="0.25">
      <c r="A22" s="75" t="str">
        <f>IF(ISBLANK(B22),"", MAX(A$2:A21)+1)</f>
        <v/>
      </c>
      <c r="B22" s="106"/>
      <c r="C22" s="106"/>
      <c r="D22" s="106"/>
      <c r="E22" s="12"/>
      <c r="F22" s="12"/>
      <c r="G22" s="12"/>
      <c r="H22" s="12"/>
      <c r="I22" s="12"/>
      <c r="J22" s="12"/>
      <c r="K22" s="12"/>
      <c r="L22" s="12"/>
      <c r="M22" s="12"/>
      <c r="N22" s="12"/>
    </row>
    <row r="23" spans="1:14" x14ac:dyDescent="0.25">
      <c r="A23" s="75" t="str">
        <f>IF(ISBLANK(B23),"", MAX(A$2:A22)+1)</f>
        <v/>
      </c>
      <c r="B23" s="106"/>
      <c r="C23" s="106"/>
      <c r="D23" s="106"/>
      <c r="E23" s="12"/>
      <c r="F23" s="12"/>
      <c r="G23" s="12"/>
      <c r="H23" s="12"/>
      <c r="I23" s="12"/>
      <c r="J23" s="12"/>
      <c r="K23" s="12"/>
      <c r="L23" s="12"/>
      <c r="M23" s="12"/>
      <c r="N23" s="12"/>
    </row>
    <row r="24" spans="1:14" x14ac:dyDescent="0.25">
      <c r="A24" s="75" t="str">
        <f>IF(ISBLANK(B24),"", MAX(A$2:A23)+1)</f>
        <v/>
      </c>
      <c r="B24" s="106"/>
      <c r="C24" s="106"/>
      <c r="D24" s="106"/>
      <c r="E24" s="12"/>
      <c r="F24" s="12"/>
      <c r="G24" s="12"/>
      <c r="H24" s="12"/>
      <c r="I24" s="12"/>
      <c r="J24" s="12"/>
      <c r="K24" s="12"/>
      <c r="L24" s="12"/>
      <c r="M24" s="12"/>
      <c r="N24" s="12"/>
    </row>
    <row r="25" spans="1:14" x14ac:dyDescent="0.25">
      <c r="A25" s="75" t="str">
        <f>IF(ISBLANK(B25),"", MAX(A$2:A24)+1)</f>
        <v/>
      </c>
      <c r="B25" s="106"/>
      <c r="C25" s="106"/>
      <c r="D25" s="106"/>
      <c r="E25" s="12"/>
      <c r="F25" s="12"/>
      <c r="G25" s="12"/>
      <c r="H25" s="12"/>
      <c r="I25" s="12"/>
      <c r="J25" s="12"/>
      <c r="K25" s="12"/>
      <c r="L25" s="12"/>
      <c r="M25" s="12"/>
      <c r="N25" s="12"/>
    </row>
    <row r="26" spans="1:14" x14ac:dyDescent="0.25">
      <c r="A26" s="75" t="str">
        <f>IF(ISBLANK(B26),"", MAX(A$2:A25)+1)</f>
        <v/>
      </c>
      <c r="B26" s="106"/>
      <c r="C26" s="106"/>
      <c r="D26" s="106"/>
      <c r="E26" s="12"/>
      <c r="F26" s="12"/>
      <c r="G26" s="12"/>
      <c r="H26" s="12"/>
      <c r="I26" s="12"/>
      <c r="J26" s="12"/>
      <c r="K26" s="12"/>
      <c r="L26" s="12"/>
      <c r="M26" s="12"/>
      <c r="N26" s="12"/>
    </row>
    <row r="27" spans="1:14" x14ac:dyDescent="0.25">
      <c r="A27" s="75" t="str">
        <f>IF(ISBLANK(B27),"", MAX(A$2:A26)+1)</f>
        <v/>
      </c>
      <c r="B27" s="106"/>
      <c r="C27" s="106"/>
      <c r="D27" s="106"/>
      <c r="E27" s="12"/>
      <c r="F27" s="12"/>
      <c r="G27" s="12"/>
      <c r="H27" s="12"/>
      <c r="I27" s="12"/>
      <c r="J27" s="12"/>
      <c r="K27" s="12"/>
      <c r="L27" s="12"/>
      <c r="M27" s="12"/>
      <c r="N27" s="12"/>
    </row>
    <row r="28" spans="1:14" x14ac:dyDescent="0.25">
      <c r="A28" s="75" t="str">
        <f>IF(ISBLANK(B28),"", MAX(A$2:A27)+1)</f>
        <v/>
      </c>
      <c r="B28" s="106"/>
      <c r="C28" s="106"/>
      <c r="D28" s="106"/>
      <c r="E28" s="12"/>
      <c r="F28" s="12"/>
      <c r="G28" s="12"/>
      <c r="H28" s="12"/>
      <c r="I28" s="12"/>
      <c r="J28" s="12"/>
      <c r="K28" s="12"/>
      <c r="L28" s="12"/>
      <c r="M28" s="12"/>
      <c r="N28" s="12"/>
    </row>
    <row r="29" spans="1:14" x14ac:dyDescent="0.25">
      <c r="A29" s="75" t="str">
        <f>IF(ISBLANK(B29),"", MAX(A$2:A28)+1)</f>
        <v/>
      </c>
      <c r="B29" s="106"/>
      <c r="C29" s="106"/>
      <c r="D29" s="106"/>
      <c r="E29" s="12"/>
      <c r="F29" s="12"/>
      <c r="G29" s="12"/>
      <c r="H29" s="12"/>
      <c r="I29" s="12"/>
      <c r="J29" s="12"/>
      <c r="K29" s="12"/>
      <c r="L29" s="12"/>
      <c r="M29" s="12"/>
      <c r="N29" s="12"/>
    </row>
    <row r="30" spans="1:14" x14ac:dyDescent="0.25">
      <c r="A30" s="75" t="str">
        <f>IF(ISBLANK(B30),"", MAX(A$2:A29)+1)</f>
        <v/>
      </c>
      <c r="B30" s="106"/>
      <c r="C30" s="106"/>
      <c r="D30" s="106"/>
      <c r="E30" s="12"/>
      <c r="F30" s="12"/>
      <c r="G30" s="12"/>
      <c r="H30" s="12"/>
      <c r="I30" s="12"/>
      <c r="J30" s="12"/>
      <c r="K30" s="12"/>
      <c r="L30" s="12"/>
      <c r="M30" s="12"/>
      <c r="N30" s="12"/>
    </row>
    <row r="31" spans="1:14" x14ac:dyDescent="0.25">
      <c r="A31" s="75" t="str">
        <f>IF(ISBLANK(B31),"", MAX(A$2:A30)+1)</f>
        <v/>
      </c>
      <c r="B31" s="106"/>
      <c r="C31" s="106"/>
      <c r="D31" s="106"/>
      <c r="E31" s="12"/>
      <c r="F31" s="12"/>
      <c r="G31" s="12"/>
      <c r="H31" s="12"/>
      <c r="I31" s="12"/>
      <c r="J31" s="12"/>
      <c r="K31" s="12"/>
      <c r="L31" s="12"/>
      <c r="M31" s="12"/>
      <c r="N31" s="12"/>
    </row>
    <row r="32" spans="1:14" x14ac:dyDescent="0.25">
      <c r="A32" s="75" t="str">
        <f>IF(ISBLANK(B32),"", MAX(A$2:A31)+1)</f>
        <v/>
      </c>
      <c r="B32" s="106"/>
      <c r="C32" s="106"/>
      <c r="D32" s="106"/>
      <c r="E32" s="12"/>
      <c r="F32" s="12"/>
      <c r="G32" s="12"/>
      <c r="H32" s="12"/>
      <c r="I32" s="12"/>
      <c r="J32" s="12"/>
      <c r="K32" s="12"/>
      <c r="L32" s="12"/>
      <c r="M32" s="12"/>
      <c r="N32" s="12"/>
    </row>
    <row r="33" spans="1:14" x14ac:dyDescent="0.25">
      <c r="A33" s="75" t="str">
        <f>IF(ISBLANK(B33),"", MAX(A$2:A32)+1)</f>
        <v/>
      </c>
      <c r="B33" s="106"/>
      <c r="C33" s="106"/>
      <c r="D33" s="106"/>
      <c r="E33" s="12"/>
      <c r="F33" s="12"/>
      <c r="G33" s="12"/>
      <c r="H33" s="12"/>
      <c r="I33" s="12"/>
      <c r="J33" s="12"/>
      <c r="K33" s="12"/>
      <c r="L33" s="12"/>
      <c r="M33" s="12"/>
      <c r="N33" s="12"/>
    </row>
    <row r="34" spans="1:14" x14ac:dyDescent="0.25">
      <c r="A34" s="75" t="str">
        <f>IF(ISBLANK(B34),"", MAX(A$2:A33)+1)</f>
        <v/>
      </c>
      <c r="B34" s="106"/>
      <c r="C34" s="106"/>
      <c r="D34" s="106"/>
      <c r="E34" s="12"/>
      <c r="F34" s="12"/>
      <c r="G34" s="12"/>
      <c r="H34" s="12"/>
      <c r="I34" s="12"/>
      <c r="J34" s="12"/>
      <c r="K34" s="12"/>
      <c r="L34" s="12"/>
      <c r="M34" s="12"/>
      <c r="N34" s="12"/>
    </row>
    <row r="35" spans="1:14" x14ac:dyDescent="0.25">
      <c r="A35" s="75" t="str">
        <f>IF(ISBLANK(B35),"", MAX(A$2:A34)+1)</f>
        <v/>
      </c>
      <c r="B35" s="106"/>
      <c r="C35" s="106"/>
      <c r="D35" s="106"/>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sheetData>
  <mergeCells count="35">
    <mergeCell ref="B6:D6"/>
    <mergeCell ref="A1:C1"/>
    <mergeCell ref="B2:D2"/>
    <mergeCell ref="B3:D3"/>
    <mergeCell ref="B4:D4"/>
    <mergeCell ref="B5:D5"/>
    <mergeCell ref="B18:D18"/>
    <mergeCell ref="B7:D7"/>
    <mergeCell ref="B8:D8"/>
    <mergeCell ref="B9:D9"/>
    <mergeCell ref="B10:D10"/>
    <mergeCell ref="B11:D11"/>
    <mergeCell ref="B12:D12"/>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31:D31"/>
    <mergeCell ref="B32:D32"/>
    <mergeCell ref="B33:D33"/>
    <mergeCell ref="B34:D34"/>
    <mergeCell ref="B35:D35"/>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3"/>
  <sheetViews>
    <sheetView workbookViewId="0">
      <selection sqref="A1:XFD1048576"/>
    </sheetView>
  </sheetViews>
  <sheetFormatPr defaultRowHeight="15.75" x14ac:dyDescent="0.25"/>
  <cols>
    <col min="1" max="16384" width="9" style="17"/>
  </cols>
  <sheetData>
    <row r="1" spans="1:12" x14ac:dyDescent="0.25">
      <c r="A1" s="12" t="s">
        <v>6</v>
      </c>
      <c r="C1" s="17" t="s">
        <v>11</v>
      </c>
      <c r="E1" s="17" t="s">
        <v>16</v>
      </c>
      <c r="I1" s="89"/>
      <c r="J1" s="89"/>
      <c r="K1" s="89"/>
      <c r="L1" s="89"/>
    </row>
    <row r="2" spans="1:12" x14ac:dyDescent="0.25">
      <c r="A2" s="12" t="s">
        <v>8</v>
      </c>
      <c r="C2" s="17" t="s">
        <v>12</v>
      </c>
      <c r="E2" s="17" t="s">
        <v>17</v>
      </c>
      <c r="H2" s="89"/>
      <c r="I2" s="90"/>
      <c r="J2" s="90"/>
      <c r="K2" s="90"/>
      <c r="L2" s="90"/>
    </row>
    <row r="3" spans="1:12" x14ac:dyDescent="0.25">
      <c r="A3" s="12" t="s">
        <v>10</v>
      </c>
      <c r="C3" s="17" t="s">
        <v>13</v>
      </c>
      <c r="E3" s="17" t="s">
        <v>18</v>
      </c>
      <c r="H3" s="89"/>
      <c r="I3" s="90"/>
      <c r="J3" s="90"/>
      <c r="K3" s="90"/>
      <c r="L3" s="90"/>
    </row>
    <row r="4" spans="1:12" x14ac:dyDescent="0.25">
      <c r="A4" s="12" t="s">
        <v>5</v>
      </c>
      <c r="C4" s="17" t="s">
        <v>14</v>
      </c>
      <c r="E4" s="17" t="s">
        <v>19</v>
      </c>
    </row>
    <row r="5" spans="1:12" x14ac:dyDescent="0.25">
      <c r="A5" s="12" t="s">
        <v>4</v>
      </c>
      <c r="C5" s="17" t="s">
        <v>15</v>
      </c>
      <c r="E5" s="17" t="s">
        <v>20</v>
      </c>
    </row>
    <row r="6" spans="1:12" x14ac:dyDescent="0.25">
      <c r="A6" s="12" t="s">
        <v>7</v>
      </c>
      <c r="E6" s="17" t="s">
        <v>1</v>
      </c>
    </row>
    <row r="7" spans="1:12" x14ac:dyDescent="0.25">
      <c r="A7" s="12" t="s">
        <v>9</v>
      </c>
      <c r="E7" s="17" t="s">
        <v>21</v>
      </c>
    </row>
    <row r="8" spans="1:12" x14ac:dyDescent="0.25">
      <c r="A8" s="12" t="s">
        <v>0</v>
      </c>
      <c r="E8" s="17" t="s">
        <v>22</v>
      </c>
    </row>
    <row r="9" spans="1:12" x14ac:dyDescent="0.25">
      <c r="E9" s="17" t="s">
        <v>23</v>
      </c>
    </row>
    <row r="10" spans="1:12" x14ac:dyDescent="0.25">
      <c r="E10" s="17" t="s">
        <v>24</v>
      </c>
    </row>
    <row r="11" spans="1:12" x14ac:dyDescent="0.25">
      <c r="E11" s="17" t="s">
        <v>25</v>
      </c>
    </row>
    <row r="12" spans="1:12" x14ac:dyDescent="0.25">
      <c r="E12" s="17" t="s">
        <v>26</v>
      </c>
    </row>
    <row r="13" spans="1:12" x14ac:dyDescent="0.25">
      <c r="E13" s="17" t="s">
        <v>27</v>
      </c>
    </row>
  </sheetData>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11"/>
  <sheetViews>
    <sheetView workbookViewId="0">
      <selection activeCell="M10" sqref="M10"/>
    </sheetView>
  </sheetViews>
  <sheetFormatPr defaultRowHeight="15.75" x14ac:dyDescent="0.25"/>
  <cols>
    <col min="1" max="1" width="12.875" style="17" customWidth="1"/>
    <col min="2" max="2" width="11.375" style="17" customWidth="1"/>
    <col min="3" max="5" width="9" style="17"/>
    <col min="6" max="6" width="12.375" style="17" customWidth="1"/>
    <col min="7" max="7" width="9" style="17"/>
    <col min="8" max="8" width="12.375" style="17" bestFit="1" customWidth="1"/>
    <col min="9" max="9" width="12.5" style="17" bestFit="1" customWidth="1"/>
    <col min="10" max="15" width="9" style="17"/>
    <col min="16" max="16" width="10.875" style="17" bestFit="1" customWidth="1"/>
    <col min="17" max="17" width="9" style="17"/>
    <col min="18" max="18" width="13.5" style="17" customWidth="1"/>
    <col min="19" max="19" width="12.5" style="17" bestFit="1" customWidth="1"/>
    <col min="20" max="16384" width="9" style="17"/>
  </cols>
  <sheetData>
    <row r="1" spans="1:19" ht="41.25" customHeight="1" x14ac:dyDescent="0.25">
      <c r="A1" s="105" t="s">
        <v>135</v>
      </c>
      <c r="B1" s="105"/>
      <c r="C1" s="105"/>
      <c r="D1" s="45"/>
    </row>
    <row r="2" spans="1:19" ht="37.5" x14ac:dyDescent="0.25">
      <c r="A2" s="6" t="s">
        <v>110</v>
      </c>
      <c r="B2" s="2" t="s">
        <v>136</v>
      </c>
      <c r="C2" s="2" t="s">
        <v>137</v>
      </c>
      <c r="D2" s="2" t="s">
        <v>138</v>
      </c>
      <c r="E2" s="2"/>
      <c r="F2" s="2"/>
      <c r="G2" s="2"/>
      <c r="H2" s="2"/>
      <c r="I2" s="2"/>
    </row>
    <row r="3" spans="1:19" x14ac:dyDescent="0.25">
      <c r="A3" s="12" t="s">
        <v>0</v>
      </c>
      <c r="B3" s="17" t="s">
        <v>142</v>
      </c>
      <c r="H3" s="89"/>
      <c r="I3" s="90"/>
      <c r="J3" s="90"/>
      <c r="K3" s="90"/>
      <c r="L3" s="90"/>
    </row>
    <row r="4" spans="1:19" x14ac:dyDescent="0.25">
      <c r="A4" s="12"/>
    </row>
    <row r="5" spans="1:19" x14ac:dyDescent="0.25">
      <c r="A5" s="91"/>
      <c r="B5" s="93" t="s">
        <v>34</v>
      </c>
      <c r="C5" s="93" t="s">
        <v>32</v>
      </c>
      <c r="D5" s="93" t="s">
        <v>35</v>
      </c>
      <c r="E5" s="93" t="s">
        <v>36</v>
      </c>
      <c r="F5" s="93" t="s">
        <v>33</v>
      </c>
      <c r="G5" s="93" t="s">
        <v>139</v>
      </c>
      <c r="H5" s="93" t="s">
        <v>140</v>
      </c>
      <c r="I5" s="93" t="s">
        <v>141</v>
      </c>
      <c r="K5" s="99"/>
      <c r="L5" s="99"/>
      <c r="M5" s="99"/>
      <c r="N5" s="99"/>
      <c r="O5" s="99"/>
      <c r="P5" s="99"/>
      <c r="Q5" s="99"/>
      <c r="R5" s="99"/>
      <c r="S5" s="99"/>
    </row>
    <row r="6" spans="1:19" x14ac:dyDescent="0.25">
      <c r="A6" s="91">
        <v>1000</v>
      </c>
      <c r="B6" s="92" t="e">
        <f ca="1">RTD("esrtd",,"*H",$A$3,_xll.ESFldID(B$5,$B$3),$B$3,,$A6)</f>
        <v>#NAME?</v>
      </c>
      <c r="C6" s="92" t="e">
        <f ca="1">RTD("esrtd",,"*H",$A$3,_xll.ESFldID(C$5,$B$3),$B$3,,$A6)</f>
        <v>#NAME?</v>
      </c>
      <c r="D6" s="92" t="e">
        <f ca="1">RTD("esrtd",,"*H",$A$3,_xll.ESFldID(D$5,$B$3),$B$3,,$A6)</f>
        <v>#NAME?</v>
      </c>
      <c r="E6" s="92" t="e">
        <f ca="1">RTD("esrtd",,"*H",$A$3,_xll.ESFldID(E$5,$B$3),$B$3,,$A6)</f>
        <v>#NAME?</v>
      </c>
      <c r="F6" s="92" t="e">
        <f ca="1">RTD("esrtd",,"*H",$A$3,_xll.ESFldID(F$5,$B$3),$B$3,,$A6)</f>
        <v>#NAME?</v>
      </c>
      <c r="G6" s="94" t="e">
        <f ca="1">RTD("esrtd",,"*H",$A$3,_xll.ESFldID(G$5,$B$3),$B$3,,$A6)</f>
        <v>#NAME?</v>
      </c>
      <c r="H6" s="95" t="e">
        <f ca="1">RTD("esrtd",,"*H",$A$3,_xll.ESFldID(H$5,$B$3),$B$3,,$A6)</f>
        <v>#NAME?</v>
      </c>
      <c r="I6" s="94" t="e">
        <f ca="1">RTD("esrtd",,"*H",$A$3,_xll.ESFldID(I$5,$B$3),$B$3,,$A6)</f>
        <v>#NAME?</v>
      </c>
      <c r="K6" s="92"/>
      <c r="L6" s="92"/>
      <c r="M6" s="92"/>
      <c r="N6" s="92"/>
      <c r="O6" s="92"/>
      <c r="P6" s="92"/>
      <c r="Q6" s="92"/>
      <c r="R6" s="92"/>
      <c r="S6" s="92"/>
    </row>
    <row r="7" spans="1:19" x14ac:dyDescent="0.25">
      <c r="A7" s="91">
        <v>2000</v>
      </c>
      <c r="B7" s="92" t="e">
        <f ca="1">RTD("esrtd",,"*H",$A$3,_xll.ESFldID(B$5,$B$3),$B$3,,$A7)</f>
        <v>#NAME?</v>
      </c>
      <c r="C7" s="92" t="e">
        <f ca="1">RTD("esrtd",,"*H",$A$3,_xll.ESFldID(C$5,$B$3),$B$3,,$A7)</f>
        <v>#NAME?</v>
      </c>
      <c r="D7" s="92" t="e">
        <f ca="1">RTD("esrtd",,"*H",$A$3,_xll.ESFldID(D$5,$B$3),$B$3,,$A7)</f>
        <v>#NAME?</v>
      </c>
      <c r="E7" s="92" t="e">
        <f ca="1">RTD("esrtd",,"*H",$A$3,_xll.ESFldID(E$5,$B$3),$B$3,,$A7)</f>
        <v>#NAME?</v>
      </c>
      <c r="F7" s="92" t="e">
        <f ca="1">RTD("esrtd",,"*H",$A$3,_xll.ESFldID(F$5,$B$3),$B$3,,$A7)</f>
        <v>#NAME?</v>
      </c>
      <c r="G7" s="94" t="e">
        <f ca="1">RTD("esrtd",,"*H",$A$3,_xll.ESFldID(G$5,$B$3),$B$3,,$A7)</f>
        <v>#NAME?</v>
      </c>
      <c r="H7" s="95" t="e">
        <f ca="1">RTD("esrtd",,"*H",$A$3,_xll.ESFldID(H$5,$B$3),$B$3,,$A7)</f>
        <v>#NAME?</v>
      </c>
      <c r="I7" s="94" t="e">
        <f ca="1">RTD("esrtd",,"*H",$A$3,_xll.ESFldID(I$5,$B$3),$B$3,,$A7)</f>
        <v>#NAME?</v>
      </c>
      <c r="K7" s="92"/>
      <c r="L7" s="92"/>
      <c r="M7" s="92"/>
      <c r="N7" s="92"/>
      <c r="O7" s="92"/>
      <c r="P7" s="92"/>
      <c r="Q7" s="94"/>
      <c r="R7" s="95"/>
      <c r="S7" s="94"/>
    </row>
    <row r="8" spans="1:19" x14ac:dyDescent="0.25">
      <c r="A8" s="91">
        <v>3000</v>
      </c>
      <c r="B8" s="92" t="e">
        <f ca="1">RTD("esrtd",,"*H",$A$3,_xll.ESFldID(B$5,$B$3),$B$3,,$A8)</f>
        <v>#NAME?</v>
      </c>
      <c r="C8" s="92" t="e">
        <f ca="1">RTD("esrtd",,"*H",$A$3,_xll.ESFldID(C$5,$B$3),$B$3,,$A8)</f>
        <v>#NAME?</v>
      </c>
      <c r="D8" s="92" t="e">
        <f ca="1">RTD("esrtd",,"*H",$A$3,_xll.ESFldID(D$5,$B$3),$B$3,,$A8)</f>
        <v>#NAME?</v>
      </c>
      <c r="E8" s="92" t="e">
        <f ca="1">RTD("esrtd",,"*H",$A$3,_xll.ESFldID(E$5,$B$3),$B$3,,$A8)</f>
        <v>#NAME?</v>
      </c>
      <c r="F8" s="92" t="e">
        <f ca="1">RTD("esrtd",,"*H",$A$3,_xll.ESFldID(F$5,$B$3),$B$3,,$A8)</f>
        <v>#NAME?</v>
      </c>
      <c r="G8" s="94" t="e">
        <f ca="1">RTD("esrtd",,"*H",$A$3,_xll.ESFldID(G$5,$B$3),$B$3,,$A8)</f>
        <v>#NAME?</v>
      </c>
      <c r="H8" s="95" t="e">
        <f ca="1">RTD("esrtd",,"*H",$A$3,_xll.ESFldID(H$5,$B$3),$B$3,,$A8)</f>
        <v>#NAME?</v>
      </c>
      <c r="I8" s="94" t="e">
        <f ca="1">RTD("esrtd",,"*H",$A$3,_xll.ESFldID(I$5,$B$3),$B$3,,$A8)</f>
        <v>#NAME?</v>
      </c>
      <c r="K8" s="92"/>
      <c r="L8" s="92"/>
      <c r="M8" s="92"/>
      <c r="N8" s="92"/>
      <c r="O8" s="92"/>
      <c r="P8" s="92"/>
      <c r="Q8" s="94"/>
      <c r="R8" s="95"/>
      <c r="S8" s="94"/>
    </row>
    <row r="9" spans="1:19" x14ac:dyDescent="0.25">
      <c r="A9" s="91">
        <v>4000</v>
      </c>
      <c r="B9" s="92" t="e">
        <f ca="1">RTD("esrtd",,"*H",$A$3,_xll.ESFldID(B$5,$B$3),$B$3,,$A9)</f>
        <v>#NAME?</v>
      </c>
      <c r="C9" s="92" t="e">
        <f ca="1">RTD("esrtd",,"*H",$A$3,_xll.ESFldID(C$5,$B$3),$B$3,,$A9)</f>
        <v>#NAME?</v>
      </c>
      <c r="D9" s="92" t="e">
        <f ca="1">RTD("esrtd",,"*H",$A$3,_xll.ESFldID(D$5,$B$3),$B$3,,$A9)</f>
        <v>#NAME?</v>
      </c>
      <c r="E9" s="92" t="e">
        <f ca="1">RTD("esrtd",,"*H",$A$3,_xll.ESFldID(E$5,$B$3),$B$3,,$A9)</f>
        <v>#NAME?</v>
      </c>
      <c r="F9" s="92" t="e">
        <f ca="1">RTD("esrtd",,"*H",$A$3,_xll.ESFldID(F$5,$B$3),$B$3,,$A9)</f>
        <v>#NAME?</v>
      </c>
      <c r="G9" s="94" t="e">
        <f ca="1">RTD("esrtd",,"*H",$A$3,_xll.ESFldID(G$5,$B$3),$B$3,,$A9)</f>
        <v>#NAME?</v>
      </c>
      <c r="H9" s="95" t="e">
        <f ca="1">RTD("esrtd",,"*H",$A$3,_xll.ESFldID(H$5,$B$3),$B$3,,$A9)</f>
        <v>#NAME?</v>
      </c>
      <c r="I9" s="94" t="e">
        <f ca="1">RTD("esrtd",,"*H",$A$3,_xll.ESFldID(I$5,$B$3),$B$3,,$A9)</f>
        <v>#NAME?</v>
      </c>
      <c r="K9" s="92"/>
      <c r="L9" s="92"/>
      <c r="M9" s="92"/>
      <c r="N9" s="92"/>
      <c r="O9" s="92"/>
      <c r="P9" s="92"/>
      <c r="Q9" s="94"/>
      <c r="R9" s="95"/>
      <c r="S9" s="94"/>
    </row>
    <row r="10" spans="1:19" x14ac:dyDescent="0.25">
      <c r="A10" s="91">
        <v>5000</v>
      </c>
      <c r="B10" s="92" t="e">
        <f ca="1">RTD("esrtd",,"*H",$A$3,_xll.ESFldID(B$5,$B$3),$B$3,,$A10)</f>
        <v>#NAME?</v>
      </c>
      <c r="C10" s="92" t="e">
        <f ca="1">RTD("esrtd",,"*H",$A$3,_xll.ESFldID(C$5,$B$3),$B$3,,$A10)</f>
        <v>#NAME?</v>
      </c>
      <c r="D10" s="92" t="e">
        <f ca="1">RTD("esrtd",,"*H",$A$3,_xll.ESFldID(D$5,$B$3),$B$3,,$A10)</f>
        <v>#NAME?</v>
      </c>
      <c r="E10" s="92" t="e">
        <f ca="1">RTD("esrtd",,"*H",$A$3,_xll.ESFldID(E$5,$B$3),$B$3,,$A10)</f>
        <v>#NAME?</v>
      </c>
      <c r="F10" s="92" t="e">
        <f ca="1">RTD("esrtd",,"*H",$A$3,_xll.ESFldID(F$5,$B$3),$B$3,,$A10)</f>
        <v>#NAME?</v>
      </c>
      <c r="G10" s="94" t="e">
        <f ca="1">RTD("esrtd",,"*H",$A$3,_xll.ESFldID(G$5,$B$3),$B$3,,$A10)</f>
        <v>#NAME?</v>
      </c>
      <c r="H10" s="95" t="e">
        <f ca="1">RTD("esrtd",,"*H",$A$3,_xll.ESFldID(H$5,$B$3),$B$3,,$A10)</f>
        <v>#NAME?</v>
      </c>
      <c r="I10" s="94" t="e">
        <f ca="1">RTD("esrtd",,"*H",$A$3,_xll.ESFldID(I$5,$B$3),$B$3,,$A10)</f>
        <v>#NAME?</v>
      </c>
      <c r="K10" s="92"/>
      <c r="L10" s="92"/>
      <c r="M10" s="92"/>
      <c r="N10" s="92"/>
      <c r="O10" s="92"/>
      <c r="P10" s="92"/>
      <c r="Q10" s="94"/>
      <c r="R10" s="95"/>
      <c r="S10" s="94"/>
    </row>
    <row r="11" spans="1:19" x14ac:dyDescent="0.25">
      <c r="A11" s="91">
        <v>6000</v>
      </c>
      <c r="B11" s="92" t="e">
        <f ca="1">RTD("esrtd",,"*H",$A$3,_xll.ESFldID(B$5,$B$3),$B$3,,$A11)</f>
        <v>#NAME?</v>
      </c>
      <c r="C11" s="92" t="e">
        <f ca="1">RTD("esrtd",,"*H",$A$3,_xll.ESFldID(C$5,$B$3),$B$3,,$A11)</f>
        <v>#NAME?</v>
      </c>
      <c r="D11" s="92" t="e">
        <f ca="1">RTD("esrtd",,"*H",$A$3,_xll.ESFldID(D$5,$B$3),$B$3,,$A11)</f>
        <v>#NAME?</v>
      </c>
      <c r="E11" s="92" t="e">
        <f ca="1">RTD("esrtd",,"*H",$A$3,_xll.ESFldID(E$5,$B$3),$B$3,,$A11)</f>
        <v>#NAME?</v>
      </c>
      <c r="F11" s="92" t="e">
        <f ca="1">RTD("esrtd",,"*H",$A$3,_xll.ESFldID(F$5,$B$3),$B$3,,$A11)</f>
        <v>#NAME?</v>
      </c>
      <c r="G11" s="94" t="e">
        <f ca="1">RTD("esrtd",,"*H",$A$3,_xll.ESFldID(G$5,$B$3),$B$3,,$A11)</f>
        <v>#NAME?</v>
      </c>
      <c r="H11" s="95" t="e">
        <f ca="1">RTD("esrtd",,"*H",$A$3,_xll.ESFldID(H$5,$B$3),$B$3,,$A11)</f>
        <v>#NAME?</v>
      </c>
      <c r="I11" s="94" t="e">
        <f ca="1">RTD("esrtd",,"*H",$A$3,_xll.ESFldID(I$5,$B$3),$B$3,,$A11)</f>
        <v>#NAME?</v>
      </c>
      <c r="K11" s="92"/>
      <c r="L11" s="92"/>
      <c r="M11" s="92"/>
      <c r="N11" s="92"/>
      <c r="O11" s="92"/>
      <c r="P11" s="92"/>
      <c r="Q11" s="94"/>
      <c r="R11" s="95"/>
      <c r="S11" s="94"/>
    </row>
    <row r="12" spans="1:19" x14ac:dyDescent="0.25">
      <c r="A12" s="91">
        <v>7000</v>
      </c>
      <c r="B12" s="92" t="e">
        <f ca="1">RTD("esrtd",,"*H",$A$3,_xll.ESFldID(B$5,$B$3),$B$3,,$A12)</f>
        <v>#NAME?</v>
      </c>
      <c r="C12" s="92" t="e">
        <f ca="1">RTD("esrtd",,"*H",$A$3,_xll.ESFldID(C$5,$B$3),$B$3,,$A12)</f>
        <v>#NAME?</v>
      </c>
      <c r="D12" s="92" t="e">
        <f ca="1">RTD("esrtd",,"*H",$A$3,_xll.ESFldID(D$5,$B$3),$B$3,,$A12)</f>
        <v>#NAME?</v>
      </c>
      <c r="E12" s="92" t="e">
        <f ca="1">RTD("esrtd",,"*H",$A$3,_xll.ESFldID(E$5,$B$3),$B$3,,$A12)</f>
        <v>#NAME?</v>
      </c>
      <c r="F12" s="92" t="e">
        <f ca="1">RTD("esrtd",,"*H",$A$3,_xll.ESFldID(F$5,$B$3),$B$3,,$A12)</f>
        <v>#NAME?</v>
      </c>
      <c r="G12" s="94" t="e">
        <f ca="1">RTD("esrtd",,"*H",$A$3,_xll.ESFldID(G$5,$B$3),$B$3,,$A12)</f>
        <v>#NAME?</v>
      </c>
      <c r="H12" s="95" t="e">
        <f ca="1">RTD("esrtd",,"*H",$A$3,_xll.ESFldID(H$5,$B$3),$B$3,,$A12)</f>
        <v>#NAME?</v>
      </c>
      <c r="I12" s="94" t="e">
        <f ca="1">RTD("esrtd",,"*H",$A$3,_xll.ESFldID(I$5,$B$3),$B$3,,$A12)</f>
        <v>#NAME?</v>
      </c>
    </row>
    <row r="13" spans="1:19" x14ac:dyDescent="0.25">
      <c r="A13" s="91">
        <v>8000</v>
      </c>
      <c r="B13" s="92" t="e">
        <f ca="1">RTD("esrtd",,"*H",$A$3,_xll.ESFldID(B$5,$B$3),$B$3,,$A13)</f>
        <v>#NAME?</v>
      </c>
      <c r="C13" s="92" t="e">
        <f ca="1">RTD("esrtd",,"*H",$A$3,_xll.ESFldID(C$5,$B$3),$B$3,,$A13)</f>
        <v>#NAME?</v>
      </c>
      <c r="D13" s="92" t="e">
        <f ca="1">RTD("esrtd",,"*H",$A$3,_xll.ESFldID(D$5,$B$3),$B$3,,$A13)</f>
        <v>#NAME?</v>
      </c>
      <c r="E13" s="92" t="e">
        <f ca="1">RTD("esrtd",,"*H",$A$3,_xll.ESFldID(E$5,$B$3),$B$3,,$A13)</f>
        <v>#NAME?</v>
      </c>
      <c r="F13" s="92" t="e">
        <f ca="1">RTD("esrtd",,"*H",$A$3,_xll.ESFldID(F$5,$B$3),$B$3,,$A13)</f>
        <v>#NAME?</v>
      </c>
      <c r="G13" s="94" t="e">
        <f ca="1">RTD("esrtd",,"*H",$A$3,_xll.ESFldID(G$5,$B$3),$B$3,,$A13)</f>
        <v>#NAME?</v>
      </c>
      <c r="H13" s="95" t="e">
        <f ca="1">RTD("esrtd",,"*H",$A$3,_xll.ESFldID(H$5,$B$3),$B$3,,$A13)</f>
        <v>#NAME?</v>
      </c>
      <c r="I13" s="94" t="e">
        <f ca="1">RTD("esrtd",,"*H",$A$3,_xll.ESFldID(I$5,$B$3),$B$3,,$A13)</f>
        <v>#NAME?</v>
      </c>
    </row>
    <row r="14" spans="1:19" x14ac:dyDescent="0.25">
      <c r="A14" s="91">
        <v>9000</v>
      </c>
      <c r="B14" s="92" t="e">
        <f ca="1">RTD("esrtd",,"*H",$A$3,_xll.ESFldID(B$5,$B$3),$B$3,,$A14)</f>
        <v>#NAME?</v>
      </c>
      <c r="C14" s="92" t="e">
        <f ca="1">RTD("esrtd",,"*H",$A$3,_xll.ESFldID(C$5,$B$3),$B$3,,$A14)</f>
        <v>#NAME?</v>
      </c>
      <c r="D14" s="92" t="e">
        <f ca="1">RTD("esrtd",,"*H",$A$3,_xll.ESFldID(D$5,$B$3),$B$3,,$A14)</f>
        <v>#NAME?</v>
      </c>
      <c r="E14" s="92" t="e">
        <f ca="1">RTD("esrtd",,"*H",$A$3,_xll.ESFldID(E$5,$B$3),$B$3,,$A14)</f>
        <v>#NAME?</v>
      </c>
      <c r="F14" s="92" t="e">
        <f ca="1">RTD("esrtd",,"*H",$A$3,_xll.ESFldID(F$5,$B$3),$B$3,,$A14)</f>
        <v>#NAME?</v>
      </c>
      <c r="G14" s="94" t="e">
        <f ca="1">RTD("esrtd",,"*H",$A$3,_xll.ESFldID(G$5,$B$3),$B$3,,$A14)</f>
        <v>#NAME?</v>
      </c>
      <c r="H14" s="95" t="e">
        <f ca="1">RTD("esrtd",,"*H",$A$3,_xll.ESFldID(H$5,$B$3),$B$3,,$A14)</f>
        <v>#NAME?</v>
      </c>
      <c r="I14" s="94" t="e">
        <f ca="1">RTD("esrtd",,"*H",$A$3,_xll.ESFldID(I$5,$B$3),$B$3,,$A14)</f>
        <v>#NAME?</v>
      </c>
    </row>
    <row r="15" spans="1:19" x14ac:dyDescent="0.25">
      <c r="A15" s="91">
        <v>95</v>
      </c>
      <c r="B15" s="92" t="e">
        <f ca="1">RTD("esrtd",,"*H",$A$3,_xll.ESFldID(B$5,$B$3),$B$3,,$A15)</f>
        <v>#NAME?</v>
      </c>
      <c r="C15" s="92" t="e">
        <f ca="1">RTD("esrtd",,"*H",$A$3,_xll.ESFldID(C$5,$B$3),$B$3,,$A15)</f>
        <v>#NAME?</v>
      </c>
      <c r="D15" s="92" t="e">
        <f ca="1">RTD("esrtd",,"*H",$A$3,_xll.ESFldID(D$5,$B$3),$B$3,,$A15)</f>
        <v>#NAME?</v>
      </c>
      <c r="E15" s="92" t="e">
        <f ca="1">RTD("esrtd",,"*H",$A$3,_xll.ESFldID(E$5,$B$3),$B$3,,$A15)</f>
        <v>#NAME?</v>
      </c>
      <c r="F15" s="92" t="e">
        <f ca="1">RTD("esrtd",,"*H",$A$3,_xll.ESFldID(F$5,$B$3),$B$3,,$A15)</f>
        <v>#NAME?</v>
      </c>
      <c r="G15" s="94" t="e">
        <f ca="1">RTD("esrtd",,"*H",$A$3,_xll.ESFldID(G$5,$B$3),$B$3,,$A15)</f>
        <v>#NAME?</v>
      </c>
      <c r="H15" s="95" t="e">
        <f ca="1">RTD("esrtd",,"*H",$A$3,_xll.ESFldID(H$5,$B$3),$B$3,,$A15)</f>
        <v>#NAME?</v>
      </c>
      <c r="I15" s="94" t="e">
        <f ca="1">RTD("esrtd",,"*H",$A$3,_xll.ESFldID(I$5,$B$3),$B$3,,$A15)</f>
        <v>#NAME?</v>
      </c>
    </row>
    <row r="16" spans="1:19" x14ac:dyDescent="0.25">
      <c r="A16" s="91">
        <v>94</v>
      </c>
      <c r="B16" s="92" t="e">
        <f ca="1">RTD("esrtd",,"*H",$A$3,_xll.ESFldID(B$5,$B$3),$B$3,,$A16)</f>
        <v>#NAME?</v>
      </c>
      <c r="C16" s="92" t="e">
        <f ca="1">RTD("esrtd",,"*H",$A$3,_xll.ESFldID(C$5,$B$3),$B$3,,$A16)</f>
        <v>#NAME?</v>
      </c>
      <c r="D16" s="92" t="e">
        <f ca="1">RTD("esrtd",,"*H",$A$3,_xll.ESFldID(D$5,$B$3),$B$3,,$A16)</f>
        <v>#NAME?</v>
      </c>
      <c r="E16" s="92" t="e">
        <f ca="1">RTD("esrtd",,"*H",$A$3,_xll.ESFldID(E$5,$B$3),$B$3,,$A16)</f>
        <v>#NAME?</v>
      </c>
      <c r="F16" s="92" t="e">
        <f ca="1">RTD("esrtd",,"*H",$A$3,_xll.ESFldID(F$5,$B$3),$B$3,,$A16)</f>
        <v>#NAME?</v>
      </c>
      <c r="G16" s="94" t="e">
        <f ca="1">RTD("esrtd",,"*H",$A$3,_xll.ESFldID(G$5,$B$3),$B$3,,$A16)</f>
        <v>#NAME?</v>
      </c>
      <c r="H16" s="95" t="e">
        <f ca="1">RTD("esrtd",,"*H",$A$3,_xll.ESFldID(H$5,$B$3),$B$3,,$A16)</f>
        <v>#NAME?</v>
      </c>
      <c r="I16" s="94" t="e">
        <f ca="1">RTD("esrtd",,"*H",$A$3,_xll.ESFldID(I$5,$B$3),$B$3,,$A16)</f>
        <v>#NAME?</v>
      </c>
    </row>
    <row r="17" spans="1:9" x14ac:dyDescent="0.25">
      <c r="A17" s="91">
        <v>93</v>
      </c>
      <c r="B17" s="92" t="e">
        <f ca="1">RTD("esrtd",,"*H",$A$3,_xll.ESFldID(B$5,$B$3),$B$3,,$A17)</f>
        <v>#NAME?</v>
      </c>
      <c r="C17" s="92" t="e">
        <f ca="1">RTD("esrtd",,"*H",$A$3,_xll.ESFldID(C$5,$B$3),$B$3,,$A17)</f>
        <v>#NAME?</v>
      </c>
      <c r="D17" s="92" t="e">
        <f ca="1">RTD("esrtd",,"*H",$A$3,_xll.ESFldID(D$5,$B$3),$B$3,,$A17)</f>
        <v>#NAME?</v>
      </c>
      <c r="E17" s="92" t="e">
        <f ca="1">RTD("esrtd",,"*H",$A$3,_xll.ESFldID(E$5,$B$3),$B$3,,$A17)</f>
        <v>#NAME?</v>
      </c>
      <c r="F17" s="92" t="e">
        <f ca="1">RTD("esrtd",,"*H",$A$3,_xll.ESFldID(F$5,$B$3),$B$3,,$A17)</f>
        <v>#NAME?</v>
      </c>
      <c r="G17" s="94" t="e">
        <f ca="1">RTD("esrtd",,"*H",$A$3,_xll.ESFldID(G$5,$B$3),$B$3,,$A17)</f>
        <v>#NAME?</v>
      </c>
      <c r="H17" s="95" t="e">
        <f ca="1">RTD("esrtd",,"*H",$A$3,_xll.ESFldID(H$5,$B$3),$B$3,,$A17)</f>
        <v>#NAME?</v>
      </c>
      <c r="I17" s="94" t="e">
        <f ca="1">RTD("esrtd",,"*H",$A$3,_xll.ESFldID(I$5,$B$3),$B$3,,$A17)</f>
        <v>#NAME?</v>
      </c>
    </row>
    <row r="18" spans="1:9" x14ac:dyDescent="0.25">
      <c r="A18" s="91">
        <v>92</v>
      </c>
      <c r="B18" s="92" t="e">
        <f ca="1">RTD("esrtd",,"*H",$A$3,_xll.ESFldID(B$5,$B$3),$B$3,,$A18)</f>
        <v>#NAME?</v>
      </c>
      <c r="C18" s="92" t="e">
        <f ca="1">RTD("esrtd",,"*H",$A$3,_xll.ESFldID(C$5,$B$3),$B$3,,$A18)</f>
        <v>#NAME?</v>
      </c>
      <c r="D18" s="92" t="e">
        <f ca="1">RTD("esrtd",,"*H",$A$3,_xll.ESFldID(D$5,$B$3),$B$3,,$A18)</f>
        <v>#NAME?</v>
      </c>
      <c r="E18" s="92" t="e">
        <f ca="1">RTD("esrtd",,"*H",$A$3,_xll.ESFldID(E$5,$B$3),$B$3,,$A18)</f>
        <v>#NAME?</v>
      </c>
      <c r="F18" s="92" t="e">
        <f ca="1">RTD("esrtd",,"*H",$A$3,_xll.ESFldID(F$5,$B$3),$B$3,,$A18)</f>
        <v>#NAME?</v>
      </c>
      <c r="G18" s="94" t="e">
        <f ca="1">RTD("esrtd",,"*H",$A$3,_xll.ESFldID(G$5,$B$3),$B$3,,$A18)</f>
        <v>#NAME?</v>
      </c>
      <c r="H18" s="95" t="e">
        <f ca="1">RTD("esrtd",,"*H",$A$3,_xll.ESFldID(H$5,$B$3),$B$3,,$A18)</f>
        <v>#NAME?</v>
      </c>
      <c r="I18" s="94" t="e">
        <f ca="1">RTD("esrtd",,"*H",$A$3,_xll.ESFldID(I$5,$B$3),$B$3,,$A18)</f>
        <v>#NAME?</v>
      </c>
    </row>
    <row r="19" spans="1:9" x14ac:dyDescent="0.25">
      <c r="A19" s="91">
        <v>91</v>
      </c>
      <c r="B19" s="92" t="e">
        <f ca="1">RTD("esrtd",,"*H",$A$3,_xll.ESFldID(B$5,$B$3),$B$3,,$A19)</f>
        <v>#NAME?</v>
      </c>
      <c r="C19" s="92" t="e">
        <f ca="1">RTD("esrtd",,"*H",$A$3,_xll.ESFldID(C$5,$B$3),$B$3,,$A19)</f>
        <v>#NAME?</v>
      </c>
      <c r="D19" s="92" t="e">
        <f ca="1">RTD("esrtd",,"*H",$A$3,_xll.ESFldID(D$5,$B$3),$B$3,,$A19)</f>
        <v>#NAME?</v>
      </c>
      <c r="E19" s="92" t="e">
        <f ca="1">RTD("esrtd",,"*H",$A$3,_xll.ESFldID(E$5,$B$3),$B$3,,$A19)</f>
        <v>#NAME?</v>
      </c>
      <c r="F19" s="92" t="e">
        <f ca="1">RTD("esrtd",,"*H",$A$3,_xll.ESFldID(F$5,$B$3),$B$3,,$A19)</f>
        <v>#NAME?</v>
      </c>
      <c r="G19" s="94" t="e">
        <f ca="1">RTD("esrtd",,"*H",$A$3,_xll.ESFldID(G$5,$B$3),$B$3,,$A19)</f>
        <v>#NAME?</v>
      </c>
      <c r="H19" s="95" t="e">
        <f ca="1">RTD("esrtd",,"*H",$A$3,_xll.ESFldID(H$5,$B$3),$B$3,,$A19)</f>
        <v>#NAME?</v>
      </c>
      <c r="I19" s="94" t="e">
        <f ca="1">RTD("esrtd",,"*H",$A$3,_xll.ESFldID(I$5,$B$3),$B$3,,$A19)</f>
        <v>#NAME?</v>
      </c>
    </row>
    <row r="20" spans="1:9" x14ac:dyDescent="0.25">
      <c r="A20" s="91">
        <v>90</v>
      </c>
      <c r="B20" s="92" t="e">
        <f ca="1">RTD("esrtd",,"*H",$A$3,_xll.ESFldID(B$5,$B$3),$B$3,,$A20)</f>
        <v>#NAME?</v>
      </c>
      <c r="C20" s="92" t="e">
        <f ca="1">RTD("esrtd",,"*H",$A$3,_xll.ESFldID(C$5,$B$3),$B$3,,$A20)</f>
        <v>#NAME?</v>
      </c>
      <c r="D20" s="92" t="e">
        <f ca="1">RTD("esrtd",,"*H",$A$3,_xll.ESFldID(D$5,$B$3),$B$3,,$A20)</f>
        <v>#NAME?</v>
      </c>
      <c r="E20" s="92" t="e">
        <f ca="1">RTD("esrtd",,"*H",$A$3,_xll.ESFldID(E$5,$B$3),$B$3,,$A20)</f>
        <v>#NAME?</v>
      </c>
      <c r="F20" s="92" t="e">
        <f ca="1">RTD("esrtd",,"*H",$A$3,_xll.ESFldID(F$5,$B$3),$B$3,,$A20)</f>
        <v>#NAME?</v>
      </c>
      <c r="G20" s="94" t="e">
        <f ca="1">RTD("esrtd",,"*H",$A$3,_xll.ESFldID(G$5,$B$3),$B$3,,$A20)</f>
        <v>#NAME?</v>
      </c>
      <c r="H20" s="95" t="e">
        <f ca="1">RTD("esrtd",,"*H",$A$3,_xll.ESFldID(H$5,$B$3),$B$3,,$A20)</f>
        <v>#NAME?</v>
      </c>
      <c r="I20" s="94" t="e">
        <f ca="1">RTD("esrtd",,"*H",$A$3,_xll.ESFldID(I$5,$B$3),$B$3,,$A20)</f>
        <v>#NAME?</v>
      </c>
    </row>
    <row r="21" spans="1:9" x14ac:dyDescent="0.25">
      <c r="A21" s="91">
        <v>89</v>
      </c>
      <c r="B21" s="92" t="e">
        <f ca="1">RTD("esrtd",,"*H",$A$3,_xll.ESFldID(B$5,$B$3),$B$3,,$A21)</f>
        <v>#NAME?</v>
      </c>
      <c r="C21" s="92" t="e">
        <f ca="1">RTD("esrtd",,"*H",$A$3,_xll.ESFldID(C$5,$B$3),$B$3,,$A21)</f>
        <v>#NAME?</v>
      </c>
      <c r="D21" s="92" t="e">
        <f ca="1">RTD("esrtd",,"*H",$A$3,_xll.ESFldID(D$5,$B$3),$B$3,,$A21)</f>
        <v>#NAME?</v>
      </c>
      <c r="E21" s="92" t="e">
        <f ca="1">RTD("esrtd",,"*H",$A$3,_xll.ESFldID(E$5,$B$3),$B$3,,$A21)</f>
        <v>#NAME?</v>
      </c>
      <c r="F21" s="92" t="e">
        <f ca="1">RTD("esrtd",,"*H",$A$3,_xll.ESFldID(F$5,$B$3),$B$3,,$A21)</f>
        <v>#NAME?</v>
      </c>
      <c r="G21" s="94" t="e">
        <f ca="1">RTD("esrtd",,"*H",$A$3,_xll.ESFldID(G$5,$B$3),$B$3,,$A21)</f>
        <v>#NAME?</v>
      </c>
      <c r="H21" s="95" t="e">
        <f ca="1">RTD("esrtd",,"*H",$A$3,_xll.ESFldID(H$5,$B$3),$B$3,,$A21)</f>
        <v>#NAME?</v>
      </c>
      <c r="I21" s="94" t="e">
        <f ca="1">RTD("esrtd",,"*H",$A$3,_xll.ESFldID(I$5,$B$3),$B$3,,$A21)</f>
        <v>#NAME?</v>
      </c>
    </row>
    <row r="22" spans="1:9" x14ac:dyDescent="0.25">
      <c r="A22" s="91">
        <v>88</v>
      </c>
      <c r="B22" s="92" t="e">
        <f ca="1">RTD("esrtd",,"*H",$A$3,_xll.ESFldID(B$5,$B$3),$B$3,,$A22)</f>
        <v>#NAME?</v>
      </c>
      <c r="C22" s="92" t="e">
        <f ca="1">RTD("esrtd",,"*H",$A$3,_xll.ESFldID(C$5,$B$3),$B$3,,$A22)</f>
        <v>#NAME?</v>
      </c>
      <c r="D22" s="92" t="e">
        <f ca="1">RTD("esrtd",,"*H",$A$3,_xll.ESFldID(D$5,$B$3),$B$3,,$A22)</f>
        <v>#NAME?</v>
      </c>
      <c r="E22" s="92" t="e">
        <f ca="1">RTD("esrtd",,"*H",$A$3,_xll.ESFldID(E$5,$B$3),$B$3,,$A22)</f>
        <v>#NAME?</v>
      </c>
      <c r="F22" s="92" t="e">
        <f ca="1">RTD("esrtd",,"*H",$A$3,_xll.ESFldID(F$5,$B$3),$B$3,,$A22)</f>
        <v>#NAME?</v>
      </c>
      <c r="G22" s="94" t="e">
        <f ca="1">RTD("esrtd",,"*H",$A$3,_xll.ESFldID(G$5,$B$3),$B$3,,$A22)</f>
        <v>#NAME?</v>
      </c>
      <c r="H22" s="95" t="e">
        <f ca="1">RTD("esrtd",,"*H",$A$3,_xll.ESFldID(H$5,$B$3),$B$3,,$A22)</f>
        <v>#NAME?</v>
      </c>
      <c r="I22" s="94" t="e">
        <f ca="1">RTD("esrtd",,"*H",$A$3,_xll.ESFldID(I$5,$B$3),$B$3,,$A22)</f>
        <v>#NAME?</v>
      </c>
    </row>
    <row r="23" spans="1:9" x14ac:dyDescent="0.25">
      <c r="A23" s="91">
        <v>87</v>
      </c>
      <c r="B23" s="92" t="e">
        <f ca="1">RTD("esrtd",,"*H",$A$3,_xll.ESFldID(B$5,$B$3),$B$3,,$A23)</f>
        <v>#NAME?</v>
      </c>
      <c r="C23" s="92" t="e">
        <f ca="1">RTD("esrtd",,"*H",$A$3,_xll.ESFldID(C$5,$B$3),$B$3,,$A23)</f>
        <v>#NAME?</v>
      </c>
      <c r="D23" s="92" t="e">
        <f ca="1">RTD("esrtd",,"*H",$A$3,_xll.ESFldID(D$5,$B$3),$B$3,,$A23)</f>
        <v>#NAME?</v>
      </c>
      <c r="E23" s="92" t="e">
        <f ca="1">RTD("esrtd",,"*H",$A$3,_xll.ESFldID(E$5,$B$3),$B$3,,$A23)</f>
        <v>#NAME?</v>
      </c>
      <c r="F23" s="92" t="e">
        <f ca="1">RTD("esrtd",,"*H",$A$3,_xll.ESFldID(F$5,$B$3),$B$3,,$A23)</f>
        <v>#NAME?</v>
      </c>
      <c r="G23" s="94" t="e">
        <f ca="1">RTD("esrtd",,"*H",$A$3,_xll.ESFldID(G$5,$B$3),$B$3,,$A23)</f>
        <v>#NAME?</v>
      </c>
      <c r="H23" s="95" t="e">
        <f ca="1">RTD("esrtd",,"*H",$A$3,_xll.ESFldID(H$5,$B$3),$B$3,,$A23)</f>
        <v>#NAME?</v>
      </c>
      <c r="I23" s="94" t="e">
        <f ca="1">RTD("esrtd",,"*H",$A$3,_xll.ESFldID(I$5,$B$3),$B$3,,$A23)</f>
        <v>#NAME?</v>
      </c>
    </row>
    <row r="24" spans="1:9" x14ac:dyDescent="0.25">
      <c r="A24" s="91">
        <v>86</v>
      </c>
      <c r="B24" s="92" t="e">
        <f ca="1">RTD("esrtd",,"*H",$A$3,_xll.ESFldID(B$5,$B$3),$B$3,,$A24)</f>
        <v>#NAME?</v>
      </c>
      <c r="C24" s="92" t="e">
        <f ca="1">RTD("esrtd",,"*H",$A$3,_xll.ESFldID(C$5,$B$3),$B$3,,$A24)</f>
        <v>#NAME?</v>
      </c>
      <c r="D24" s="92" t="e">
        <f ca="1">RTD("esrtd",,"*H",$A$3,_xll.ESFldID(D$5,$B$3),$B$3,,$A24)</f>
        <v>#NAME?</v>
      </c>
      <c r="E24" s="92" t="e">
        <f ca="1">RTD("esrtd",,"*H",$A$3,_xll.ESFldID(E$5,$B$3),$B$3,,$A24)</f>
        <v>#NAME?</v>
      </c>
      <c r="F24" s="92" t="e">
        <f ca="1">RTD("esrtd",,"*H",$A$3,_xll.ESFldID(F$5,$B$3),$B$3,,$A24)</f>
        <v>#NAME?</v>
      </c>
      <c r="G24" s="94" t="e">
        <f ca="1">RTD("esrtd",,"*H",$A$3,_xll.ESFldID(G$5,$B$3),$B$3,,$A24)</f>
        <v>#NAME?</v>
      </c>
      <c r="H24" s="95" t="e">
        <f ca="1">RTD("esrtd",,"*H",$A$3,_xll.ESFldID(H$5,$B$3),$B$3,,$A24)</f>
        <v>#NAME?</v>
      </c>
      <c r="I24" s="94" t="e">
        <f ca="1">RTD("esrtd",,"*H",$A$3,_xll.ESFldID(I$5,$B$3),$B$3,,$A24)</f>
        <v>#NAME?</v>
      </c>
    </row>
    <row r="25" spans="1:9" x14ac:dyDescent="0.25">
      <c r="A25" s="91">
        <v>85</v>
      </c>
      <c r="B25" s="92" t="e">
        <f ca="1">RTD("esrtd",,"*H",$A$3,_xll.ESFldID(B$5,$B$3),$B$3,,$A25)</f>
        <v>#NAME?</v>
      </c>
      <c r="C25" s="92" t="e">
        <f ca="1">RTD("esrtd",,"*H",$A$3,_xll.ESFldID(C$5,$B$3),$B$3,,$A25)</f>
        <v>#NAME?</v>
      </c>
      <c r="D25" s="92" t="e">
        <f ca="1">RTD("esrtd",,"*H",$A$3,_xll.ESFldID(D$5,$B$3),$B$3,,$A25)</f>
        <v>#NAME?</v>
      </c>
      <c r="E25" s="92" t="e">
        <f ca="1">RTD("esrtd",,"*H",$A$3,_xll.ESFldID(E$5,$B$3),$B$3,,$A25)</f>
        <v>#NAME?</v>
      </c>
      <c r="F25" s="92" t="e">
        <f ca="1">RTD("esrtd",,"*H",$A$3,_xll.ESFldID(F$5,$B$3),$B$3,,$A25)</f>
        <v>#NAME?</v>
      </c>
      <c r="G25" s="94" t="e">
        <f ca="1">RTD("esrtd",,"*H",$A$3,_xll.ESFldID(G$5,$B$3),$B$3,,$A25)</f>
        <v>#NAME?</v>
      </c>
      <c r="H25" s="95" t="e">
        <f ca="1">RTD("esrtd",,"*H",$A$3,_xll.ESFldID(H$5,$B$3),$B$3,,$A25)</f>
        <v>#NAME?</v>
      </c>
      <c r="I25" s="94" t="e">
        <f ca="1">RTD("esrtd",,"*H",$A$3,_xll.ESFldID(I$5,$B$3),$B$3,,$A25)</f>
        <v>#NAME?</v>
      </c>
    </row>
    <row r="26" spans="1:9" x14ac:dyDescent="0.25">
      <c r="A26" s="91">
        <v>84</v>
      </c>
      <c r="B26" s="92" t="e">
        <f ca="1">RTD("esrtd",,"*H",$A$3,_xll.ESFldID(B$5,$B$3),$B$3,,$A26)</f>
        <v>#NAME?</v>
      </c>
      <c r="C26" s="92" t="e">
        <f ca="1">RTD("esrtd",,"*H",$A$3,_xll.ESFldID(C$5,$B$3),$B$3,,$A26)</f>
        <v>#NAME?</v>
      </c>
      <c r="D26" s="92" t="e">
        <f ca="1">RTD("esrtd",,"*H",$A$3,_xll.ESFldID(D$5,$B$3),$B$3,,$A26)</f>
        <v>#NAME?</v>
      </c>
      <c r="E26" s="92" t="e">
        <f ca="1">RTD("esrtd",,"*H",$A$3,_xll.ESFldID(E$5,$B$3),$B$3,,$A26)</f>
        <v>#NAME?</v>
      </c>
      <c r="F26" s="92" t="e">
        <f ca="1">RTD("esrtd",,"*H",$A$3,_xll.ESFldID(F$5,$B$3),$B$3,,$A26)</f>
        <v>#NAME?</v>
      </c>
      <c r="G26" s="94" t="e">
        <f ca="1">RTD("esrtd",,"*H",$A$3,_xll.ESFldID(G$5,$B$3),$B$3,,$A26)</f>
        <v>#NAME?</v>
      </c>
      <c r="H26" s="95" t="e">
        <f ca="1">RTD("esrtd",,"*H",$A$3,_xll.ESFldID(H$5,$B$3),$B$3,,$A26)</f>
        <v>#NAME?</v>
      </c>
      <c r="I26" s="94" t="e">
        <f ca="1">RTD("esrtd",,"*H",$A$3,_xll.ESFldID(I$5,$B$3),$B$3,,$A26)</f>
        <v>#NAME?</v>
      </c>
    </row>
    <row r="27" spans="1:9" x14ac:dyDescent="0.25">
      <c r="A27" s="91">
        <v>83</v>
      </c>
      <c r="B27" s="92" t="e">
        <f ca="1">RTD("esrtd",,"*H",$A$3,_xll.ESFldID(B$5,$B$3),$B$3,,$A27)</f>
        <v>#NAME?</v>
      </c>
      <c r="C27" s="92" t="e">
        <f ca="1">RTD("esrtd",,"*H",$A$3,_xll.ESFldID(C$5,$B$3),$B$3,,$A27)</f>
        <v>#NAME?</v>
      </c>
      <c r="D27" s="92" t="e">
        <f ca="1">RTD("esrtd",,"*H",$A$3,_xll.ESFldID(D$5,$B$3),$B$3,,$A27)</f>
        <v>#NAME?</v>
      </c>
      <c r="E27" s="92" t="e">
        <f ca="1">RTD("esrtd",,"*H",$A$3,_xll.ESFldID(E$5,$B$3),$B$3,,$A27)</f>
        <v>#NAME?</v>
      </c>
      <c r="F27" s="92" t="e">
        <f ca="1">RTD("esrtd",,"*H",$A$3,_xll.ESFldID(F$5,$B$3),$B$3,,$A27)</f>
        <v>#NAME?</v>
      </c>
      <c r="G27" s="94" t="e">
        <f ca="1">RTD("esrtd",,"*H",$A$3,_xll.ESFldID(G$5,$B$3),$B$3,,$A27)</f>
        <v>#NAME?</v>
      </c>
      <c r="H27" s="95" t="e">
        <f ca="1">RTD("esrtd",,"*H",$A$3,_xll.ESFldID(H$5,$B$3),$B$3,,$A27)</f>
        <v>#NAME?</v>
      </c>
      <c r="I27" s="94" t="e">
        <f ca="1">RTD("esrtd",,"*H",$A$3,_xll.ESFldID(I$5,$B$3),$B$3,,$A27)</f>
        <v>#NAME?</v>
      </c>
    </row>
    <row r="28" spans="1:9" x14ac:dyDescent="0.25">
      <c r="A28" s="91">
        <v>82</v>
      </c>
      <c r="B28" s="92" t="e">
        <f ca="1">RTD("esrtd",,"*H",$A$3,_xll.ESFldID(B$5,$B$3),$B$3,,$A28)</f>
        <v>#NAME?</v>
      </c>
      <c r="C28" s="92" t="e">
        <f ca="1">RTD("esrtd",,"*H",$A$3,_xll.ESFldID(C$5,$B$3),$B$3,,$A28)</f>
        <v>#NAME?</v>
      </c>
      <c r="D28" s="92" t="e">
        <f ca="1">RTD("esrtd",,"*H",$A$3,_xll.ESFldID(D$5,$B$3),$B$3,,$A28)</f>
        <v>#NAME?</v>
      </c>
      <c r="E28" s="92" t="e">
        <f ca="1">RTD("esrtd",,"*H",$A$3,_xll.ESFldID(E$5,$B$3),$B$3,,$A28)</f>
        <v>#NAME?</v>
      </c>
      <c r="F28" s="92" t="e">
        <f ca="1">RTD("esrtd",,"*H",$A$3,_xll.ESFldID(F$5,$B$3),$B$3,,$A28)</f>
        <v>#NAME?</v>
      </c>
      <c r="G28" s="94" t="e">
        <f ca="1">RTD("esrtd",,"*H",$A$3,_xll.ESFldID(G$5,$B$3),$B$3,,$A28)</f>
        <v>#NAME?</v>
      </c>
      <c r="H28" s="95" t="e">
        <f ca="1">RTD("esrtd",,"*H",$A$3,_xll.ESFldID(H$5,$B$3),$B$3,,$A28)</f>
        <v>#NAME?</v>
      </c>
      <c r="I28" s="94" t="e">
        <f ca="1">RTD("esrtd",,"*H",$A$3,_xll.ESFldID(I$5,$B$3),$B$3,,$A28)</f>
        <v>#NAME?</v>
      </c>
    </row>
    <row r="29" spans="1:9" x14ac:dyDescent="0.25">
      <c r="A29" s="91">
        <v>81</v>
      </c>
      <c r="B29" s="92" t="e">
        <f ca="1">RTD("esrtd",,"*H",$A$3,_xll.ESFldID(B$5,$B$3),$B$3,,$A29)</f>
        <v>#NAME?</v>
      </c>
      <c r="C29" s="92" t="e">
        <f ca="1">RTD("esrtd",,"*H",$A$3,_xll.ESFldID(C$5,$B$3),$B$3,,$A29)</f>
        <v>#NAME?</v>
      </c>
      <c r="D29" s="92" t="e">
        <f ca="1">RTD("esrtd",,"*H",$A$3,_xll.ESFldID(D$5,$B$3),$B$3,,$A29)</f>
        <v>#NAME?</v>
      </c>
      <c r="E29" s="92" t="e">
        <f ca="1">RTD("esrtd",,"*H",$A$3,_xll.ESFldID(E$5,$B$3),$B$3,,$A29)</f>
        <v>#NAME?</v>
      </c>
      <c r="F29" s="92" t="e">
        <f ca="1">RTD("esrtd",,"*H",$A$3,_xll.ESFldID(F$5,$B$3),$B$3,,$A29)</f>
        <v>#NAME?</v>
      </c>
      <c r="G29" s="94" t="e">
        <f ca="1">RTD("esrtd",,"*H",$A$3,_xll.ESFldID(G$5,$B$3),$B$3,,$A29)</f>
        <v>#NAME?</v>
      </c>
      <c r="H29" s="95" t="e">
        <f ca="1">RTD("esrtd",,"*H",$A$3,_xll.ESFldID(H$5,$B$3),$B$3,,$A29)</f>
        <v>#NAME?</v>
      </c>
      <c r="I29" s="94" t="e">
        <f ca="1">RTD("esrtd",,"*H",$A$3,_xll.ESFldID(I$5,$B$3),$B$3,,$A29)</f>
        <v>#NAME?</v>
      </c>
    </row>
    <row r="30" spans="1:9" x14ac:dyDescent="0.25">
      <c r="A30" s="91">
        <v>80</v>
      </c>
      <c r="B30" s="92" t="e">
        <f ca="1">RTD("esrtd",,"*H",$A$3,_xll.ESFldID(B$5,$B$3),$B$3,,$A30)</f>
        <v>#NAME?</v>
      </c>
      <c r="C30" s="92" t="e">
        <f ca="1">RTD("esrtd",,"*H",$A$3,_xll.ESFldID(C$5,$B$3),$B$3,,$A30)</f>
        <v>#NAME?</v>
      </c>
      <c r="D30" s="92" t="e">
        <f ca="1">RTD("esrtd",,"*H",$A$3,_xll.ESFldID(D$5,$B$3),$B$3,,$A30)</f>
        <v>#NAME?</v>
      </c>
      <c r="E30" s="92" t="e">
        <f ca="1">RTD("esrtd",,"*H",$A$3,_xll.ESFldID(E$5,$B$3),$B$3,,$A30)</f>
        <v>#NAME?</v>
      </c>
      <c r="F30" s="92" t="e">
        <f ca="1">RTD("esrtd",,"*H",$A$3,_xll.ESFldID(F$5,$B$3),$B$3,,$A30)</f>
        <v>#NAME?</v>
      </c>
      <c r="G30" s="94" t="e">
        <f ca="1">RTD("esrtd",,"*H",$A$3,_xll.ESFldID(G$5,$B$3),$B$3,,$A30)</f>
        <v>#NAME?</v>
      </c>
      <c r="H30" s="95" t="e">
        <f ca="1">RTD("esrtd",,"*H",$A$3,_xll.ESFldID(H$5,$B$3),$B$3,,$A30)</f>
        <v>#NAME?</v>
      </c>
      <c r="I30" s="94" t="e">
        <f ca="1">RTD("esrtd",,"*H",$A$3,_xll.ESFldID(I$5,$B$3),$B$3,,$A30)</f>
        <v>#NAME?</v>
      </c>
    </row>
    <row r="31" spans="1:9" x14ac:dyDescent="0.25">
      <c r="A31" s="91">
        <v>79</v>
      </c>
      <c r="B31" s="92" t="e">
        <f ca="1">RTD("esrtd",,"*H",$A$3,_xll.ESFldID(B$5,$B$3),$B$3,,$A31)</f>
        <v>#NAME?</v>
      </c>
      <c r="C31" s="92" t="e">
        <f ca="1">RTD("esrtd",,"*H",$A$3,_xll.ESFldID(C$5,$B$3),$B$3,,$A31)</f>
        <v>#NAME?</v>
      </c>
      <c r="D31" s="92" t="e">
        <f ca="1">RTD("esrtd",,"*H",$A$3,_xll.ESFldID(D$5,$B$3),$B$3,,$A31)</f>
        <v>#NAME?</v>
      </c>
      <c r="E31" s="92" t="e">
        <f ca="1">RTD("esrtd",,"*H",$A$3,_xll.ESFldID(E$5,$B$3),$B$3,,$A31)</f>
        <v>#NAME?</v>
      </c>
      <c r="F31" s="92" t="e">
        <f ca="1">RTD("esrtd",,"*H",$A$3,_xll.ESFldID(F$5,$B$3),$B$3,,$A31)</f>
        <v>#NAME?</v>
      </c>
      <c r="G31" s="94" t="e">
        <f ca="1">RTD("esrtd",,"*H",$A$3,_xll.ESFldID(G$5,$B$3),$B$3,,$A31)</f>
        <v>#NAME?</v>
      </c>
      <c r="H31" s="95" t="e">
        <f ca="1">RTD("esrtd",,"*H",$A$3,_xll.ESFldID(H$5,$B$3),$B$3,,$A31)</f>
        <v>#NAME?</v>
      </c>
      <c r="I31" s="94" t="e">
        <f ca="1">RTD("esrtd",,"*H",$A$3,_xll.ESFldID(I$5,$B$3),$B$3,,$A31)</f>
        <v>#NAME?</v>
      </c>
    </row>
    <row r="32" spans="1:9" x14ac:dyDescent="0.25">
      <c r="A32" s="91">
        <v>78</v>
      </c>
      <c r="B32" s="92" t="e">
        <f ca="1">RTD("esrtd",,"*H",$A$3,_xll.ESFldID(B$5,$B$3),$B$3,,$A32)</f>
        <v>#NAME?</v>
      </c>
      <c r="C32" s="92" t="e">
        <f ca="1">RTD("esrtd",,"*H",$A$3,_xll.ESFldID(C$5,$B$3),$B$3,,$A32)</f>
        <v>#NAME?</v>
      </c>
      <c r="D32" s="92" t="e">
        <f ca="1">RTD("esrtd",,"*H",$A$3,_xll.ESFldID(D$5,$B$3),$B$3,,$A32)</f>
        <v>#NAME?</v>
      </c>
      <c r="E32" s="92" t="e">
        <f ca="1">RTD("esrtd",,"*H",$A$3,_xll.ESFldID(E$5,$B$3),$B$3,,$A32)</f>
        <v>#NAME?</v>
      </c>
      <c r="F32" s="92" t="e">
        <f ca="1">RTD("esrtd",,"*H",$A$3,_xll.ESFldID(F$5,$B$3),$B$3,,$A32)</f>
        <v>#NAME?</v>
      </c>
      <c r="G32" s="94" t="e">
        <f ca="1">RTD("esrtd",,"*H",$A$3,_xll.ESFldID(G$5,$B$3),$B$3,,$A32)</f>
        <v>#NAME?</v>
      </c>
      <c r="H32" s="95" t="e">
        <f ca="1">RTD("esrtd",,"*H",$A$3,_xll.ESFldID(H$5,$B$3),$B$3,,$A32)</f>
        <v>#NAME?</v>
      </c>
      <c r="I32" s="94" t="e">
        <f ca="1">RTD("esrtd",,"*H",$A$3,_xll.ESFldID(I$5,$B$3),$B$3,,$A32)</f>
        <v>#NAME?</v>
      </c>
    </row>
    <row r="33" spans="1:9" x14ac:dyDescent="0.25">
      <c r="A33" s="91">
        <v>77</v>
      </c>
      <c r="B33" s="92" t="e">
        <f ca="1">RTD("esrtd",,"*H",$A$3,_xll.ESFldID(B$5,$B$3),$B$3,,$A33)</f>
        <v>#NAME?</v>
      </c>
      <c r="C33" s="92" t="e">
        <f ca="1">RTD("esrtd",,"*H",$A$3,_xll.ESFldID(C$5,$B$3),$B$3,,$A33)</f>
        <v>#NAME?</v>
      </c>
      <c r="D33" s="92" t="e">
        <f ca="1">RTD("esrtd",,"*H",$A$3,_xll.ESFldID(D$5,$B$3),$B$3,,$A33)</f>
        <v>#NAME?</v>
      </c>
      <c r="E33" s="92" t="e">
        <f ca="1">RTD("esrtd",,"*H",$A$3,_xll.ESFldID(E$5,$B$3),$B$3,,$A33)</f>
        <v>#NAME?</v>
      </c>
      <c r="F33" s="92" t="e">
        <f ca="1">RTD("esrtd",,"*H",$A$3,_xll.ESFldID(F$5,$B$3),$B$3,,$A33)</f>
        <v>#NAME?</v>
      </c>
      <c r="G33" s="94" t="e">
        <f ca="1">RTD("esrtd",,"*H",$A$3,_xll.ESFldID(G$5,$B$3),$B$3,,$A33)</f>
        <v>#NAME?</v>
      </c>
      <c r="H33" s="95" t="e">
        <f ca="1">RTD("esrtd",,"*H",$A$3,_xll.ESFldID(H$5,$B$3),$B$3,,$A33)</f>
        <v>#NAME?</v>
      </c>
      <c r="I33" s="94" t="e">
        <f ca="1">RTD("esrtd",,"*H",$A$3,_xll.ESFldID(I$5,$B$3),$B$3,,$A33)</f>
        <v>#NAME?</v>
      </c>
    </row>
    <row r="34" spans="1:9" x14ac:dyDescent="0.25">
      <c r="A34" s="91">
        <v>76</v>
      </c>
      <c r="B34" s="92" t="e">
        <f ca="1">RTD("esrtd",,"*H",$A$3,_xll.ESFldID(B$5,$B$3),$B$3,,$A34)</f>
        <v>#NAME?</v>
      </c>
      <c r="C34" s="92" t="e">
        <f ca="1">RTD("esrtd",,"*H",$A$3,_xll.ESFldID(C$5,$B$3),$B$3,,$A34)</f>
        <v>#NAME?</v>
      </c>
      <c r="D34" s="92" t="e">
        <f ca="1">RTD("esrtd",,"*H",$A$3,_xll.ESFldID(D$5,$B$3),$B$3,,$A34)</f>
        <v>#NAME?</v>
      </c>
      <c r="E34" s="92" t="e">
        <f ca="1">RTD("esrtd",,"*H",$A$3,_xll.ESFldID(E$5,$B$3),$B$3,,$A34)</f>
        <v>#NAME?</v>
      </c>
      <c r="F34" s="92" t="e">
        <f ca="1">RTD("esrtd",,"*H",$A$3,_xll.ESFldID(F$5,$B$3),$B$3,,$A34)</f>
        <v>#NAME?</v>
      </c>
      <c r="G34" s="94" t="e">
        <f ca="1">RTD("esrtd",,"*H",$A$3,_xll.ESFldID(G$5,$B$3),$B$3,,$A34)</f>
        <v>#NAME?</v>
      </c>
      <c r="H34" s="95" t="e">
        <f ca="1">RTD("esrtd",,"*H",$A$3,_xll.ESFldID(H$5,$B$3),$B$3,,$A34)</f>
        <v>#NAME?</v>
      </c>
      <c r="I34" s="94" t="e">
        <f ca="1">RTD("esrtd",,"*H",$A$3,_xll.ESFldID(I$5,$B$3),$B$3,,$A34)</f>
        <v>#NAME?</v>
      </c>
    </row>
    <row r="35" spans="1:9" x14ac:dyDescent="0.25">
      <c r="A35" s="91">
        <v>75</v>
      </c>
      <c r="B35" s="92" t="e">
        <f ca="1">RTD("esrtd",,"*H",$A$3,_xll.ESFldID(B$5,$B$3),$B$3,,$A35)</f>
        <v>#NAME?</v>
      </c>
      <c r="C35" s="92" t="e">
        <f ca="1">RTD("esrtd",,"*H",$A$3,_xll.ESFldID(C$5,$B$3),$B$3,,$A35)</f>
        <v>#NAME?</v>
      </c>
      <c r="D35" s="92" t="e">
        <f ca="1">RTD("esrtd",,"*H",$A$3,_xll.ESFldID(D$5,$B$3),$B$3,,$A35)</f>
        <v>#NAME?</v>
      </c>
      <c r="E35" s="92" t="e">
        <f ca="1">RTD("esrtd",,"*H",$A$3,_xll.ESFldID(E$5,$B$3),$B$3,,$A35)</f>
        <v>#NAME?</v>
      </c>
      <c r="F35" s="92" t="e">
        <f ca="1">RTD("esrtd",,"*H",$A$3,_xll.ESFldID(F$5,$B$3),$B$3,,$A35)</f>
        <v>#NAME?</v>
      </c>
      <c r="G35" s="94" t="e">
        <f ca="1">RTD("esrtd",,"*H",$A$3,_xll.ESFldID(G$5,$B$3),$B$3,,$A35)</f>
        <v>#NAME?</v>
      </c>
      <c r="H35" s="95" t="e">
        <f ca="1">RTD("esrtd",,"*H",$A$3,_xll.ESFldID(H$5,$B$3),$B$3,,$A35)</f>
        <v>#NAME?</v>
      </c>
      <c r="I35" s="94" t="e">
        <f ca="1">RTD("esrtd",,"*H",$A$3,_xll.ESFldID(I$5,$B$3),$B$3,,$A35)</f>
        <v>#NAME?</v>
      </c>
    </row>
    <row r="36" spans="1:9" x14ac:dyDescent="0.25">
      <c r="A36" s="91">
        <v>74</v>
      </c>
      <c r="B36" s="92" t="e">
        <f ca="1">RTD("esrtd",,"*H",$A$3,_xll.ESFldID(B$5,$B$3),$B$3,,$A36)</f>
        <v>#NAME?</v>
      </c>
      <c r="C36" s="92" t="e">
        <f ca="1">RTD("esrtd",,"*H",$A$3,_xll.ESFldID(C$5,$B$3),$B$3,,$A36)</f>
        <v>#NAME?</v>
      </c>
      <c r="D36" s="92" t="e">
        <f ca="1">RTD("esrtd",,"*H",$A$3,_xll.ESFldID(D$5,$B$3),$B$3,,$A36)</f>
        <v>#NAME?</v>
      </c>
      <c r="E36" s="92" t="e">
        <f ca="1">RTD("esrtd",,"*H",$A$3,_xll.ESFldID(E$5,$B$3),$B$3,,$A36)</f>
        <v>#NAME?</v>
      </c>
      <c r="F36" s="92" t="e">
        <f ca="1">RTD("esrtd",,"*H",$A$3,_xll.ESFldID(F$5,$B$3),$B$3,,$A36)</f>
        <v>#NAME?</v>
      </c>
      <c r="G36" s="94" t="e">
        <f ca="1">RTD("esrtd",,"*H",$A$3,_xll.ESFldID(G$5,$B$3),$B$3,,$A36)</f>
        <v>#NAME?</v>
      </c>
      <c r="H36" s="95" t="e">
        <f ca="1">RTD("esrtd",,"*H",$A$3,_xll.ESFldID(H$5,$B$3),$B$3,,$A36)</f>
        <v>#NAME?</v>
      </c>
      <c r="I36" s="94" t="e">
        <f ca="1">RTD("esrtd",,"*H",$A$3,_xll.ESFldID(I$5,$B$3),$B$3,,$A36)</f>
        <v>#NAME?</v>
      </c>
    </row>
    <row r="37" spans="1:9" x14ac:dyDescent="0.25">
      <c r="A37" s="91">
        <v>73</v>
      </c>
      <c r="B37" s="92" t="e">
        <f ca="1">RTD("esrtd",,"*H",$A$3,_xll.ESFldID(B$5,$B$3),$B$3,,$A37)</f>
        <v>#NAME?</v>
      </c>
      <c r="C37" s="92" t="e">
        <f ca="1">RTD("esrtd",,"*H",$A$3,_xll.ESFldID(C$5,$B$3),$B$3,,$A37)</f>
        <v>#NAME?</v>
      </c>
      <c r="D37" s="92" t="e">
        <f ca="1">RTD("esrtd",,"*H",$A$3,_xll.ESFldID(D$5,$B$3),$B$3,,$A37)</f>
        <v>#NAME?</v>
      </c>
      <c r="E37" s="92" t="e">
        <f ca="1">RTD("esrtd",,"*H",$A$3,_xll.ESFldID(E$5,$B$3),$B$3,,$A37)</f>
        <v>#NAME?</v>
      </c>
      <c r="F37" s="92" t="e">
        <f ca="1">RTD("esrtd",,"*H",$A$3,_xll.ESFldID(F$5,$B$3),$B$3,,$A37)</f>
        <v>#NAME?</v>
      </c>
      <c r="G37" s="94" t="e">
        <f ca="1">RTD("esrtd",,"*H",$A$3,_xll.ESFldID(G$5,$B$3),$B$3,,$A37)</f>
        <v>#NAME?</v>
      </c>
      <c r="H37" s="95" t="e">
        <f ca="1">RTD("esrtd",,"*H",$A$3,_xll.ESFldID(H$5,$B$3),$B$3,,$A37)</f>
        <v>#NAME?</v>
      </c>
      <c r="I37" s="94" t="e">
        <f ca="1">RTD("esrtd",,"*H",$A$3,_xll.ESFldID(I$5,$B$3),$B$3,,$A37)</f>
        <v>#NAME?</v>
      </c>
    </row>
    <row r="38" spans="1:9" x14ac:dyDescent="0.25">
      <c r="A38" s="91">
        <v>72</v>
      </c>
      <c r="B38" s="92" t="e">
        <f ca="1">RTD("esrtd",,"*H",$A$3,_xll.ESFldID(B$5,$B$3),$B$3,,$A38)</f>
        <v>#NAME?</v>
      </c>
      <c r="C38" s="92" t="e">
        <f ca="1">RTD("esrtd",,"*H",$A$3,_xll.ESFldID(C$5,$B$3),$B$3,,$A38)</f>
        <v>#NAME?</v>
      </c>
      <c r="D38" s="92" t="e">
        <f ca="1">RTD("esrtd",,"*H",$A$3,_xll.ESFldID(D$5,$B$3),$B$3,,$A38)</f>
        <v>#NAME?</v>
      </c>
      <c r="E38" s="92" t="e">
        <f ca="1">RTD("esrtd",,"*H",$A$3,_xll.ESFldID(E$5,$B$3),$B$3,,$A38)</f>
        <v>#NAME?</v>
      </c>
      <c r="F38" s="92" t="e">
        <f ca="1">RTD("esrtd",,"*H",$A$3,_xll.ESFldID(F$5,$B$3),$B$3,,$A38)</f>
        <v>#NAME?</v>
      </c>
      <c r="G38" s="94" t="e">
        <f ca="1">RTD("esrtd",,"*H",$A$3,_xll.ESFldID(G$5,$B$3),$B$3,,$A38)</f>
        <v>#NAME?</v>
      </c>
      <c r="H38" s="95" t="e">
        <f ca="1">RTD("esrtd",,"*H",$A$3,_xll.ESFldID(H$5,$B$3),$B$3,,$A38)</f>
        <v>#NAME?</v>
      </c>
      <c r="I38" s="94" t="e">
        <f ca="1">RTD("esrtd",,"*H",$A$3,_xll.ESFldID(I$5,$B$3),$B$3,,$A38)</f>
        <v>#NAME?</v>
      </c>
    </row>
    <row r="39" spans="1:9" x14ac:dyDescent="0.25">
      <c r="A39" s="91">
        <v>71</v>
      </c>
      <c r="B39" s="92" t="e">
        <f ca="1">RTD("esrtd",,"*H",$A$3,_xll.ESFldID(B$5,$B$3),$B$3,,$A39)</f>
        <v>#NAME?</v>
      </c>
      <c r="C39" s="92" t="e">
        <f ca="1">RTD("esrtd",,"*H",$A$3,_xll.ESFldID(C$5,$B$3),$B$3,,$A39)</f>
        <v>#NAME?</v>
      </c>
      <c r="D39" s="92" t="e">
        <f ca="1">RTD("esrtd",,"*H",$A$3,_xll.ESFldID(D$5,$B$3),$B$3,,$A39)</f>
        <v>#NAME?</v>
      </c>
      <c r="E39" s="92" t="e">
        <f ca="1">RTD("esrtd",,"*H",$A$3,_xll.ESFldID(E$5,$B$3),$B$3,,$A39)</f>
        <v>#NAME?</v>
      </c>
      <c r="F39" s="92" t="e">
        <f ca="1">RTD("esrtd",,"*H",$A$3,_xll.ESFldID(F$5,$B$3),$B$3,,$A39)</f>
        <v>#NAME?</v>
      </c>
      <c r="G39" s="94" t="e">
        <f ca="1">RTD("esrtd",,"*H",$A$3,_xll.ESFldID(G$5,$B$3),$B$3,,$A39)</f>
        <v>#NAME?</v>
      </c>
      <c r="H39" s="95" t="e">
        <f ca="1">RTD("esrtd",,"*H",$A$3,_xll.ESFldID(H$5,$B$3),$B$3,,$A39)</f>
        <v>#NAME?</v>
      </c>
      <c r="I39" s="94" t="e">
        <f ca="1">RTD("esrtd",,"*H",$A$3,_xll.ESFldID(I$5,$B$3),$B$3,,$A39)</f>
        <v>#NAME?</v>
      </c>
    </row>
    <row r="40" spans="1:9" x14ac:dyDescent="0.25">
      <c r="A40" s="91">
        <v>70</v>
      </c>
      <c r="B40" s="92" t="e">
        <f ca="1">RTD("esrtd",,"*H",$A$3,_xll.ESFldID(B$5,$B$3),$B$3,,$A40)</f>
        <v>#NAME?</v>
      </c>
      <c r="C40" s="92" t="e">
        <f ca="1">RTD("esrtd",,"*H",$A$3,_xll.ESFldID(C$5,$B$3),$B$3,,$A40)</f>
        <v>#NAME?</v>
      </c>
      <c r="D40" s="92" t="e">
        <f ca="1">RTD("esrtd",,"*H",$A$3,_xll.ESFldID(D$5,$B$3),$B$3,,$A40)</f>
        <v>#NAME?</v>
      </c>
      <c r="E40" s="92" t="e">
        <f ca="1">RTD("esrtd",,"*H",$A$3,_xll.ESFldID(E$5,$B$3),$B$3,,$A40)</f>
        <v>#NAME?</v>
      </c>
      <c r="F40" s="92" t="e">
        <f ca="1">RTD("esrtd",,"*H",$A$3,_xll.ESFldID(F$5,$B$3),$B$3,,$A40)</f>
        <v>#NAME?</v>
      </c>
      <c r="G40" s="94" t="e">
        <f ca="1">RTD("esrtd",,"*H",$A$3,_xll.ESFldID(G$5,$B$3),$B$3,,$A40)</f>
        <v>#NAME?</v>
      </c>
      <c r="H40" s="95" t="e">
        <f ca="1">RTD("esrtd",,"*H",$A$3,_xll.ESFldID(H$5,$B$3),$B$3,,$A40)</f>
        <v>#NAME?</v>
      </c>
      <c r="I40" s="94" t="e">
        <f ca="1">RTD("esrtd",,"*H",$A$3,_xll.ESFldID(I$5,$B$3),$B$3,,$A40)</f>
        <v>#NAME?</v>
      </c>
    </row>
    <row r="41" spans="1:9" x14ac:dyDescent="0.25">
      <c r="A41" s="91">
        <v>69</v>
      </c>
      <c r="B41" s="92" t="e">
        <f ca="1">RTD("esrtd",,"*H",$A$3,_xll.ESFldID(B$5,$B$3),$B$3,,$A41)</f>
        <v>#NAME?</v>
      </c>
      <c r="C41" s="92" t="e">
        <f ca="1">RTD("esrtd",,"*H",$A$3,_xll.ESFldID(C$5,$B$3),$B$3,,$A41)</f>
        <v>#NAME?</v>
      </c>
      <c r="D41" s="92" t="e">
        <f ca="1">RTD("esrtd",,"*H",$A$3,_xll.ESFldID(D$5,$B$3),$B$3,,$A41)</f>
        <v>#NAME?</v>
      </c>
      <c r="E41" s="92" t="e">
        <f ca="1">RTD("esrtd",,"*H",$A$3,_xll.ESFldID(E$5,$B$3),$B$3,,$A41)</f>
        <v>#NAME?</v>
      </c>
      <c r="F41" s="92" t="e">
        <f ca="1">RTD("esrtd",,"*H",$A$3,_xll.ESFldID(F$5,$B$3),$B$3,,$A41)</f>
        <v>#NAME?</v>
      </c>
      <c r="G41" s="94" t="e">
        <f ca="1">RTD("esrtd",,"*H",$A$3,_xll.ESFldID(G$5,$B$3),$B$3,,$A41)</f>
        <v>#NAME?</v>
      </c>
      <c r="H41" s="95" t="e">
        <f ca="1">RTD("esrtd",,"*H",$A$3,_xll.ESFldID(H$5,$B$3),$B$3,,$A41)</f>
        <v>#NAME?</v>
      </c>
      <c r="I41" s="94" t="e">
        <f ca="1">RTD("esrtd",,"*H",$A$3,_xll.ESFldID(I$5,$B$3),$B$3,,$A41)</f>
        <v>#NAME?</v>
      </c>
    </row>
    <row r="42" spans="1:9" x14ac:dyDescent="0.25">
      <c r="A42" s="91">
        <v>68</v>
      </c>
      <c r="B42" s="92" t="e">
        <f ca="1">RTD("esrtd",,"*H",$A$3,_xll.ESFldID(B$5,$B$3),$B$3,,$A42)</f>
        <v>#NAME?</v>
      </c>
      <c r="C42" s="92" t="e">
        <f ca="1">RTD("esrtd",,"*H",$A$3,_xll.ESFldID(C$5,$B$3),$B$3,,$A42)</f>
        <v>#NAME?</v>
      </c>
      <c r="D42" s="92" t="e">
        <f ca="1">RTD("esrtd",,"*H",$A$3,_xll.ESFldID(D$5,$B$3),$B$3,,$A42)</f>
        <v>#NAME?</v>
      </c>
      <c r="E42" s="92" t="e">
        <f ca="1">RTD("esrtd",,"*H",$A$3,_xll.ESFldID(E$5,$B$3),$B$3,,$A42)</f>
        <v>#NAME?</v>
      </c>
      <c r="F42" s="92" t="e">
        <f ca="1">RTD("esrtd",,"*H",$A$3,_xll.ESFldID(F$5,$B$3),$B$3,,$A42)</f>
        <v>#NAME?</v>
      </c>
      <c r="G42" s="94" t="e">
        <f ca="1">RTD("esrtd",,"*H",$A$3,_xll.ESFldID(G$5,$B$3),$B$3,,$A42)</f>
        <v>#NAME?</v>
      </c>
      <c r="H42" s="95" t="e">
        <f ca="1">RTD("esrtd",,"*H",$A$3,_xll.ESFldID(H$5,$B$3),$B$3,,$A42)</f>
        <v>#NAME?</v>
      </c>
      <c r="I42" s="94" t="e">
        <f ca="1">RTD("esrtd",,"*H",$A$3,_xll.ESFldID(I$5,$B$3),$B$3,,$A42)</f>
        <v>#NAME?</v>
      </c>
    </row>
    <row r="43" spans="1:9" x14ac:dyDescent="0.25">
      <c r="A43" s="91">
        <v>67</v>
      </c>
      <c r="B43" s="92" t="e">
        <f ca="1">RTD("esrtd",,"*H",$A$3,_xll.ESFldID(B$5,$B$3),$B$3,,$A43)</f>
        <v>#NAME?</v>
      </c>
      <c r="C43" s="92" t="e">
        <f ca="1">RTD("esrtd",,"*H",$A$3,_xll.ESFldID(C$5,$B$3),$B$3,,$A43)</f>
        <v>#NAME?</v>
      </c>
      <c r="D43" s="92" t="e">
        <f ca="1">RTD("esrtd",,"*H",$A$3,_xll.ESFldID(D$5,$B$3),$B$3,,$A43)</f>
        <v>#NAME?</v>
      </c>
      <c r="E43" s="92" t="e">
        <f ca="1">RTD("esrtd",,"*H",$A$3,_xll.ESFldID(E$5,$B$3),$B$3,,$A43)</f>
        <v>#NAME?</v>
      </c>
      <c r="F43" s="92" t="e">
        <f ca="1">RTD("esrtd",,"*H",$A$3,_xll.ESFldID(F$5,$B$3),$B$3,,$A43)</f>
        <v>#NAME?</v>
      </c>
      <c r="G43" s="94" t="e">
        <f ca="1">RTD("esrtd",,"*H",$A$3,_xll.ESFldID(G$5,$B$3),$B$3,,$A43)</f>
        <v>#NAME?</v>
      </c>
      <c r="H43" s="95" t="e">
        <f ca="1">RTD("esrtd",,"*H",$A$3,_xll.ESFldID(H$5,$B$3),$B$3,,$A43)</f>
        <v>#NAME?</v>
      </c>
      <c r="I43" s="94" t="e">
        <f ca="1">RTD("esrtd",,"*H",$A$3,_xll.ESFldID(I$5,$B$3),$B$3,,$A43)</f>
        <v>#NAME?</v>
      </c>
    </row>
    <row r="44" spans="1:9" x14ac:dyDescent="0.25">
      <c r="A44" s="91">
        <v>66</v>
      </c>
      <c r="B44" s="92" t="e">
        <f ca="1">RTD("esrtd",,"*H",$A$3,_xll.ESFldID(B$5,$B$3),$B$3,,$A44)</f>
        <v>#NAME?</v>
      </c>
      <c r="C44" s="92" t="e">
        <f ca="1">RTD("esrtd",,"*H",$A$3,_xll.ESFldID(C$5,$B$3),$B$3,,$A44)</f>
        <v>#NAME?</v>
      </c>
      <c r="D44" s="92" t="e">
        <f ca="1">RTD("esrtd",,"*H",$A$3,_xll.ESFldID(D$5,$B$3),$B$3,,$A44)</f>
        <v>#NAME?</v>
      </c>
      <c r="E44" s="92" t="e">
        <f ca="1">RTD("esrtd",,"*H",$A$3,_xll.ESFldID(E$5,$B$3),$B$3,,$A44)</f>
        <v>#NAME?</v>
      </c>
      <c r="F44" s="92" t="e">
        <f ca="1">RTD("esrtd",,"*H",$A$3,_xll.ESFldID(F$5,$B$3),$B$3,,$A44)</f>
        <v>#NAME?</v>
      </c>
      <c r="G44" s="94" t="e">
        <f ca="1">RTD("esrtd",,"*H",$A$3,_xll.ESFldID(G$5,$B$3),$B$3,,$A44)</f>
        <v>#NAME?</v>
      </c>
      <c r="H44" s="95" t="e">
        <f ca="1">RTD("esrtd",,"*H",$A$3,_xll.ESFldID(H$5,$B$3),$B$3,,$A44)</f>
        <v>#NAME?</v>
      </c>
      <c r="I44" s="94" t="e">
        <f ca="1">RTD("esrtd",,"*H",$A$3,_xll.ESFldID(I$5,$B$3),$B$3,,$A44)</f>
        <v>#NAME?</v>
      </c>
    </row>
    <row r="45" spans="1:9" x14ac:dyDescent="0.25">
      <c r="A45" s="91">
        <v>65</v>
      </c>
      <c r="B45" s="92" t="e">
        <f ca="1">RTD("esrtd",,"*H",$A$3,_xll.ESFldID(B$5,$B$3),$B$3,,$A45)</f>
        <v>#NAME?</v>
      </c>
      <c r="C45" s="92" t="e">
        <f ca="1">RTD("esrtd",,"*H",$A$3,_xll.ESFldID(C$5,$B$3),$B$3,,$A45)</f>
        <v>#NAME?</v>
      </c>
      <c r="D45" s="92" t="e">
        <f ca="1">RTD("esrtd",,"*H",$A$3,_xll.ESFldID(D$5,$B$3),$B$3,,$A45)</f>
        <v>#NAME?</v>
      </c>
      <c r="E45" s="92" t="e">
        <f ca="1">RTD("esrtd",,"*H",$A$3,_xll.ESFldID(E$5,$B$3),$B$3,,$A45)</f>
        <v>#NAME?</v>
      </c>
      <c r="F45" s="92" t="e">
        <f ca="1">RTD("esrtd",,"*H",$A$3,_xll.ESFldID(F$5,$B$3),$B$3,,$A45)</f>
        <v>#NAME?</v>
      </c>
      <c r="G45" s="94" t="e">
        <f ca="1">RTD("esrtd",,"*H",$A$3,_xll.ESFldID(G$5,$B$3),$B$3,,$A45)</f>
        <v>#NAME?</v>
      </c>
      <c r="H45" s="95" t="e">
        <f ca="1">RTD("esrtd",,"*H",$A$3,_xll.ESFldID(H$5,$B$3),$B$3,,$A45)</f>
        <v>#NAME?</v>
      </c>
      <c r="I45" s="94" t="e">
        <f ca="1">RTD("esrtd",,"*H",$A$3,_xll.ESFldID(I$5,$B$3),$B$3,,$A45)</f>
        <v>#NAME?</v>
      </c>
    </row>
    <row r="46" spans="1:9" x14ac:dyDescent="0.25">
      <c r="A46" s="91">
        <v>64</v>
      </c>
      <c r="B46" s="92" t="e">
        <f ca="1">RTD("esrtd",,"*H",$A$3,_xll.ESFldID(B$5,$B$3),$B$3,,$A46)</f>
        <v>#NAME?</v>
      </c>
      <c r="C46" s="92" t="e">
        <f ca="1">RTD("esrtd",,"*H",$A$3,_xll.ESFldID(C$5,$B$3),$B$3,,$A46)</f>
        <v>#NAME?</v>
      </c>
      <c r="D46" s="92" t="e">
        <f ca="1">RTD("esrtd",,"*H",$A$3,_xll.ESFldID(D$5,$B$3),$B$3,,$A46)</f>
        <v>#NAME?</v>
      </c>
      <c r="E46" s="92" t="e">
        <f ca="1">RTD("esrtd",,"*H",$A$3,_xll.ESFldID(E$5,$B$3),$B$3,,$A46)</f>
        <v>#NAME?</v>
      </c>
      <c r="F46" s="92" t="e">
        <f ca="1">RTD("esrtd",,"*H",$A$3,_xll.ESFldID(F$5,$B$3),$B$3,,$A46)</f>
        <v>#NAME?</v>
      </c>
      <c r="G46" s="94" t="e">
        <f ca="1">RTD("esrtd",,"*H",$A$3,_xll.ESFldID(G$5,$B$3),$B$3,,$A46)</f>
        <v>#NAME?</v>
      </c>
      <c r="H46" s="95" t="e">
        <f ca="1">RTD("esrtd",,"*H",$A$3,_xll.ESFldID(H$5,$B$3),$B$3,,$A46)</f>
        <v>#NAME?</v>
      </c>
      <c r="I46" s="94" t="e">
        <f ca="1">RTD("esrtd",,"*H",$A$3,_xll.ESFldID(I$5,$B$3),$B$3,,$A46)</f>
        <v>#NAME?</v>
      </c>
    </row>
    <row r="47" spans="1:9" x14ac:dyDescent="0.25">
      <c r="A47" s="91">
        <v>63</v>
      </c>
      <c r="B47" s="92" t="e">
        <f ca="1">RTD("esrtd",,"*H",$A$3,_xll.ESFldID(B$5,$B$3),$B$3,,$A47)</f>
        <v>#NAME?</v>
      </c>
      <c r="C47" s="92" t="e">
        <f ca="1">RTD("esrtd",,"*H",$A$3,_xll.ESFldID(C$5,$B$3),$B$3,,$A47)</f>
        <v>#NAME?</v>
      </c>
      <c r="D47" s="92" t="e">
        <f ca="1">RTD("esrtd",,"*H",$A$3,_xll.ESFldID(D$5,$B$3),$B$3,,$A47)</f>
        <v>#NAME?</v>
      </c>
      <c r="E47" s="92" t="e">
        <f ca="1">RTD("esrtd",,"*H",$A$3,_xll.ESFldID(E$5,$B$3),$B$3,,$A47)</f>
        <v>#NAME?</v>
      </c>
      <c r="F47" s="92" t="e">
        <f ca="1">RTD("esrtd",,"*H",$A$3,_xll.ESFldID(F$5,$B$3),$B$3,,$A47)</f>
        <v>#NAME?</v>
      </c>
      <c r="G47" s="94" t="e">
        <f ca="1">RTD("esrtd",,"*H",$A$3,_xll.ESFldID(G$5,$B$3),$B$3,,$A47)</f>
        <v>#NAME?</v>
      </c>
      <c r="H47" s="95" t="e">
        <f ca="1">RTD("esrtd",,"*H",$A$3,_xll.ESFldID(H$5,$B$3),$B$3,,$A47)</f>
        <v>#NAME?</v>
      </c>
      <c r="I47" s="94" t="e">
        <f ca="1">RTD("esrtd",,"*H",$A$3,_xll.ESFldID(I$5,$B$3),$B$3,,$A47)</f>
        <v>#NAME?</v>
      </c>
    </row>
    <row r="48" spans="1:9" x14ac:dyDescent="0.25">
      <c r="A48" s="91">
        <v>62</v>
      </c>
      <c r="B48" s="92" t="e">
        <f ca="1">RTD("esrtd",,"*H",$A$3,_xll.ESFldID(B$5,$B$3),$B$3,,$A48)</f>
        <v>#NAME?</v>
      </c>
      <c r="C48" s="92" t="e">
        <f ca="1">RTD("esrtd",,"*H",$A$3,_xll.ESFldID(C$5,$B$3),$B$3,,$A48)</f>
        <v>#NAME?</v>
      </c>
      <c r="D48" s="92" t="e">
        <f ca="1">RTD("esrtd",,"*H",$A$3,_xll.ESFldID(D$5,$B$3),$B$3,,$A48)</f>
        <v>#NAME?</v>
      </c>
      <c r="E48" s="92" t="e">
        <f ca="1">RTD("esrtd",,"*H",$A$3,_xll.ESFldID(E$5,$B$3),$B$3,,$A48)</f>
        <v>#NAME?</v>
      </c>
      <c r="F48" s="92" t="e">
        <f ca="1">RTD("esrtd",,"*H",$A$3,_xll.ESFldID(F$5,$B$3),$B$3,,$A48)</f>
        <v>#NAME?</v>
      </c>
      <c r="G48" s="94" t="e">
        <f ca="1">RTD("esrtd",,"*H",$A$3,_xll.ESFldID(G$5,$B$3),$B$3,,$A48)</f>
        <v>#NAME?</v>
      </c>
      <c r="H48" s="95" t="e">
        <f ca="1">RTD("esrtd",,"*H",$A$3,_xll.ESFldID(H$5,$B$3),$B$3,,$A48)</f>
        <v>#NAME?</v>
      </c>
      <c r="I48" s="94" t="e">
        <f ca="1">RTD("esrtd",,"*H",$A$3,_xll.ESFldID(I$5,$B$3),$B$3,,$A48)</f>
        <v>#NAME?</v>
      </c>
    </row>
    <row r="49" spans="1:9" x14ac:dyDescent="0.25">
      <c r="A49" s="91">
        <v>61</v>
      </c>
      <c r="B49" s="92" t="e">
        <f ca="1">RTD("esrtd",,"*H",$A$3,_xll.ESFldID(B$5,$B$3),$B$3,,$A49)</f>
        <v>#NAME?</v>
      </c>
      <c r="C49" s="92" t="e">
        <f ca="1">RTD("esrtd",,"*H",$A$3,_xll.ESFldID(C$5,$B$3),$B$3,,$A49)</f>
        <v>#NAME?</v>
      </c>
      <c r="D49" s="92" t="e">
        <f ca="1">RTD("esrtd",,"*H",$A$3,_xll.ESFldID(D$5,$B$3),$B$3,,$A49)</f>
        <v>#NAME?</v>
      </c>
      <c r="E49" s="92" t="e">
        <f ca="1">RTD("esrtd",,"*H",$A$3,_xll.ESFldID(E$5,$B$3),$B$3,,$A49)</f>
        <v>#NAME?</v>
      </c>
      <c r="F49" s="92" t="e">
        <f ca="1">RTD("esrtd",,"*H",$A$3,_xll.ESFldID(F$5,$B$3),$B$3,,$A49)</f>
        <v>#NAME?</v>
      </c>
      <c r="G49" s="94" t="e">
        <f ca="1">RTD("esrtd",,"*H",$A$3,_xll.ESFldID(G$5,$B$3),$B$3,,$A49)</f>
        <v>#NAME?</v>
      </c>
      <c r="H49" s="95" t="e">
        <f ca="1">RTD("esrtd",,"*H",$A$3,_xll.ESFldID(H$5,$B$3),$B$3,,$A49)</f>
        <v>#NAME?</v>
      </c>
      <c r="I49" s="94" t="e">
        <f ca="1">RTD("esrtd",,"*H",$A$3,_xll.ESFldID(I$5,$B$3),$B$3,,$A49)</f>
        <v>#NAME?</v>
      </c>
    </row>
    <row r="50" spans="1:9" x14ac:dyDescent="0.25">
      <c r="A50" s="91">
        <v>60</v>
      </c>
      <c r="B50" s="92" t="e">
        <f ca="1">RTD("esrtd",,"*H",$A$3,_xll.ESFldID(B$5,$B$3),$B$3,,$A50)</f>
        <v>#NAME?</v>
      </c>
      <c r="C50" s="92" t="e">
        <f ca="1">RTD("esrtd",,"*H",$A$3,_xll.ESFldID(C$5,$B$3),$B$3,,$A50)</f>
        <v>#NAME?</v>
      </c>
      <c r="D50" s="92" t="e">
        <f ca="1">RTD("esrtd",,"*H",$A$3,_xll.ESFldID(D$5,$B$3),$B$3,,$A50)</f>
        <v>#NAME?</v>
      </c>
      <c r="E50" s="92" t="e">
        <f ca="1">RTD("esrtd",,"*H",$A$3,_xll.ESFldID(E$5,$B$3),$B$3,,$A50)</f>
        <v>#NAME?</v>
      </c>
      <c r="F50" s="92" t="e">
        <f ca="1">RTD("esrtd",,"*H",$A$3,_xll.ESFldID(F$5,$B$3),$B$3,,$A50)</f>
        <v>#NAME?</v>
      </c>
      <c r="G50" s="94" t="e">
        <f ca="1">RTD("esrtd",,"*H",$A$3,_xll.ESFldID(G$5,$B$3),$B$3,,$A50)</f>
        <v>#NAME?</v>
      </c>
      <c r="H50" s="95" t="e">
        <f ca="1">RTD("esrtd",,"*H",$A$3,_xll.ESFldID(H$5,$B$3),$B$3,,$A50)</f>
        <v>#NAME?</v>
      </c>
      <c r="I50" s="94" t="e">
        <f ca="1">RTD("esrtd",,"*H",$A$3,_xll.ESFldID(I$5,$B$3),$B$3,,$A50)</f>
        <v>#NAME?</v>
      </c>
    </row>
    <row r="51" spans="1:9" x14ac:dyDescent="0.25">
      <c r="A51" s="91">
        <v>59</v>
      </c>
      <c r="B51" s="92" t="e">
        <f ca="1">RTD("esrtd",,"*H",$A$3,_xll.ESFldID(B$5,$B$3),$B$3,,$A51)</f>
        <v>#NAME?</v>
      </c>
      <c r="C51" s="92" t="e">
        <f ca="1">RTD("esrtd",,"*H",$A$3,_xll.ESFldID(C$5,$B$3),$B$3,,$A51)</f>
        <v>#NAME?</v>
      </c>
      <c r="D51" s="92" t="e">
        <f ca="1">RTD("esrtd",,"*H",$A$3,_xll.ESFldID(D$5,$B$3),$B$3,,$A51)</f>
        <v>#NAME?</v>
      </c>
      <c r="E51" s="92" t="e">
        <f ca="1">RTD("esrtd",,"*H",$A$3,_xll.ESFldID(E$5,$B$3),$B$3,,$A51)</f>
        <v>#NAME?</v>
      </c>
      <c r="F51" s="92" t="e">
        <f ca="1">RTD("esrtd",,"*H",$A$3,_xll.ESFldID(F$5,$B$3),$B$3,,$A51)</f>
        <v>#NAME?</v>
      </c>
      <c r="G51" s="94" t="e">
        <f ca="1">RTD("esrtd",,"*H",$A$3,_xll.ESFldID(G$5,$B$3),$B$3,,$A51)</f>
        <v>#NAME?</v>
      </c>
      <c r="H51" s="95" t="e">
        <f ca="1">RTD("esrtd",,"*H",$A$3,_xll.ESFldID(H$5,$B$3),$B$3,,$A51)</f>
        <v>#NAME?</v>
      </c>
      <c r="I51" s="94" t="e">
        <f ca="1">RTD("esrtd",,"*H",$A$3,_xll.ESFldID(I$5,$B$3),$B$3,,$A51)</f>
        <v>#NAME?</v>
      </c>
    </row>
    <row r="52" spans="1:9" x14ac:dyDescent="0.25">
      <c r="A52" s="91">
        <v>58</v>
      </c>
      <c r="B52" s="92" t="e">
        <f ca="1">RTD("esrtd",,"*H",$A$3,_xll.ESFldID(B$5,$B$3),$B$3,,$A52)</f>
        <v>#NAME?</v>
      </c>
      <c r="C52" s="92" t="e">
        <f ca="1">RTD("esrtd",,"*H",$A$3,_xll.ESFldID(C$5,$B$3),$B$3,,$A52)</f>
        <v>#NAME?</v>
      </c>
      <c r="D52" s="92" t="e">
        <f ca="1">RTD("esrtd",,"*H",$A$3,_xll.ESFldID(D$5,$B$3),$B$3,,$A52)</f>
        <v>#NAME?</v>
      </c>
      <c r="E52" s="92" t="e">
        <f ca="1">RTD("esrtd",,"*H",$A$3,_xll.ESFldID(E$5,$B$3),$B$3,,$A52)</f>
        <v>#NAME?</v>
      </c>
      <c r="F52" s="92" t="e">
        <f ca="1">RTD("esrtd",,"*H",$A$3,_xll.ESFldID(F$5,$B$3),$B$3,,$A52)</f>
        <v>#NAME?</v>
      </c>
      <c r="G52" s="94" t="e">
        <f ca="1">RTD("esrtd",,"*H",$A$3,_xll.ESFldID(G$5,$B$3),$B$3,,$A52)</f>
        <v>#NAME?</v>
      </c>
      <c r="H52" s="95" t="e">
        <f ca="1">RTD("esrtd",,"*H",$A$3,_xll.ESFldID(H$5,$B$3),$B$3,,$A52)</f>
        <v>#NAME?</v>
      </c>
      <c r="I52" s="94" t="e">
        <f ca="1">RTD("esrtd",,"*H",$A$3,_xll.ESFldID(I$5,$B$3),$B$3,,$A52)</f>
        <v>#NAME?</v>
      </c>
    </row>
    <row r="53" spans="1:9" x14ac:dyDescent="0.25">
      <c r="A53" s="91">
        <v>57</v>
      </c>
      <c r="B53" s="92" t="e">
        <f ca="1">RTD("esrtd",,"*H",$A$3,_xll.ESFldID(B$5,$B$3),$B$3,,$A53)</f>
        <v>#NAME?</v>
      </c>
      <c r="C53" s="92" t="e">
        <f ca="1">RTD("esrtd",,"*H",$A$3,_xll.ESFldID(C$5,$B$3),$B$3,,$A53)</f>
        <v>#NAME?</v>
      </c>
      <c r="D53" s="92" t="e">
        <f ca="1">RTD("esrtd",,"*H",$A$3,_xll.ESFldID(D$5,$B$3),$B$3,,$A53)</f>
        <v>#NAME?</v>
      </c>
      <c r="E53" s="92" t="e">
        <f ca="1">RTD("esrtd",,"*H",$A$3,_xll.ESFldID(E$5,$B$3),$B$3,,$A53)</f>
        <v>#NAME?</v>
      </c>
      <c r="F53" s="92" t="e">
        <f ca="1">RTD("esrtd",,"*H",$A$3,_xll.ESFldID(F$5,$B$3),$B$3,,$A53)</f>
        <v>#NAME?</v>
      </c>
      <c r="G53" s="94" t="e">
        <f ca="1">RTD("esrtd",,"*H",$A$3,_xll.ESFldID(G$5,$B$3),$B$3,,$A53)</f>
        <v>#NAME?</v>
      </c>
      <c r="H53" s="95" t="e">
        <f ca="1">RTD("esrtd",,"*H",$A$3,_xll.ESFldID(H$5,$B$3),$B$3,,$A53)</f>
        <v>#NAME?</v>
      </c>
      <c r="I53" s="94" t="e">
        <f ca="1">RTD("esrtd",,"*H",$A$3,_xll.ESFldID(I$5,$B$3),$B$3,,$A53)</f>
        <v>#NAME?</v>
      </c>
    </row>
    <row r="54" spans="1:9" x14ac:dyDescent="0.25">
      <c r="A54" s="91">
        <v>56</v>
      </c>
      <c r="B54" s="92" t="e">
        <f ca="1">RTD("esrtd",,"*H",$A$3,_xll.ESFldID(B$5,$B$3),$B$3,,$A54)</f>
        <v>#NAME?</v>
      </c>
      <c r="C54" s="92" t="e">
        <f ca="1">RTD("esrtd",,"*H",$A$3,_xll.ESFldID(C$5,$B$3),$B$3,,$A54)</f>
        <v>#NAME?</v>
      </c>
      <c r="D54" s="92" t="e">
        <f ca="1">RTD("esrtd",,"*H",$A$3,_xll.ESFldID(D$5,$B$3),$B$3,,$A54)</f>
        <v>#NAME?</v>
      </c>
      <c r="E54" s="92" t="e">
        <f ca="1">RTD("esrtd",,"*H",$A$3,_xll.ESFldID(E$5,$B$3),$B$3,,$A54)</f>
        <v>#NAME?</v>
      </c>
      <c r="F54" s="92" t="e">
        <f ca="1">RTD("esrtd",,"*H",$A$3,_xll.ESFldID(F$5,$B$3),$B$3,,$A54)</f>
        <v>#NAME?</v>
      </c>
      <c r="G54" s="94" t="e">
        <f ca="1">RTD("esrtd",,"*H",$A$3,_xll.ESFldID(G$5,$B$3),$B$3,,$A54)</f>
        <v>#NAME?</v>
      </c>
      <c r="H54" s="95" t="e">
        <f ca="1">RTD("esrtd",,"*H",$A$3,_xll.ESFldID(H$5,$B$3),$B$3,,$A54)</f>
        <v>#NAME?</v>
      </c>
      <c r="I54" s="94" t="e">
        <f ca="1">RTD("esrtd",,"*H",$A$3,_xll.ESFldID(I$5,$B$3),$B$3,,$A54)</f>
        <v>#NAME?</v>
      </c>
    </row>
    <row r="55" spans="1:9" x14ac:dyDescent="0.25">
      <c r="A55" s="91">
        <v>55</v>
      </c>
      <c r="B55" s="92" t="e">
        <f ca="1">RTD("esrtd",,"*H",$A$3,_xll.ESFldID(B$5,$B$3),$B$3,,$A55)</f>
        <v>#NAME?</v>
      </c>
      <c r="C55" s="92" t="e">
        <f ca="1">RTD("esrtd",,"*H",$A$3,_xll.ESFldID(C$5,$B$3),$B$3,,$A55)</f>
        <v>#NAME?</v>
      </c>
      <c r="D55" s="92" t="e">
        <f ca="1">RTD("esrtd",,"*H",$A$3,_xll.ESFldID(D$5,$B$3),$B$3,,$A55)</f>
        <v>#NAME?</v>
      </c>
      <c r="E55" s="92" t="e">
        <f ca="1">RTD("esrtd",,"*H",$A$3,_xll.ESFldID(E$5,$B$3),$B$3,,$A55)</f>
        <v>#NAME?</v>
      </c>
      <c r="F55" s="92" t="e">
        <f ca="1">RTD("esrtd",,"*H",$A$3,_xll.ESFldID(F$5,$B$3),$B$3,,$A55)</f>
        <v>#NAME?</v>
      </c>
      <c r="G55" s="94" t="e">
        <f ca="1">RTD("esrtd",,"*H",$A$3,_xll.ESFldID(G$5,$B$3),$B$3,,$A55)</f>
        <v>#NAME?</v>
      </c>
      <c r="H55" s="95" t="e">
        <f ca="1">RTD("esrtd",,"*H",$A$3,_xll.ESFldID(H$5,$B$3),$B$3,,$A55)</f>
        <v>#NAME?</v>
      </c>
      <c r="I55" s="94" t="e">
        <f ca="1">RTD("esrtd",,"*H",$A$3,_xll.ESFldID(I$5,$B$3),$B$3,,$A55)</f>
        <v>#NAME?</v>
      </c>
    </row>
    <row r="56" spans="1:9" x14ac:dyDescent="0.25">
      <c r="A56" s="91">
        <v>54</v>
      </c>
      <c r="B56" s="92" t="e">
        <f ca="1">RTD("esrtd",,"*H",$A$3,_xll.ESFldID(B$5,$B$3),$B$3,,$A56)</f>
        <v>#NAME?</v>
      </c>
      <c r="C56" s="92" t="e">
        <f ca="1">RTD("esrtd",,"*H",$A$3,_xll.ESFldID(C$5,$B$3),$B$3,,$A56)</f>
        <v>#NAME?</v>
      </c>
      <c r="D56" s="92" t="e">
        <f ca="1">RTD("esrtd",,"*H",$A$3,_xll.ESFldID(D$5,$B$3),$B$3,,$A56)</f>
        <v>#NAME?</v>
      </c>
      <c r="E56" s="92" t="e">
        <f ca="1">RTD("esrtd",,"*H",$A$3,_xll.ESFldID(E$5,$B$3),$B$3,,$A56)</f>
        <v>#NAME?</v>
      </c>
      <c r="F56" s="92" t="e">
        <f ca="1">RTD("esrtd",,"*H",$A$3,_xll.ESFldID(F$5,$B$3),$B$3,,$A56)</f>
        <v>#NAME?</v>
      </c>
      <c r="G56" s="94" t="e">
        <f ca="1">RTD("esrtd",,"*H",$A$3,_xll.ESFldID(G$5,$B$3),$B$3,,$A56)</f>
        <v>#NAME?</v>
      </c>
      <c r="H56" s="95" t="e">
        <f ca="1">RTD("esrtd",,"*H",$A$3,_xll.ESFldID(H$5,$B$3),$B$3,,$A56)</f>
        <v>#NAME?</v>
      </c>
      <c r="I56" s="94" t="e">
        <f ca="1">RTD("esrtd",,"*H",$A$3,_xll.ESFldID(I$5,$B$3),$B$3,,$A56)</f>
        <v>#NAME?</v>
      </c>
    </row>
    <row r="57" spans="1:9" x14ac:dyDescent="0.25">
      <c r="A57" s="91">
        <v>53</v>
      </c>
      <c r="B57" s="92" t="e">
        <f ca="1">RTD("esrtd",,"*H",$A$3,_xll.ESFldID(B$5,$B$3),$B$3,,$A57)</f>
        <v>#NAME?</v>
      </c>
      <c r="C57" s="92" t="e">
        <f ca="1">RTD("esrtd",,"*H",$A$3,_xll.ESFldID(C$5,$B$3),$B$3,,$A57)</f>
        <v>#NAME?</v>
      </c>
      <c r="D57" s="92" t="e">
        <f ca="1">RTD("esrtd",,"*H",$A$3,_xll.ESFldID(D$5,$B$3),$B$3,,$A57)</f>
        <v>#NAME?</v>
      </c>
      <c r="E57" s="92" t="e">
        <f ca="1">RTD("esrtd",,"*H",$A$3,_xll.ESFldID(E$5,$B$3),$B$3,,$A57)</f>
        <v>#NAME?</v>
      </c>
      <c r="F57" s="92" t="e">
        <f ca="1">RTD("esrtd",,"*H",$A$3,_xll.ESFldID(F$5,$B$3),$B$3,,$A57)</f>
        <v>#NAME?</v>
      </c>
      <c r="G57" s="94" t="e">
        <f ca="1">RTD("esrtd",,"*H",$A$3,_xll.ESFldID(G$5,$B$3),$B$3,,$A57)</f>
        <v>#NAME?</v>
      </c>
      <c r="H57" s="95" t="e">
        <f ca="1">RTD("esrtd",,"*H",$A$3,_xll.ESFldID(H$5,$B$3),$B$3,,$A57)</f>
        <v>#NAME?</v>
      </c>
      <c r="I57" s="94" t="e">
        <f ca="1">RTD("esrtd",,"*H",$A$3,_xll.ESFldID(I$5,$B$3),$B$3,,$A57)</f>
        <v>#NAME?</v>
      </c>
    </row>
    <row r="58" spans="1:9" x14ac:dyDescent="0.25">
      <c r="A58" s="91">
        <v>52</v>
      </c>
      <c r="B58" s="92" t="e">
        <f ca="1">RTD("esrtd",,"*H",$A$3,_xll.ESFldID(B$5,$B$3),$B$3,,$A58)</f>
        <v>#NAME?</v>
      </c>
      <c r="C58" s="92" t="e">
        <f ca="1">RTD("esrtd",,"*H",$A$3,_xll.ESFldID(C$5,$B$3),$B$3,,$A58)</f>
        <v>#NAME?</v>
      </c>
      <c r="D58" s="92" t="e">
        <f ca="1">RTD("esrtd",,"*H",$A$3,_xll.ESFldID(D$5,$B$3),$B$3,,$A58)</f>
        <v>#NAME?</v>
      </c>
      <c r="E58" s="92" t="e">
        <f ca="1">RTD("esrtd",,"*H",$A$3,_xll.ESFldID(E$5,$B$3),$B$3,,$A58)</f>
        <v>#NAME?</v>
      </c>
      <c r="F58" s="92" t="e">
        <f ca="1">RTD("esrtd",,"*H",$A$3,_xll.ESFldID(F$5,$B$3),$B$3,,$A58)</f>
        <v>#NAME?</v>
      </c>
      <c r="G58" s="94" t="e">
        <f ca="1">RTD("esrtd",,"*H",$A$3,_xll.ESFldID(G$5,$B$3),$B$3,,$A58)</f>
        <v>#NAME?</v>
      </c>
      <c r="H58" s="95" t="e">
        <f ca="1">RTD("esrtd",,"*H",$A$3,_xll.ESFldID(H$5,$B$3),$B$3,,$A58)</f>
        <v>#NAME?</v>
      </c>
      <c r="I58" s="94" t="e">
        <f ca="1">RTD("esrtd",,"*H",$A$3,_xll.ESFldID(I$5,$B$3),$B$3,,$A58)</f>
        <v>#NAME?</v>
      </c>
    </row>
    <row r="59" spans="1:9" x14ac:dyDescent="0.25">
      <c r="A59" s="91">
        <v>51</v>
      </c>
      <c r="B59" s="92" t="e">
        <f ca="1">RTD("esrtd",,"*H",$A$3,_xll.ESFldID(B$5,$B$3),$B$3,,$A59)</f>
        <v>#NAME?</v>
      </c>
      <c r="C59" s="92" t="e">
        <f ca="1">RTD("esrtd",,"*H",$A$3,_xll.ESFldID(C$5,$B$3),$B$3,,$A59)</f>
        <v>#NAME?</v>
      </c>
      <c r="D59" s="92" t="e">
        <f ca="1">RTD("esrtd",,"*H",$A$3,_xll.ESFldID(D$5,$B$3),$B$3,,$A59)</f>
        <v>#NAME?</v>
      </c>
      <c r="E59" s="92" t="e">
        <f ca="1">RTD("esrtd",,"*H",$A$3,_xll.ESFldID(E$5,$B$3),$B$3,,$A59)</f>
        <v>#NAME?</v>
      </c>
      <c r="F59" s="92" t="e">
        <f ca="1">RTD("esrtd",,"*H",$A$3,_xll.ESFldID(F$5,$B$3),$B$3,,$A59)</f>
        <v>#NAME?</v>
      </c>
      <c r="G59" s="94" t="e">
        <f ca="1">RTD("esrtd",,"*H",$A$3,_xll.ESFldID(G$5,$B$3),$B$3,,$A59)</f>
        <v>#NAME?</v>
      </c>
      <c r="H59" s="95" t="e">
        <f ca="1">RTD("esrtd",,"*H",$A$3,_xll.ESFldID(H$5,$B$3),$B$3,,$A59)</f>
        <v>#NAME?</v>
      </c>
      <c r="I59" s="94" t="e">
        <f ca="1">RTD("esrtd",,"*H",$A$3,_xll.ESFldID(I$5,$B$3),$B$3,,$A59)</f>
        <v>#NAME?</v>
      </c>
    </row>
    <row r="60" spans="1:9" x14ac:dyDescent="0.25">
      <c r="A60" s="91">
        <v>50</v>
      </c>
      <c r="B60" s="92" t="e">
        <f ca="1">RTD("esrtd",,"*H",$A$3,_xll.ESFldID(B$5,$B$3),$B$3,,$A60)</f>
        <v>#NAME?</v>
      </c>
      <c r="C60" s="92" t="e">
        <f ca="1">RTD("esrtd",,"*H",$A$3,_xll.ESFldID(C$5,$B$3),$B$3,,$A60)</f>
        <v>#NAME?</v>
      </c>
      <c r="D60" s="92" t="e">
        <f ca="1">RTD("esrtd",,"*H",$A$3,_xll.ESFldID(D$5,$B$3),$B$3,,$A60)</f>
        <v>#NAME?</v>
      </c>
      <c r="E60" s="92" t="e">
        <f ca="1">RTD("esrtd",,"*H",$A$3,_xll.ESFldID(E$5,$B$3),$B$3,,$A60)</f>
        <v>#NAME?</v>
      </c>
      <c r="F60" s="92" t="e">
        <f ca="1">RTD("esrtd",,"*H",$A$3,_xll.ESFldID(F$5,$B$3),$B$3,,$A60)</f>
        <v>#NAME?</v>
      </c>
      <c r="G60" s="94" t="e">
        <f ca="1">RTD("esrtd",,"*H",$A$3,_xll.ESFldID(G$5,$B$3),$B$3,,$A60)</f>
        <v>#NAME?</v>
      </c>
      <c r="H60" s="95" t="e">
        <f ca="1">RTD("esrtd",,"*H",$A$3,_xll.ESFldID(H$5,$B$3),$B$3,,$A60)</f>
        <v>#NAME?</v>
      </c>
      <c r="I60" s="94" t="e">
        <f ca="1">RTD("esrtd",,"*H",$A$3,_xll.ESFldID(I$5,$B$3),$B$3,,$A60)</f>
        <v>#NAME?</v>
      </c>
    </row>
    <row r="61" spans="1:9" x14ac:dyDescent="0.25">
      <c r="A61" s="91">
        <v>49</v>
      </c>
      <c r="B61" s="92" t="e">
        <f ca="1">RTD("esrtd",,"*H",$A$3,_xll.ESFldID(B$5,$B$3),$B$3,,$A61)</f>
        <v>#NAME?</v>
      </c>
      <c r="C61" s="92" t="e">
        <f ca="1">RTD("esrtd",,"*H",$A$3,_xll.ESFldID(C$5,$B$3),$B$3,,$A61)</f>
        <v>#NAME?</v>
      </c>
      <c r="D61" s="92" t="e">
        <f ca="1">RTD("esrtd",,"*H",$A$3,_xll.ESFldID(D$5,$B$3),$B$3,,$A61)</f>
        <v>#NAME?</v>
      </c>
      <c r="E61" s="92" t="e">
        <f ca="1">RTD("esrtd",,"*H",$A$3,_xll.ESFldID(E$5,$B$3),$B$3,,$A61)</f>
        <v>#NAME?</v>
      </c>
      <c r="F61" s="92" t="e">
        <f ca="1">RTD("esrtd",,"*H",$A$3,_xll.ESFldID(F$5,$B$3),$B$3,,$A61)</f>
        <v>#NAME?</v>
      </c>
      <c r="G61" s="94" t="e">
        <f ca="1">RTD("esrtd",,"*H",$A$3,_xll.ESFldID(G$5,$B$3),$B$3,,$A61)</f>
        <v>#NAME?</v>
      </c>
      <c r="H61" s="95" t="e">
        <f ca="1">RTD("esrtd",,"*H",$A$3,_xll.ESFldID(H$5,$B$3),$B$3,,$A61)</f>
        <v>#NAME?</v>
      </c>
      <c r="I61" s="94" t="e">
        <f ca="1">RTD("esrtd",,"*H",$A$3,_xll.ESFldID(I$5,$B$3),$B$3,,$A61)</f>
        <v>#NAME?</v>
      </c>
    </row>
    <row r="62" spans="1:9" x14ac:dyDescent="0.25">
      <c r="A62" s="91">
        <v>48</v>
      </c>
      <c r="B62" s="92" t="e">
        <f ca="1">RTD("esrtd",,"*H",$A$3,_xll.ESFldID(B$5,$B$3),$B$3,,$A62)</f>
        <v>#NAME?</v>
      </c>
      <c r="C62" s="92" t="e">
        <f ca="1">RTD("esrtd",,"*H",$A$3,_xll.ESFldID(C$5,$B$3),$B$3,,$A62)</f>
        <v>#NAME?</v>
      </c>
      <c r="D62" s="92" t="e">
        <f ca="1">RTD("esrtd",,"*H",$A$3,_xll.ESFldID(D$5,$B$3),$B$3,,$A62)</f>
        <v>#NAME?</v>
      </c>
      <c r="E62" s="92" t="e">
        <f ca="1">RTD("esrtd",,"*H",$A$3,_xll.ESFldID(E$5,$B$3),$B$3,,$A62)</f>
        <v>#NAME?</v>
      </c>
      <c r="F62" s="92" t="e">
        <f ca="1">RTD("esrtd",,"*H",$A$3,_xll.ESFldID(F$5,$B$3),$B$3,,$A62)</f>
        <v>#NAME?</v>
      </c>
      <c r="G62" s="94" t="e">
        <f ca="1">RTD("esrtd",,"*H",$A$3,_xll.ESFldID(G$5,$B$3),$B$3,,$A62)</f>
        <v>#NAME?</v>
      </c>
      <c r="H62" s="95" t="e">
        <f ca="1">RTD("esrtd",,"*H",$A$3,_xll.ESFldID(H$5,$B$3),$B$3,,$A62)</f>
        <v>#NAME?</v>
      </c>
      <c r="I62" s="94" t="e">
        <f ca="1">RTD("esrtd",,"*H",$A$3,_xll.ESFldID(I$5,$B$3),$B$3,,$A62)</f>
        <v>#NAME?</v>
      </c>
    </row>
    <row r="63" spans="1:9" x14ac:dyDescent="0.25">
      <c r="A63" s="91">
        <v>47</v>
      </c>
      <c r="B63" s="92" t="e">
        <f ca="1">RTD("esrtd",,"*H",$A$3,_xll.ESFldID(B$5,$B$3),$B$3,,$A63)</f>
        <v>#NAME?</v>
      </c>
      <c r="C63" s="92" t="e">
        <f ca="1">RTD("esrtd",,"*H",$A$3,_xll.ESFldID(C$5,$B$3),$B$3,,$A63)</f>
        <v>#NAME?</v>
      </c>
      <c r="D63" s="92" t="e">
        <f ca="1">RTD("esrtd",,"*H",$A$3,_xll.ESFldID(D$5,$B$3),$B$3,,$A63)</f>
        <v>#NAME?</v>
      </c>
      <c r="E63" s="92" t="e">
        <f ca="1">RTD("esrtd",,"*H",$A$3,_xll.ESFldID(E$5,$B$3),$B$3,,$A63)</f>
        <v>#NAME?</v>
      </c>
      <c r="F63" s="92" t="e">
        <f ca="1">RTD("esrtd",,"*H",$A$3,_xll.ESFldID(F$5,$B$3),$B$3,,$A63)</f>
        <v>#NAME?</v>
      </c>
      <c r="G63" s="94" t="e">
        <f ca="1">RTD("esrtd",,"*H",$A$3,_xll.ESFldID(G$5,$B$3),$B$3,,$A63)</f>
        <v>#NAME?</v>
      </c>
      <c r="H63" s="95" t="e">
        <f ca="1">RTD("esrtd",,"*H",$A$3,_xll.ESFldID(H$5,$B$3),$B$3,,$A63)</f>
        <v>#NAME?</v>
      </c>
      <c r="I63" s="94" t="e">
        <f ca="1">RTD("esrtd",,"*H",$A$3,_xll.ESFldID(I$5,$B$3),$B$3,,$A63)</f>
        <v>#NAME?</v>
      </c>
    </row>
    <row r="64" spans="1:9" x14ac:dyDescent="0.25">
      <c r="A64" s="91">
        <v>46</v>
      </c>
      <c r="B64" s="92" t="e">
        <f ca="1">RTD("esrtd",,"*H",$A$3,_xll.ESFldID(B$5,$B$3),$B$3,,$A64)</f>
        <v>#NAME?</v>
      </c>
      <c r="C64" s="92" t="e">
        <f ca="1">RTD("esrtd",,"*H",$A$3,_xll.ESFldID(C$5,$B$3),$B$3,,$A64)</f>
        <v>#NAME?</v>
      </c>
      <c r="D64" s="92" t="e">
        <f ca="1">RTD("esrtd",,"*H",$A$3,_xll.ESFldID(D$5,$B$3),$B$3,,$A64)</f>
        <v>#NAME?</v>
      </c>
      <c r="E64" s="92" t="e">
        <f ca="1">RTD("esrtd",,"*H",$A$3,_xll.ESFldID(E$5,$B$3),$B$3,,$A64)</f>
        <v>#NAME?</v>
      </c>
      <c r="F64" s="92" t="e">
        <f ca="1">RTD("esrtd",,"*H",$A$3,_xll.ESFldID(F$5,$B$3),$B$3,,$A64)</f>
        <v>#NAME?</v>
      </c>
      <c r="G64" s="94" t="e">
        <f ca="1">RTD("esrtd",,"*H",$A$3,_xll.ESFldID(G$5,$B$3),$B$3,,$A64)</f>
        <v>#NAME?</v>
      </c>
      <c r="H64" s="95" t="e">
        <f ca="1">RTD("esrtd",,"*H",$A$3,_xll.ESFldID(H$5,$B$3),$B$3,,$A64)</f>
        <v>#NAME?</v>
      </c>
      <c r="I64" s="94" t="e">
        <f ca="1">RTD("esrtd",,"*H",$A$3,_xll.ESFldID(I$5,$B$3),$B$3,,$A64)</f>
        <v>#NAME?</v>
      </c>
    </row>
    <row r="65" spans="1:9" x14ac:dyDescent="0.25">
      <c r="A65" s="91">
        <v>45</v>
      </c>
      <c r="B65" s="92" t="e">
        <f ca="1">RTD("esrtd",,"*H",$A$3,_xll.ESFldID(B$5,$B$3),$B$3,,$A65)</f>
        <v>#NAME?</v>
      </c>
      <c r="C65" s="92" t="e">
        <f ca="1">RTD("esrtd",,"*H",$A$3,_xll.ESFldID(C$5,$B$3),$B$3,,$A65)</f>
        <v>#NAME?</v>
      </c>
      <c r="D65" s="92" t="e">
        <f ca="1">RTD("esrtd",,"*H",$A$3,_xll.ESFldID(D$5,$B$3),$B$3,,$A65)</f>
        <v>#NAME?</v>
      </c>
      <c r="E65" s="92" t="e">
        <f ca="1">RTD("esrtd",,"*H",$A$3,_xll.ESFldID(E$5,$B$3),$B$3,,$A65)</f>
        <v>#NAME?</v>
      </c>
      <c r="F65" s="92" t="e">
        <f ca="1">RTD("esrtd",,"*H",$A$3,_xll.ESFldID(F$5,$B$3),$B$3,,$A65)</f>
        <v>#NAME?</v>
      </c>
      <c r="G65" s="94" t="e">
        <f ca="1">RTD("esrtd",,"*H",$A$3,_xll.ESFldID(G$5,$B$3),$B$3,,$A65)</f>
        <v>#NAME?</v>
      </c>
      <c r="H65" s="95" t="e">
        <f ca="1">RTD("esrtd",,"*H",$A$3,_xll.ESFldID(H$5,$B$3),$B$3,,$A65)</f>
        <v>#NAME?</v>
      </c>
      <c r="I65" s="94" t="e">
        <f ca="1">RTD("esrtd",,"*H",$A$3,_xll.ESFldID(I$5,$B$3),$B$3,,$A65)</f>
        <v>#NAME?</v>
      </c>
    </row>
    <row r="66" spans="1:9" x14ac:dyDescent="0.25">
      <c r="A66" s="91">
        <v>44</v>
      </c>
      <c r="B66" s="92" t="e">
        <f ca="1">RTD("esrtd",,"*H",$A$3,_xll.ESFldID(B$5,$B$3),$B$3,,$A66)</f>
        <v>#NAME?</v>
      </c>
      <c r="C66" s="92" t="e">
        <f ca="1">RTD("esrtd",,"*H",$A$3,_xll.ESFldID(C$5,$B$3),$B$3,,$A66)</f>
        <v>#NAME?</v>
      </c>
      <c r="D66" s="92" t="e">
        <f ca="1">RTD("esrtd",,"*H",$A$3,_xll.ESFldID(D$5,$B$3),$B$3,,$A66)</f>
        <v>#NAME?</v>
      </c>
      <c r="E66" s="92" t="e">
        <f ca="1">RTD("esrtd",,"*H",$A$3,_xll.ESFldID(E$5,$B$3),$B$3,,$A66)</f>
        <v>#NAME?</v>
      </c>
      <c r="F66" s="92" t="e">
        <f ca="1">RTD("esrtd",,"*H",$A$3,_xll.ESFldID(F$5,$B$3),$B$3,,$A66)</f>
        <v>#NAME?</v>
      </c>
      <c r="G66" s="94" t="e">
        <f ca="1">RTD("esrtd",,"*H",$A$3,_xll.ESFldID(G$5,$B$3),$B$3,,$A66)</f>
        <v>#NAME?</v>
      </c>
      <c r="H66" s="95" t="e">
        <f ca="1">RTD("esrtd",,"*H",$A$3,_xll.ESFldID(H$5,$B$3),$B$3,,$A66)</f>
        <v>#NAME?</v>
      </c>
      <c r="I66" s="94" t="e">
        <f ca="1">RTD("esrtd",,"*H",$A$3,_xll.ESFldID(I$5,$B$3),$B$3,,$A66)</f>
        <v>#NAME?</v>
      </c>
    </row>
    <row r="67" spans="1:9" x14ac:dyDescent="0.25">
      <c r="A67" s="91">
        <v>43</v>
      </c>
      <c r="B67" s="92" t="e">
        <f ca="1">RTD("esrtd",,"*H",$A$3,_xll.ESFldID(B$5,$B$3),$B$3,,$A67)</f>
        <v>#NAME?</v>
      </c>
      <c r="C67" s="92" t="e">
        <f ca="1">RTD("esrtd",,"*H",$A$3,_xll.ESFldID(C$5,$B$3),$B$3,,$A67)</f>
        <v>#NAME?</v>
      </c>
      <c r="D67" s="92" t="e">
        <f ca="1">RTD("esrtd",,"*H",$A$3,_xll.ESFldID(D$5,$B$3),$B$3,,$A67)</f>
        <v>#NAME?</v>
      </c>
      <c r="E67" s="92" t="e">
        <f ca="1">RTD("esrtd",,"*H",$A$3,_xll.ESFldID(E$5,$B$3),$B$3,,$A67)</f>
        <v>#NAME?</v>
      </c>
      <c r="F67" s="92" t="e">
        <f ca="1">RTD("esrtd",,"*H",$A$3,_xll.ESFldID(F$5,$B$3),$B$3,,$A67)</f>
        <v>#NAME?</v>
      </c>
      <c r="G67" s="94" t="e">
        <f ca="1">RTD("esrtd",,"*H",$A$3,_xll.ESFldID(G$5,$B$3),$B$3,,$A67)</f>
        <v>#NAME?</v>
      </c>
      <c r="H67" s="95" t="e">
        <f ca="1">RTD("esrtd",,"*H",$A$3,_xll.ESFldID(H$5,$B$3),$B$3,,$A67)</f>
        <v>#NAME?</v>
      </c>
      <c r="I67" s="94" t="e">
        <f ca="1">RTD("esrtd",,"*H",$A$3,_xll.ESFldID(I$5,$B$3),$B$3,,$A67)</f>
        <v>#NAME?</v>
      </c>
    </row>
    <row r="68" spans="1:9" x14ac:dyDescent="0.25">
      <c r="A68" s="91">
        <v>42</v>
      </c>
      <c r="B68" s="92" t="e">
        <f ca="1">RTD("esrtd",,"*H",$A$3,_xll.ESFldID(B$5,$B$3),$B$3,,$A68)</f>
        <v>#NAME?</v>
      </c>
      <c r="C68" s="92" t="e">
        <f ca="1">RTD("esrtd",,"*H",$A$3,_xll.ESFldID(C$5,$B$3),$B$3,,$A68)</f>
        <v>#NAME?</v>
      </c>
      <c r="D68" s="92" t="e">
        <f ca="1">RTD("esrtd",,"*H",$A$3,_xll.ESFldID(D$5,$B$3),$B$3,,$A68)</f>
        <v>#NAME?</v>
      </c>
      <c r="E68" s="92" t="e">
        <f ca="1">RTD("esrtd",,"*H",$A$3,_xll.ESFldID(E$5,$B$3),$B$3,,$A68)</f>
        <v>#NAME?</v>
      </c>
      <c r="F68" s="92" t="e">
        <f ca="1">RTD("esrtd",,"*H",$A$3,_xll.ESFldID(F$5,$B$3),$B$3,,$A68)</f>
        <v>#NAME?</v>
      </c>
      <c r="G68" s="94" t="e">
        <f ca="1">RTD("esrtd",,"*H",$A$3,_xll.ESFldID(G$5,$B$3),$B$3,,$A68)</f>
        <v>#NAME?</v>
      </c>
      <c r="H68" s="95" t="e">
        <f ca="1">RTD("esrtd",,"*H",$A$3,_xll.ESFldID(H$5,$B$3),$B$3,,$A68)</f>
        <v>#NAME?</v>
      </c>
      <c r="I68" s="94" t="e">
        <f ca="1">RTD("esrtd",,"*H",$A$3,_xll.ESFldID(I$5,$B$3),$B$3,,$A68)</f>
        <v>#NAME?</v>
      </c>
    </row>
    <row r="69" spans="1:9" x14ac:dyDescent="0.25">
      <c r="A69" s="91">
        <v>41</v>
      </c>
      <c r="B69" s="92" t="e">
        <f ca="1">RTD("esrtd",,"*H",$A$3,_xll.ESFldID(B$5,$B$3),$B$3,,$A69)</f>
        <v>#NAME?</v>
      </c>
      <c r="C69" s="92" t="e">
        <f ca="1">RTD("esrtd",,"*H",$A$3,_xll.ESFldID(C$5,$B$3),$B$3,,$A69)</f>
        <v>#NAME?</v>
      </c>
      <c r="D69" s="92" t="e">
        <f ca="1">RTD("esrtd",,"*H",$A$3,_xll.ESFldID(D$5,$B$3),$B$3,,$A69)</f>
        <v>#NAME?</v>
      </c>
      <c r="E69" s="92" t="e">
        <f ca="1">RTD("esrtd",,"*H",$A$3,_xll.ESFldID(E$5,$B$3),$B$3,,$A69)</f>
        <v>#NAME?</v>
      </c>
      <c r="F69" s="92" t="e">
        <f ca="1">RTD("esrtd",,"*H",$A$3,_xll.ESFldID(F$5,$B$3),$B$3,,$A69)</f>
        <v>#NAME?</v>
      </c>
      <c r="G69" s="94" t="e">
        <f ca="1">RTD("esrtd",,"*H",$A$3,_xll.ESFldID(G$5,$B$3),$B$3,,$A69)</f>
        <v>#NAME?</v>
      </c>
      <c r="H69" s="95" t="e">
        <f ca="1">RTD("esrtd",,"*H",$A$3,_xll.ESFldID(H$5,$B$3),$B$3,,$A69)</f>
        <v>#NAME?</v>
      </c>
      <c r="I69" s="94" t="e">
        <f ca="1">RTD("esrtd",,"*H",$A$3,_xll.ESFldID(I$5,$B$3),$B$3,,$A69)</f>
        <v>#NAME?</v>
      </c>
    </row>
    <row r="70" spans="1:9" x14ac:dyDescent="0.25">
      <c r="A70" s="91">
        <v>40</v>
      </c>
      <c r="B70" s="92" t="e">
        <f ca="1">RTD("esrtd",,"*H",$A$3,_xll.ESFldID(B$5,$B$3),$B$3,,$A70)</f>
        <v>#NAME?</v>
      </c>
      <c r="C70" s="92" t="e">
        <f ca="1">RTD("esrtd",,"*H",$A$3,_xll.ESFldID(C$5,$B$3),$B$3,,$A70)</f>
        <v>#NAME?</v>
      </c>
      <c r="D70" s="92" t="e">
        <f ca="1">RTD("esrtd",,"*H",$A$3,_xll.ESFldID(D$5,$B$3),$B$3,,$A70)</f>
        <v>#NAME?</v>
      </c>
      <c r="E70" s="92" t="e">
        <f ca="1">RTD("esrtd",,"*H",$A$3,_xll.ESFldID(E$5,$B$3),$B$3,,$A70)</f>
        <v>#NAME?</v>
      </c>
      <c r="F70" s="92" t="e">
        <f ca="1">RTD("esrtd",,"*H",$A$3,_xll.ESFldID(F$5,$B$3),$B$3,,$A70)</f>
        <v>#NAME?</v>
      </c>
      <c r="G70" s="94" t="e">
        <f ca="1">RTD("esrtd",,"*H",$A$3,_xll.ESFldID(G$5,$B$3),$B$3,,$A70)</f>
        <v>#NAME?</v>
      </c>
      <c r="H70" s="95" t="e">
        <f ca="1">RTD("esrtd",,"*H",$A$3,_xll.ESFldID(H$5,$B$3),$B$3,,$A70)</f>
        <v>#NAME?</v>
      </c>
      <c r="I70" s="94" t="e">
        <f ca="1">RTD("esrtd",,"*H",$A$3,_xll.ESFldID(I$5,$B$3),$B$3,,$A70)</f>
        <v>#NAME?</v>
      </c>
    </row>
    <row r="71" spans="1:9" x14ac:dyDescent="0.25">
      <c r="A71" s="91">
        <v>39</v>
      </c>
      <c r="B71" s="92" t="e">
        <f ca="1">RTD("esrtd",,"*H",$A$3,_xll.ESFldID(B$5,$B$3),$B$3,,$A71)</f>
        <v>#NAME?</v>
      </c>
      <c r="C71" s="92" t="e">
        <f ca="1">RTD("esrtd",,"*H",$A$3,_xll.ESFldID(C$5,$B$3),$B$3,,$A71)</f>
        <v>#NAME?</v>
      </c>
      <c r="D71" s="92" t="e">
        <f ca="1">RTD("esrtd",,"*H",$A$3,_xll.ESFldID(D$5,$B$3),$B$3,,$A71)</f>
        <v>#NAME?</v>
      </c>
      <c r="E71" s="92" t="e">
        <f ca="1">RTD("esrtd",,"*H",$A$3,_xll.ESFldID(E$5,$B$3),$B$3,,$A71)</f>
        <v>#NAME?</v>
      </c>
      <c r="F71" s="92" t="e">
        <f ca="1">RTD("esrtd",,"*H",$A$3,_xll.ESFldID(F$5,$B$3),$B$3,,$A71)</f>
        <v>#NAME?</v>
      </c>
      <c r="G71" s="94" t="e">
        <f ca="1">RTD("esrtd",,"*H",$A$3,_xll.ESFldID(G$5,$B$3),$B$3,,$A71)</f>
        <v>#NAME?</v>
      </c>
      <c r="H71" s="95" t="e">
        <f ca="1">RTD("esrtd",,"*H",$A$3,_xll.ESFldID(H$5,$B$3),$B$3,,$A71)</f>
        <v>#NAME?</v>
      </c>
      <c r="I71" s="94" t="e">
        <f ca="1">RTD("esrtd",,"*H",$A$3,_xll.ESFldID(I$5,$B$3),$B$3,,$A71)</f>
        <v>#NAME?</v>
      </c>
    </row>
    <row r="72" spans="1:9" x14ac:dyDescent="0.25">
      <c r="A72" s="91">
        <v>38</v>
      </c>
      <c r="B72" s="92" t="e">
        <f ca="1">RTD("esrtd",,"*H",$A$3,_xll.ESFldID(B$5,$B$3),$B$3,,$A72)</f>
        <v>#NAME?</v>
      </c>
      <c r="C72" s="92" t="e">
        <f ca="1">RTD("esrtd",,"*H",$A$3,_xll.ESFldID(C$5,$B$3),$B$3,,$A72)</f>
        <v>#NAME?</v>
      </c>
      <c r="D72" s="92" t="e">
        <f ca="1">RTD("esrtd",,"*H",$A$3,_xll.ESFldID(D$5,$B$3),$B$3,,$A72)</f>
        <v>#NAME?</v>
      </c>
      <c r="E72" s="92" t="e">
        <f ca="1">RTD("esrtd",,"*H",$A$3,_xll.ESFldID(E$5,$B$3),$B$3,,$A72)</f>
        <v>#NAME?</v>
      </c>
      <c r="F72" s="92" t="e">
        <f ca="1">RTD("esrtd",,"*H",$A$3,_xll.ESFldID(F$5,$B$3),$B$3,,$A72)</f>
        <v>#NAME?</v>
      </c>
      <c r="G72" s="94" t="e">
        <f ca="1">RTD("esrtd",,"*H",$A$3,_xll.ESFldID(G$5,$B$3),$B$3,,$A72)</f>
        <v>#NAME?</v>
      </c>
      <c r="H72" s="95" t="e">
        <f ca="1">RTD("esrtd",,"*H",$A$3,_xll.ESFldID(H$5,$B$3),$B$3,,$A72)</f>
        <v>#NAME?</v>
      </c>
      <c r="I72" s="94" t="e">
        <f ca="1">RTD("esrtd",,"*H",$A$3,_xll.ESFldID(I$5,$B$3),$B$3,,$A72)</f>
        <v>#NAME?</v>
      </c>
    </row>
    <row r="73" spans="1:9" x14ac:dyDescent="0.25">
      <c r="A73" s="91">
        <v>37</v>
      </c>
      <c r="B73" s="92" t="e">
        <f ca="1">RTD("esrtd",,"*H",$A$3,_xll.ESFldID(B$5,$B$3),$B$3,,$A73)</f>
        <v>#NAME?</v>
      </c>
      <c r="C73" s="92" t="e">
        <f ca="1">RTD("esrtd",,"*H",$A$3,_xll.ESFldID(C$5,$B$3),$B$3,,$A73)</f>
        <v>#NAME?</v>
      </c>
      <c r="D73" s="92" t="e">
        <f ca="1">RTD("esrtd",,"*H",$A$3,_xll.ESFldID(D$5,$B$3),$B$3,,$A73)</f>
        <v>#NAME?</v>
      </c>
      <c r="E73" s="92" t="e">
        <f ca="1">RTD("esrtd",,"*H",$A$3,_xll.ESFldID(E$5,$B$3),$B$3,,$A73)</f>
        <v>#NAME?</v>
      </c>
      <c r="F73" s="92" t="e">
        <f ca="1">RTD("esrtd",,"*H",$A$3,_xll.ESFldID(F$5,$B$3),$B$3,,$A73)</f>
        <v>#NAME?</v>
      </c>
      <c r="G73" s="94" t="e">
        <f ca="1">RTD("esrtd",,"*H",$A$3,_xll.ESFldID(G$5,$B$3),$B$3,,$A73)</f>
        <v>#NAME?</v>
      </c>
      <c r="H73" s="95" t="e">
        <f ca="1">RTD("esrtd",,"*H",$A$3,_xll.ESFldID(H$5,$B$3),$B$3,,$A73)</f>
        <v>#NAME?</v>
      </c>
      <c r="I73" s="94" t="e">
        <f ca="1">RTD("esrtd",,"*H",$A$3,_xll.ESFldID(I$5,$B$3),$B$3,,$A73)</f>
        <v>#NAME?</v>
      </c>
    </row>
    <row r="74" spans="1:9" x14ac:dyDescent="0.25">
      <c r="A74" s="91">
        <v>36</v>
      </c>
      <c r="B74" s="92" t="e">
        <f ca="1">RTD("esrtd",,"*H",$A$3,_xll.ESFldID(B$5,$B$3),$B$3,,$A74)</f>
        <v>#NAME?</v>
      </c>
      <c r="C74" s="92" t="e">
        <f ca="1">RTD("esrtd",,"*H",$A$3,_xll.ESFldID(C$5,$B$3),$B$3,,$A74)</f>
        <v>#NAME?</v>
      </c>
      <c r="D74" s="92" t="e">
        <f ca="1">RTD("esrtd",,"*H",$A$3,_xll.ESFldID(D$5,$B$3),$B$3,,$A74)</f>
        <v>#NAME?</v>
      </c>
      <c r="E74" s="92" t="e">
        <f ca="1">RTD("esrtd",,"*H",$A$3,_xll.ESFldID(E$5,$B$3),$B$3,,$A74)</f>
        <v>#NAME?</v>
      </c>
      <c r="F74" s="92" t="e">
        <f ca="1">RTD("esrtd",,"*H",$A$3,_xll.ESFldID(F$5,$B$3),$B$3,,$A74)</f>
        <v>#NAME?</v>
      </c>
      <c r="G74" s="94" t="e">
        <f ca="1">RTD("esrtd",,"*H",$A$3,_xll.ESFldID(G$5,$B$3),$B$3,,$A74)</f>
        <v>#NAME?</v>
      </c>
      <c r="H74" s="95" t="e">
        <f ca="1">RTD("esrtd",,"*H",$A$3,_xll.ESFldID(H$5,$B$3),$B$3,,$A74)</f>
        <v>#NAME?</v>
      </c>
      <c r="I74" s="94" t="e">
        <f ca="1">RTD("esrtd",,"*H",$A$3,_xll.ESFldID(I$5,$B$3),$B$3,,$A74)</f>
        <v>#NAME?</v>
      </c>
    </row>
    <row r="75" spans="1:9" x14ac:dyDescent="0.25">
      <c r="A75" s="91">
        <v>35</v>
      </c>
      <c r="B75" s="92" t="e">
        <f ca="1">RTD("esrtd",,"*H",$A$3,_xll.ESFldID(B$5,$B$3),$B$3,,$A75)</f>
        <v>#NAME?</v>
      </c>
      <c r="C75" s="92" t="e">
        <f ca="1">RTD("esrtd",,"*H",$A$3,_xll.ESFldID(C$5,$B$3),$B$3,,$A75)</f>
        <v>#NAME?</v>
      </c>
      <c r="D75" s="92" t="e">
        <f ca="1">RTD("esrtd",,"*H",$A$3,_xll.ESFldID(D$5,$B$3),$B$3,,$A75)</f>
        <v>#NAME?</v>
      </c>
      <c r="E75" s="92" t="e">
        <f ca="1">RTD("esrtd",,"*H",$A$3,_xll.ESFldID(E$5,$B$3),$B$3,,$A75)</f>
        <v>#NAME?</v>
      </c>
      <c r="F75" s="92" t="e">
        <f ca="1">RTD("esrtd",,"*H",$A$3,_xll.ESFldID(F$5,$B$3),$B$3,,$A75)</f>
        <v>#NAME?</v>
      </c>
      <c r="G75" s="94" t="e">
        <f ca="1">RTD("esrtd",,"*H",$A$3,_xll.ESFldID(G$5,$B$3),$B$3,,$A75)</f>
        <v>#NAME?</v>
      </c>
      <c r="H75" s="95" t="e">
        <f ca="1">RTD("esrtd",,"*H",$A$3,_xll.ESFldID(H$5,$B$3),$B$3,,$A75)</f>
        <v>#NAME?</v>
      </c>
      <c r="I75" s="94" t="e">
        <f ca="1">RTD("esrtd",,"*H",$A$3,_xll.ESFldID(I$5,$B$3),$B$3,,$A75)</f>
        <v>#NAME?</v>
      </c>
    </row>
    <row r="76" spans="1:9" x14ac:dyDescent="0.25">
      <c r="A76" s="91">
        <v>34</v>
      </c>
      <c r="B76" s="92" t="e">
        <f ca="1">RTD("esrtd",,"*H",$A$3,_xll.ESFldID(B$5,$B$3),$B$3,,$A76)</f>
        <v>#NAME?</v>
      </c>
      <c r="C76" s="92" t="e">
        <f ca="1">RTD("esrtd",,"*H",$A$3,_xll.ESFldID(C$5,$B$3),$B$3,,$A76)</f>
        <v>#NAME?</v>
      </c>
      <c r="D76" s="92" t="e">
        <f ca="1">RTD("esrtd",,"*H",$A$3,_xll.ESFldID(D$5,$B$3),$B$3,,$A76)</f>
        <v>#NAME?</v>
      </c>
      <c r="E76" s="92" t="e">
        <f ca="1">RTD("esrtd",,"*H",$A$3,_xll.ESFldID(E$5,$B$3),$B$3,,$A76)</f>
        <v>#NAME?</v>
      </c>
      <c r="F76" s="92" t="e">
        <f ca="1">RTD("esrtd",,"*H",$A$3,_xll.ESFldID(F$5,$B$3),$B$3,,$A76)</f>
        <v>#NAME?</v>
      </c>
      <c r="G76" s="94" t="e">
        <f ca="1">RTD("esrtd",,"*H",$A$3,_xll.ESFldID(G$5,$B$3),$B$3,,$A76)</f>
        <v>#NAME?</v>
      </c>
      <c r="H76" s="95" t="e">
        <f ca="1">RTD("esrtd",,"*H",$A$3,_xll.ESFldID(H$5,$B$3),$B$3,,$A76)</f>
        <v>#NAME?</v>
      </c>
      <c r="I76" s="94" t="e">
        <f ca="1">RTD("esrtd",,"*H",$A$3,_xll.ESFldID(I$5,$B$3),$B$3,,$A76)</f>
        <v>#NAME?</v>
      </c>
    </row>
    <row r="77" spans="1:9" x14ac:dyDescent="0.25">
      <c r="A77" s="91">
        <v>33</v>
      </c>
      <c r="B77" s="92" t="e">
        <f ca="1">RTD("esrtd",,"*H",$A$3,_xll.ESFldID(B$5,$B$3),$B$3,,$A77)</f>
        <v>#NAME?</v>
      </c>
      <c r="C77" s="92" t="e">
        <f ca="1">RTD("esrtd",,"*H",$A$3,_xll.ESFldID(C$5,$B$3),$B$3,,$A77)</f>
        <v>#NAME?</v>
      </c>
      <c r="D77" s="92" t="e">
        <f ca="1">RTD("esrtd",,"*H",$A$3,_xll.ESFldID(D$5,$B$3),$B$3,,$A77)</f>
        <v>#NAME?</v>
      </c>
      <c r="E77" s="92" t="e">
        <f ca="1">RTD("esrtd",,"*H",$A$3,_xll.ESFldID(E$5,$B$3),$B$3,,$A77)</f>
        <v>#NAME?</v>
      </c>
      <c r="F77" s="92" t="e">
        <f ca="1">RTD("esrtd",,"*H",$A$3,_xll.ESFldID(F$5,$B$3),$B$3,,$A77)</f>
        <v>#NAME?</v>
      </c>
      <c r="G77" s="94" t="e">
        <f ca="1">RTD("esrtd",,"*H",$A$3,_xll.ESFldID(G$5,$B$3),$B$3,,$A77)</f>
        <v>#NAME?</v>
      </c>
      <c r="H77" s="95" t="e">
        <f ca="1">RTD("esrtd",,"*H",$A$3,_xll.ESFldID(H$5,$B$3),$B$3,,$A77)</f>
        <v>#NAME?</v>
      </c>
      <c r="I77" s="94" t="e">
        <f ca="1">RTD("esrtd",,"*H",$A$3,_xll.ESFldID(I$5,$B$3),$B$3,,$A77)</f>
        <v>#NAME?</v>
      </c>
    </row>
    <row r="78" spans="1:9" x14ac:dyDescent="0.25">
      <c r="A78" s="91">
        <v>32</v>
      </c>
      <c r="B78" s="92" t="e">
        <f ca="1">RTD("esrtd",,"*H",$A$3,_xll.ESFldID(B$5,$B$3),$B$3,,$A78)</f>
        <v>#NAME?</v>
      </c>
      <c r="C78" s="92" t="e">
        <f ca="1">RTD("esrtd",,"*H",$A$3,_xll.ESFldID(C$5,$B$3),$B$3,,$A78)</f>
        <v>#NAME?</v>
      </c>
      <c r="D78" s="92" t="e">
        <f ca="1">RTD("esrtd",,"*H",$A$3,_xll.ESFldID(D$5,$B$3),$B$3,,$A78)</f>
        <v>#NAME?</v>
      </c>
      <c r="E78" s="92" t="e">
        <f ca="1">RTD("esrtd",,"*H",$A$3,_xll.ESFldID(E$5,$B$3),$B$3,,$A78)</f>
        <v>#NAME?</v>
      </c>
      <c r="F78" s="92" t="e">
        <f ca="1">RTD("esrtd",,"*H",$A$3,_xll.ESFldID(F$5,$B$3),$B$3,,$A78)</f>
        <v>#NAME?</v>
      </c>
      <c r="G78" s="94" t="e">
        <f ca="1">RTD("esrtd",,"*H",$A$3,_xll.ESFldID(G$5,$B$3),$B$3,,$A78)</f>
        <v>#NAME?</v>
      </c>
      <c r="H78" s="95" t="e">
        <f ca="1">RTD("esrtd",,"*H",$A$3,_xll.ESFldID(H$5,$B$3),$B$3,,$A78)</f>
        <v>#NAME?</v>
      </c>
      <c r="I78" s="94" t="e">
        <f ca="1">RTD("esrtd",,"*H",$A$3,_xll.ESFldID(I$5,$B$3),$B$3,,$A78)</f>
        <v>#NAME?</v>
      </c>
    </row>
    <row r="79" spans="1:9" x14ac:dyDescent="0.25">
      <c r="A79" s="91">
        <v>31</v>
      </c>
      <c r="B79" s="92" t="e">
        <f ca="1">RTD("esrtd",,"*H",$A$3,_xll.ESFldID(B$5,$B$3),$B$3,,$A79)</f>
        <v>#NAME?</v>
      </c>
      <c r="C79" s="92" t="e">
        <f ca="1">RTD("esrtd",,"*H",$A$3,_xll.ESFldID(C$5,$B$3),$B$3,,$A79)</f>
        <v>#NAME?</v>
      </c>
      <c r="D79" s="92" t="e">
        <f ca="1">RTD("esrtd",,"*H",$A$3,_xll.ESFldID(D$5,$B$3),$B$3,,$A79)</f>
        <v>#NAME?</v>
      </c>
      <c r="E79" s="92" t="e">
        <f ca="1">RTD("esrtd",,"*H",$A$3,_xll.ESFldID(E$5,$B$3),$B$3,,$A79)</f>
        <v>#NAME?</v>
      </c>
      <c r="F79" s="92" t="e">
        <f ca="1">RTD("esrtd",,"*H",$A$3,_xll.ESFldID(F$5,$B$3),$B$3,,$A79)</f>
        <v>#NAME?</v>
      </c>
      <c r="G79" s="94" t="e">
        <f ca="1">RTD("esrtd",,"*H",$A$3,_xll.ESFldID(G$5,$B$3),$B$3,,$A79)</f>
        <v>#NAME?</v>
      </c>
      <c r="H79" s="95" t="e">
        <f ca="1">RTD("esrtd",,"*H",$A$3,_xll.ESFldID(H$5,$B$3),$B$3,,$A79)</f>
        <v>#NAME?</v>
      </c>
      <c r="I79" s="94" t="e">
        <f ca="1">RTD("esrtd",,"*H",$A$3,_xll.ESFldID(I$5,$B$3),$B$3,,$A79)</f>
        <v>#NAME?</v>
      </c>
    </row>
    <row r="80" spans="1:9" x14ac:dyDescent="0.25">
      <c r="A80" s="91">
        <v>30</v>
      </c>
      <c r="B80" s="92" t="e">
        <f ca="1">RTD("esrtd",,"*H",$A$3,_xll.ESFldID(B$5,$B$3),$B$3,,$A80)</f>
        <v>#NAME?</v>
      </c>
      <c r="C80" s="92" t="e">
        <f ca="1">RTD("esrtd",,"*H",$A$3,_xll.ESFldID(C$5,$B$3),$B$3,,$A80)</f>
        <v>#NAME?</v>
      </c>
      <c r="D80" s="92" t="e">
        <f ca="1">RTD("esrtd",,"*H",$A$3,_xll.ESFldID(D$5,$B$3),$B$3,,$A80)</f>
        <v>#NAME?</v>
      </c>
      <c r="E80" s="92" t="e">
        <f ca="1">RTD("esrtd",,"*H",$A$3,_xll.ESFldID(E$5,$B$3),$B$3,,$A80)</f>
        <v>#NAME?</v>
      </c>
      <c r="F80" s="92" t="e">
        <f ca="1">RTD("esrtd",,"*H",$A$3,_xll.ESFldID(F$5,$B$3),$B$3,,$A80)</f>
        <v>#NAME?</v>
      </c>
      <c r="G80" s="94" t="e">
        <f ca="1">RTD("esrtd",,"*H",$A$3,_xll.ESFldID(G$5,$B$3),$B$3,,$A80)</f>
        <v>#NAME?</v>
      </c>
      <c r="H80" s="95" t="e">
        <f ca="1">RTD("esrtd",,"*H",$A$3,_xll.ESFldID(H$5,$B$3),$B$3,,$A80)</f>
        <v>#NAME?</v>
      </c>
      <c r="I80" s="94" t="e">
        <f ca="1">RTD("esrtd",,"*H",$A$3,_xll.ESFldID(I$5,$B$3),$B$3,,$A80)</f>
        <v>#NAME?</v>
      </c>
    </row>
    <row r="81" spans="1:9" x14ac:dyDescent="0.25">
      <c r="A81" s="91">
        <v>29</v>
      </c>
      <c r="B81" s="92" t="e">
        <f ca="1">RTD("esrtd",,"*H",$A$3,_xll.ESFldID(B$5,$B$3),$B$3,,$A81)</f>
        <v>#NAME?</v>
      </c>
      <c r="C81" s="92" t="e">
        <f ca="1">RTD("esrtd",,"*H",$A$3,_xll.ESFldID(C$5,$B$3),$B$3,,$A81)</f>
        <v>#NAME?</v>
      </c>
      <c r="D81" s="92" t="e">
        <f ca="1">RTD("esrtd",,"*H",$A$3,_xll.ESFldID(D$5,$B$3),$B$3,,$A81)</f>
        <v>#NAME?</v>
      </c>
      <c r="E81" s="92" t="e">
        <f ca="1">RTD("esrtd",,"*H",$A$3,_xll.ESFldID(E$5,$B$3),$B$3,,$A81)</f>
        <v>#NAME?</v>
      </c>
      <c r="F81" s="92" t="e">
        <f ca="1">RTD("esrtd",,"*H",$A$3,_xll.ESFldID(F$5,$B$3),$B$3,,$A81)</f>
        <v>#NAME?</v>
      </c>
      <c r="G81" s="94" t="e">
        <f ca="1">RTD("esrtd",,"*H",$A$3,_xll.ESFldID(G$5,$B$3),$B$3,,$A81)</f>
        <v>#NAME?</v>
      </c>
      <c r="H81" s="95" t="e">
        <f ca="1">RTD("esrtd",,"*H",$A$3,_xll.ESFldID(H$5,$B$3),$B$3,,$A81)</f>
        <v>#NAME?</v>
      </c>
      <c r="I81" s="94" t="e">
        <f ca="1">RTD("esrtd",,"*H",$A$3,_xll.ESFldID(I$5,$B$3),$B$3,,$A81)</f>
        <v>#NAME?</v>
      </c>
    </row>
    <row r="82" spans="1:9" x14ac:dyDescent="0.25">
      <c r="A82" s="91">
        <v>28</v>
      </c>
      <c r="B82" s="92" t="e">
        <f ca="1">RTD("esrtd",,"*H",$A$3,_xll.ESFldID(B$5,$B$3),$B$3,,$A82)</f>
        <v>#NAME?</v>
      </c>
      <c r="C82" s="92" t="e">
        <f ca="1">RTD("esrtd",,"*H",$A$3,_xll.ESFldID(C$5,$B$3),$B$3,,$A82)</f>
        <v>#NAME?</v>
      </c>
      <c r="D82" s="92" t="e">
        <f ca="1">RTD("esrtd",,"*H",$A$3,_xll.ESFldID(D$5,$B$3),$B$3,,$A82)</f>
        <v>#NAME?</v>
      </c>
      <c r="E82" s="92" t="e">
        <f ca="1">RTD("esrtd",,"*H",$A$3,_xll.ESFldID(E$5,$B$3),$B$3,,$A82)</f>
        <v>#NAME?</v>
      </c>
      <c r="F82" s="92" t="e">
        <f ca="1">RTD("esrtd",,"*H",$A$3,_xll.ESFldID(F$5,$B$3),$B$3,,$A82)</f>
        <v>#NAME?</v>
      </c>
      <c r="G82" s="94" t="e">
        <f ca="1">RTD("esrtd",,"*H",$A$3,_xll.ESFldID(G$5,$B$3),$B$3,,$A82)</f>
        <v>#NAME?</v>
      </c>
      <c r="H82" s="95" t="e">
        <f ca="1">RTD("esrtd",,"*H",$A$3,_xll.ESFldID(H$5,$B$3),$B$3,,$A82)</f>
        <v>#NAME?</v>
      </c>
      <c r="I82" s="94" t="e">
        <f ca="1">RTD("esrtd",,"*H",$A$3,_xll.ESFldID(I$5,$B$3),$B$3,,$A82)</f>
        <v>#NAME?</v>
      </c>
    </row>
    <row r="83" spans="1:9" x14ac:dyDescent="0.25">
      <c r="A83" s="91">
        <v>27</v>
      </c>
      <c r="B83" s="92" t="e">
        <f ca="1">RTD("esrtd",,"*H",$A$3,_xll.ESFldID(B$5,$B$3),$B$3,,$A83)</f>
        <v>#NAME?</v>
      </c>
      <c r="C83" s="92" t="e">
        <f ca="1">RTD("esrtd",,"*H",$A$3,_xll.ESFldID(C$5,$B$3),$B$3,,$A83)</f>
        <v>#NAME?</v>
      </c>
      <c r="D83" s="92" t="e">
        <f ca="1">RTD("esrtd",,"*H",$A$3,_xll.ESFldID(D$5,$B$3),$B$3,,$A83)</f>
        <v>#NAME?</v>
      </c>
      <c r="E83" s="92" t="e">
        <f ca="1">RTD("esrtd",,"*H",$A$3,_xll.ESFldID(E$5,$B$3),$B$3,,$A83)</f>
        <v>#NAME?</v>
      </c>
      <c r="F83" s="92" t="e">
        <f ca="1">RTD("esrtd",,"*H",$A$3,_xll.ESFldID(F$5,$B$3),$B$3,,$A83)</f>
        <v>#NAME?</v>
      </c>
      <c r="G83" s="94" t="e">
        <f ca="1">RTD("esrtd",,"*H",$A$3,_xll.ESFldID(G$5,$B$3),$B$3,,$A83)</f>
        <v>#NAME?</v>
      </c>
      <c r="H83" s="95" t="e">
        <f ca="1">RTD("esrtd",,"*H",$A$3,_xll.ESFldID(H$5,$B$3),$B$3,,$A83)</f>
        <v>#NAME?</v>
      </c>
      <c r="I83" s="94" t="e">
        <f ca="1">RTD("esrtd",,"*H",$A$3,_xll.ESFldID(I$5,$B$3),$B$3,,$A83)</f>
        <v>#NAME?</v>
      </c>
    </row>
    <row r="84" spans="1:9" x14ac:dyDescent="0.25">
      <c r="A84" s="91">
        <v>26</v>
      </c>
      <c r="B84" s="92" t="e">
        <f ca="1">RTD("esrtd",,"*H",$A$3,_xll.ESFldID(B$5,$B$3),$B$3,,$A84)</f>
        <v>#NAME?</v>
      </c>
      <c r="C84" s="92" t="e">
        <f ca="1">RTD("esrtd",,"*H",$A$3,_xll.ESFldID(C$5,$B$3),$B$3,,$A84)</f>
        <v>#NAME?</v>
      </c>
      <c r="D84" s="92" t="e">
        <f ca="1">RTD("esrtd",,"*H",$A$3,_xll.ESFldID(D$5,$B$3),$B$3,,$A84)</f>
        <v>#NAME?</v>
      </c>
      <c r="E84" s="92" t="e">
        <f ca="1">RTD("esrtd",,"*H",$A$3,_xll.ESFldID(E$5,$B$3),$B$3,,$A84)</f>
        <v>#NAME?</v>
      </c>
      <c r="F84" s="92" t="e">
        <f ca="1">RTD("esrtd",,"*H",$A$3,_xll.ESFldID(F$5,$B$3),$B$3,,$A84)</f>
        <v>#NAME?</v>
      </c>
      <c r="G84" s="94" t="e">
        <f ca="1">RTD("esrtd",,"*H",$A$3,_xll.ESFldID(G$5,$B$3),$B$3,,$A84)</f>
        <v>#NAME?</v>
      </c>
      <c r="H84" s="95" t="e">
        <f ca="1">RTD("esrtd",,"*H",$A$3,_xll.ESFldID(H$5,$B$3),$B$3,,$A84)</f>
        <v>#NAME?</v>
      </c>
      <c r="I84" s="94" t="e">
        <f ca="1">RTD("esrtd",,"*H",$A$3,_xll.ESFldID(I$5,$B$3),$B$3,,$A84)</f>
        <v>#NAME?</v>
      </c>
    </row>
    <row r="85" spans="1:9" x14ac:dyDescent="0.25">
      <c r="A85" s="91">
        <v>25</v>
      </c>
      <c r="B85" s="92" t="e">
        <f ca="1">RTD("esrtd",,"*H",$A$3,_xll.ESFldID(B$5,$B$3),$B$3,,$A85)</f>
        <v>#NAME?</v>
      </c>
      <c r="C85" s="92" t="e">
        <f ca="1">RTD("esrtd",,"*H",$A$3,_xll.ESFldID(C$5,$B$3),$B$3,,$A85)</f>
        <v>#NAME?</v>
      </c>
      <c r="D85" s="92" t="e">
        <f ca="1">RTD("esrtd",,"*H",$A$3,_xll.ESFldID(D$5,$B$3),$B$3,,$A85)</f>
        <v>#NAME?</v>
      </c>
      <c r="E85" s="92" t="e">
        <f ca="1">RTD("esrtd",,"*H",$A$3,_xll.ESFldID(E$5,$B$3),$B$3,,$A85)</f>
        <v>#NAME?</v>
      </c>
      <c r="F85" s="92" t="e">
        <f ca="1">RTD("esrtd",,"*H",$A$3,_xll.ESFldID(F$5,$B$3),$B$3,,$A85)</f>
        <v>#NAME?</v>
      </c>
      <c r="G85" s="94" t="e">
        <f ca="1">RTD("esrtd",,"*H",$A$3,_xll.ESFldID(G$5,$B$3),$B$3,,$A85)</f>
        <v>#NAME?</v>
      </c>
      <c r="H85" s="95" t="e">
        <f ca="1">RTD("esrtd",,"*H",$A$3,_xll.ESFldID(H$5,$B$3),$B$3,,$A85)</f>
        <v>#NAME?</v>
      </c>
      <c r="I85" s="94" t="e">
        <f ca="1">RTD("esrtd",,"*H",$A$3,_xll.ESFldID(I$5,$B$3),$B$3,,$A85)</f>
        <v>#NAME?</v>
      </c>
    </row>
    <row r="86" spans="1:9" x14ac:dyDescent="0.25">
      <c r="A86" s="91">
        <v>24</v>
      </c>
      <c r="B86" s="92" t="e">
        <f ca="1">RTD("esrtd",,"*H",$A$3,_xll.ESFldID(B$5,$B$3),$B$3,,$A86)</f>
        <v>#NAME?</v>
      </c>
      <c r="C86" s="92" t="e">
        <f ca="1">RTD("esrtd",,"*H",$A$3,_xll.ESFldID(C$5,$B$3),$B$3,,$A86)</f>
        <v>#NAME?</v>
      </c>
      <c r="D86" s="92" t="e">
        <f ca="1">RTD("esrtd",,"*H",$A$3,_xll.ESFldID(D$5,$B$3),$B$3,,$A86)</f>
        <v>#NAME?</v>
      </c>
      <c r="E86" s="92" t="e">
        <f ca="1">RTD("esrtd",,"*H",$A$3,_xll.ESFldID(E$5,$B$3),$B$3,,$A86)</f>
        <v>#NAME?</v>
      </c>
      <c r="F86" s="92" t="e">
        <f ca="1">RTD("esrtd",,"*H",$A$3,_xll.ESFldID(F$5,$B$3),$B$3,,$A86)</f>
        <v>#NAME?</v>
      </c>
      <c r="G86" s="94" t="e">
        <f ca="1">RTD("esrtd",,"*H",$A$3,_xll.ESFldID(G$5,$B$3),$B$3,,$A86)</f>
        <v>#NAME?</v>
      </c>
      <c r="H86" s="95" t="e">
        <f ca="1">RTD("esrtd",,"*H",$A$3,_xll.ESFldID(H$5,$B$3),$B$3,,$A86)</f>
        <v>#NAME?</v>
      </c>
      <c r="I86" s="94" t="e">
        <f ca="1">RTD("esrtd",,"*H",$A$3,_xll.ESFldID(I$5,$B$3),$B$3,,$A86)</f>
        <v>#NAME?</v>
      </c>
    </row>
    <row r="87" spans="1:9" x14ac:dyDescent="0.25">
      <c r="A87" s="91">
        <v>23</v>
      </c>
      <c r="B87" s="92" t="e">
        <f ca="1">RTD("esrtd",,"*H",$A$3,_xll.ESFldID(B$5,$B$3),$B$3,,$A87)</f>
        <v>#NAME?</v>
      </c>
      <c r="C87" s="92" t="e">
        <f ca="1">RTD("esrtd",,"*H",$A$3,_xll.ESFldID(C$5,$B$3),$B$3,,$A87)</f>
        <v>#NAME?</v>
      </c>
      <c r="D87" s="92" t="e">
        <f ca="1">RTD("esrtd",,"*H",$A$3,_xll.ESFldID(D$5,$B$3),$B$3,,$A87)</f>
        <v>#NAME?</v>
      </c>
      <c r="E87" s="92" t="e">
        <f ca="1">RTD("esrtd",,"*H",$A$3,_xll.ESFldID(E$5,$B$3),$B$3,,$A87)</f>
        <v>#NAME?</v>
      </c>
      <c r="F87" s="92" t="e">
        <f ca="1">RTD("esrtd",,"*H",$A$3,_xll.ESFldID(F$5,$B$3),$B$3,,$A87)</f>
        <v>#NAME?</v>
      </c>
      <c r="G87" s="94" t="e">
        <f ca="1">RTD("esrtd",,"*H",$A$3,_xll.ESFldID(G$5,$B$3),$B$3,,$A87)</f>
        <v>#NAME?</v>
      </c>
      <c r="H87" s="95" t="e">
        <f ca="1">RTD("esrtd",,"*H",$A$3,_xll.ESFldID(H$5,$B$3),$B$3,,$A87)</f>
        <v>#NAME?</v>
      </c>
      <c r="I87" s="94" t="e">
        <f ca="1">RTD("esrtd",,"*H",$A$3,_xll.ESFldID(I$5,$B$3),$B$3,,$A87)</f>
        <v>#NAME?</v>
      </c>
    </row>
    <row r="88" spans="1:9" x14ac:dyDescent="0.25">
      <c r="A88" s="91">
        <v>22</v>
      </c>
      <c r="B88" s="92" t="e">
        <f ca="1">RTD("esrtd",,"*H",$A$3,_xll.ESFldID(B$5,$B$3),$B$3,,$A88)</f>
        <v>#NAME?</v>
      </c>
      <c r="C88" s="92" t="e">
        <f ca="1">RTD("esrtd",,"*H",$A$3,_xll.ESFldID(C$5,$B$3),$B$3,,$A88)</f>
        <v>#NAME?</v>
      </c>
      <c r="D88" s="92" t="e">
        <f ca="1">RTD("esrtd",,"*H",$A$3,_xll.ESFldID(D$5,$B$3),$B$3,,$A88)</f>
        <v>#NAME?</v>
      </c>
      <c r="E88" s="92" t="e">
        <f ca="1">RTD("esrtd",,"*H",$A$3,_xll.ESFldID(E$5,$B$3),$B$3,,$A88)</f>
        <v>#NAME?</v>
      </c>
      <c r="F88" s="92" t="e">
        <f ca="1">RTD("esrtd",,"*H",$A$3,_xll.ESFldID(F$5,$B$3),$B$3,,$A88)</f>
        <v>#NAME?</v>
      </c>
      <c r="G88" s="94" t="e">
        <f ca="1">RTD("esrtd",,"*H",$A$3,_xll.ESFldID(G$5,$B$3),$B$3,,$A88)</f>
        <v>#NAME?</v>
      </c>
      <c r="H88" s="95" t="e">
        <f ca="1">RTD("esrtd",,"*H",$A$3,_xll.ESFldID(H$5,$B$3),$B$3,,$A88)</f>
        <v>#NAME?</v>
      </c>
      <c r="I88" s="94" t="e">
        <f ca="1">RTD("esrtd",,"*H",$A$3,_xll.ESFldID(I$5,$B$3),$B$3,,$A88)</f>
        <v>#NAME?</v>
      </c>
    </row>
    <row r="89" spans="1:9" x14ac:dyDescent="0.25">
      <c r="A89" s="91">
        <v>21</v>
      </c>
      <c r="B89" s="92" t="e">
        <f ca="1">RTD("esrtd",,"*H",$A$3,_xll.ESFldID(B$5,$B$3),$B$3,,$A89)</f>
        <v>#NAME?</v>
      </c>
      <c r="C89" s="92" t="e">
        <f ca="1">RTD("esrtd",,"*H",$A$3,_xll.ESFldID(C$5,$B$3),$B$3,,$A89)</f>
        <v>#NAME?</v>
      </c>
      <c r="D89" s="92" t="e">
        <f ca="1">RTD("esrtd",,"*H",$A$3,_xll.ESFldID(D$5,$B$3),$B$3,,$A89)</f>
        <v>#NAME?</v>
      </c>
      <c r="E89" s="92" t="e">
        <f ca="1">RTD("esrtd",,"*H",$A$3,_xll.ESFldID(E$5,$B$3),$B$3,,$A89)</f>
        <v>#NAME?</v>
      </c>
      <c r="F89" s="92" t="e">
        <f ca="1">RTD("esrtd",,"*H",$A$3,_xll.ESFldID(F$5,$B$3),$B$3,,$A89)</f>
        <v>#NAME?</v>
      </c>
      <c r="G89" s="94" t="e">
        <f ca="1">RTD("esrtd",,"*H",$A$3,_xll.ESFldID(G$5,$B$3),$B$3,,$A89)</f>
        <v>#NAME?</v>
      </c>
      <c r="H89" s="95" t="e">
        <f ca="1">RTD("esrtd",,"*H",$A$3,_xll.ESFldID(H$5,$B$3),$B$3,,$A89)</f>
        <v>#NAME?</v>
      </c>
      <c r="I89" s="94" t="e">
        <f ca="1">RTD("esrtd",,"*H",$A$3,_xll.ESFldID(I$5,$B$3),$B$3,,$A89)</f>
        <v>#NAME?</v>
      </c>
    </row>
    <row r="90" spans="1:9" x14ac:dyDescent="0.25">
      <c r="A90" s="91">
        <v>20</v>
      </c>
      <c r="B90" s="92" t="e">
        <f ca="1">RTD("esrtd",,"*H",$A$3,_xll.ESFldID(B$5,$B$3),$B$3,,$A90)</f>
        <v>#NAME?</v>
      </c>
      <c r="C90" s="92" t="e">
        <f ca="1">RTD("esrtd",,"*H",$A$3,_xll.ESFldID(C$5,$B$3),$B$3,,$A90)</f>
        <v>#NAME?</v>
      </c>
      <c r="D90" s="92" t="e">
        <f ca="1">RTD("esrtd",,"*H",$A$3,_xll.ESFldID(D$5,$B$3),$B$3,,$A90)</f>
        <v>#NAME?</v>
      </c>
      <c r="E90" s="92" t="e">
        <f ca="1">RTD("esrtd",,"*H",$A$3,_xll.ESFldID(E$5,$B$3),$B$3,,$A90)</f>
        <v>#NAME?</v>
      </c>
      <c r="F90" s="92" t="e">
        <f ca="1">RTD("esrtd",,"*H",$A$3,_xll.ESFldID(F$5,$B$3),$B$3,,$A90)</f>
        <v>#NAME?</v>
      </c>
      <c r="G90" s="94" t="e">
        <f ca="1">RTD("esrtd",,"*H",$A$3,_xll.ESFldID(G$5,$B$3),$B$3,,$A90)</f>
        <v>#NAME?</v>
      </c>
      <c r="H90" s="95" t="e">
        <f ca="1">RTD("esrtd",,"*H",$A$3,_xll.ESFldID(H$5,$B$3),$B$3,,$A90)</f>
        <v>#NAME?</v>
      </c>
      <c r="I90" s="94" t="e">
        <f ca="1">RTD("esrtd",,"*H",$A$3,_xll.ESFldID(I$5,$B$3),$B$3,,$A90)</f>
        <v>#NAME?</v>
      </c>
    </row>
    <row r="91" spans="1:9" x14ac:dyDescent="0.25">
      <c r="A91" s="91">
        <v>19</v>
      </c>
      <c r="B91" s="92" t="e">
        <f ca="1">RTD("esrtd",,"*H",$A$3,_xll.ESFldID(B$5,$B$3),$B$3,,$A91)</f>
        <v>#NAME?</v>
      </c>
      <c r="C91" s="92" t="e">
        <f ca="1">RTD("esrtd",,"*H",$A$3,_xll.ESFldID(C$5,$B$3),$B$3,,$A91)</f>
        <v>#NAME?</v>
      </c>
      <c r="D91" s="92" t="e">
        <f ca="1">RTD("esrtd",,"*H",$A$3,_xll.ESFldID(D$5,$B$3),$B$3,,$A91)</f>
        <v>#NAME?</v>
      </c>
      <c r="E91" s="92" t="e">
        <f ca="1">RTD("esrtd",,"*H",$A$3,_xll.ESFldID(E$5,$B$3),$B$3,,$A91)</f>
        <v>#NAME?</v>
      </c>
      <c r="F91" s="92" t="e">
        <f ca="1">RTD("esrtd",,"*H",$A$3,_xll.ESFldID(F$5,$B$3),$B$3,,$A91)</f>
        <v>#NAME?</v>
      </c>
      <c r="G91" s="94" t="e">
        <f ca="1">RTD("esrtd",,"*H",$A$3,_xll.ESFldID(G$5,$B$3),$B$3,,$A91)</f>
        <v>#NAME?</v>
      </c>
      <c r="H91" s="95" t="e">
        <f ca="1">RTD("esrtd",,"*H",$A$3,_xll.ESFldID(H$5,$B$3),$B$3,,$A91)</f>
        <v>#NAME?</v>
      </c>
      <c r="I91" s="94" t="e">
        <f ca="1">RTD("esrtd",,"*H",$A$3,_xll.ESFldID(I$5,$B$3),$B$3,,$A91)</f>
        <v>#NAME?</v>
      </c>
    </row>
    <row r="92" spans="1:9" x14ac:dyDescent="0.25">
      <c r="A92" s="91">
        <v>18</v>
      </c>
      <c r="B92" s="92" t="e">
        <f ca="1">RTD("esrtd",,"*H",$A$3,_xll.ESFldID(B$5,$B$3),$B$3,,$A92)</f>
        <v>#NAME?</v>
      </c>
      <c r="C92" s="92" t="e">
        <f ca="1">RTD("esrtd",,"*H",$A$3,_xll.ESFldID(C$5,$B$3),$B$3,,$A92)</f>
        <v>#NAME?</v>
      </c>
      <c r="D92" s="92" t="e">
        <f ca="1">RTD("esrtd",,"*H",$A$3,_xll.ESFldID(D$5,$B$3),$B$3,,$A92)</f>
        <v>#NAME?</v>
      </c>
      <c r="E92" s="92" t="e">
        <f ca="1">RTD("esrtd",,"*H",$A$3,_xll.ESFldID(E$5,$B$3),$B$3,,$A92)</f>
        <v>#NAME?</v>
      </c>
      <c r="F92" s="92" t="e">
        <f ca="1">RTD("esrtd",,"*H",$A$3,_xll.ESFldID(F$5,$B$3),$B$3,,$A92)</f>
        <v>#NAME?</v>
      </c>
      <c r="G92" s="94" t="e">
        <f ca="1">RTD("esrtd",,"*H",$A$3,_xll.ESFldID(G$5,$B$3),$B$3,,$A92)</f>
        <v>#NAME?</v>
      </c>
      <c r="H92" s="95" t="e">
        <f ca="1">RTD("esrtd",,"*H",$A$3,_xll.ESFldID(H$5,$B$3),$B$3,,$A92)</f>
        <v>#NAME?</v>
      </c>
      <c r="I92" s="94" t="e">
        <f ca="1">RTD("esrtd",,"*H",$A$3,_xll.ESFldID(I$5,$B$3),$B$3,,$A92)</f>
        <v>#NAME?</v>
      </c>
    </row>
    <row r="93" spans="1:9" x14ac:dyDescent="0.25">
      <c r="A93" s="91">
        <v>17</v>
      </c>
      <c r="B93" s="92" t="e">
        <f ca="1">RTD("esrtd",,"*H",$A$3,_xll.ESFldID(B$5,$B$3),$B$3,,$A93)</f>
        <v>#NAME?</v>
      </c>
      <c r="C93" s="92" t="e">
        <f ca="1">RTD("esrtd",,"*H",$A$3,_xll.ESFldID(C$5,$B$3),$B$3,,$A93)</f>
        <v>#NAME?</v>
      </c>
      <c r="D93" s="92" t="e">
        <f ca="1">RTD("esrtd",,"*H",$A$3,_xll.ESFldID(D$5,$B$3),$B$3,,$A93)</f>
        <v>#NAME?</v>
      </c>
      <c r="E93" s="92" t="e">
        <f ca="1">RTD("esrtd",,"*H",$A$3,_xll.ESFldID(E$5,$B$3),$B$3,,$A93)</f>
        <v>#NAME?</v>
      </c>
      <c r="F93" s="92" t="e">
        <f ca="1">RTD("esrtd",,"*H",$A$3,_xll.ESFldID(F$5,$B$3),$B$3,,$A93)</f>
        <v>#NAME?</v>
      </c>
      <c r="G93" s="94" t="e">
        <f ca="1">RTD("esrtd",,"*H",$A$3,_xll.ESFldID(G$5,$B$3),$B$3,,$A93)</f>
        <v>#NAME?</v>
      </c>
      <c r="H93" s="95" t="e">
        <f ca="1">RTD("esrtd",,"*H",$A$3,_xll.ESFldID(H$5,$B$3),$B$3,,$A93)</f>
        <v>#NAME?</v>
      </c>
      <c r="I93" s="94" t="e">
        <f ca="1">RTD("esrtd",,"*H",$A$3,_xll.ESFldID(I$5,$B$3),$B$3,,$A93)</f>
        <v>#NAME?</v>
      </c>
    </row>
    <row r="94" spans="1:9" x14ac:dyDescent="0.25">
      <c r="A94" s="91">
        <v>16</v>
      </c>
      <c r="B94" s="92" t="e">
        <f ca="1">RTD("esrtd",,"*H",$A$3,_xll.ESFldID(B$5,$B$3),$B$3,,$A94)</f>
        <v>#NAME?</v>
      </c>
      <c r="C94" s="92" t="e">
        <f ca="1">RTD("esrtd",,"*H",$A$3,_xll.ESFldID(C$5,$B$3),$B$3,,$A94)</f>
        <v>#NAME?</v>
      </c>
      <c r="D94" s="92" t="e">
        <f ca="1">RTD("esrtd",,"*H",$A$3,_xll.ESFldID(D$5,$B$3),$B$3,,$A94)</f>
        <v>#NAME?</v>
      </c>
      <c r="E94" s="92" t="e">
        <f ca="1">RTD("esrtd",,"*H",$A$3,_xll.ESFldID(E$5,$B$3),$B$3,,$A94)</f>
        <v>#NAME?</v>
      </c>
      <c r="F94" s="92" t="e">
        <f ca="1">RTD("esrtd",,"*H",$A$3,_xll.ESFldID(F$5,$B$3),$B$3,,$A94)</f>
        <v>#NAME?</v>
      </c>
      <c r="G94" s="94" t="e">
        <f ca="1">RTD("esrtd",,"*H",$A$3,_xll.ESFldID(G$5,$B$3),$B$3,,$A94)</f>
        <v>#NAME?</v>
      </c>
      <c r="H94" s="95" t="e">
        <f ca="1">RTD("esrtd",,"*H",$A$3,_xll.ESFldID(H$5,$B$3),$B$3,,$A94)</f>
        <v>#NAME?</v>
      </c>
      <c r="I94" s="94" t="e">
        <f ca="1">RTD("esrtd",,"*H",$A$3,_xll.ESFldID(I$5,$B$3),$B$3,,$A94)</f>
        <v>#NAME?</v>
      </c>
    </row>
    <row r="95" spans="1:9" x14ac:dyDescent="0.25">
      <c r="A95" s="91">
        <v>15</v>
      </c>
      <c r="B95" s="92" t="e">
        <f ca="1">RTD("esrtd",,"*H",$A$3,_xll.ESFldID(B$5,$B$3),$B$3,,$A95)</f>
        <v>#NAME?</v>
      </c>
      <c r="C95" s="92" t="e">
        <f ca="1">RTD("esrtd",,"*H",$A$3,_xll.ESFldID(C$5,$B$3),$B$3,,$A95)</f>
        <v>#NAME?</v>
      </c>
      <c r="D95" s="92" t="e">
        <f ca="1">RTD("esrtd",,"*H",$A$3,_xll.ESFldID(D$5,$B$3),$B$3,,$A95)</f>
        <v>#NAME?</v>
      </c>
      <c r="E95" s="92" t="e">
        <f ca="1">RTD("esrtd",,"*H",$A$3,_xll.ESFldID(E$5,$B$3),$B$3,,$A95)</f>
        <v>#NAME?</v>
      </c>
      <c r="F95" s="92" t="e">
        <f ca="1">RTD("esrtd",,"*H",$A$3,_xll.ESFldID(F$5,$B$3),$B$3,,$A95)</f>
        <v>#NAME?</v>
      </c>
      <c r="G95" s="94" t="e">
        <f ca="1">RTD("esrtd",,"*H",$A$3,_xll.ESFldID(G$5,$B$3),$B$3,,$A95)</f>
        <v>#NAME?</v>
      </c>
      <c r="H95" s="95" t="e">
        <f ca="1">RTD("esrtd",,"*H",$A$3,_xll.ESFldID(H$5,$B$3),$B$3,,$A95)</f>
        <v>#NAME?</v>
      </c>
      <c r="I95" s="94" t="e">
        <f ca="1">RTD("esrtd",,"*H",$A$3,_xll.ESFldID(I$5,$B$3),$B$3,,$A95)</f>
        <v>#NAME?</v>
      </c>
    </row>
    <row r="96" spans="1:9" x14ac:dyDescent="0.25">
      <c r="A96" s="91">
        <v>14</v>
      </c>
      <c r="B96" s="92" t="e">
        <f ca="1">RTD("esrtd",,"*H",$A$3,_xll.ESFldID(B$5,$B$3),$B$3,,$A96)</f>
        <v>#NAME?</v>
      </c>
      <c r="C96" s="92" t="e">
        <f ca="1">RTD("esrtd",,"*H",$A$3,_xll.ESFldID(C$5,$B$3),$B$3,,$A96)</f>
        <v>#NAME?</v>
      </c>
      <c r="D96" s="92" t="e">
        <f ca="1">RTD("esrtd",,"*H",$A$3,_xll.ESFldID(D$5,$B$3),$B$3,,$A96)</f>
        <v>#NAME?</v>
      </c>
      <c r="E96" s="92" t="e">
        <f ca="1">RTD("esrtd",,"*H",$A$3,_xll.ESFldID(E$5,$B$3),$B$3,,$A96)</f>
        <v>#NAME?</v>
      </c>
      <c r="F96" s="92" t="e">
        <f ca="1">RTD("esrtd",,"*H",$A$3,_xll.ESFldID(F$5,$B$3),$B$3,,$A96)</f>
        <v>#NAME?</v>
      </c>
      <c r="G96" s="94" t="e">
        <f ca="1">RTD("esrtd",,"*H",$A$3,_xll.ESFldID(G$5,$B$3),$B$3,,$A96)</f>
        <v>#NAME?</v>
      </c>
      <c r="H96" s="95" t="e">
        <f ca="1">RTD("esrtd",,"*H",$A$3,_xll.ESFldID(H$5,$B$3),$B$3,,$A96)</f>
        <v>#NAME?</v>
      </c>
      <c r="I96" s="94" t="e">
        <f ca="1">RTD("esrtd",,"*H",$A$3,_xll.ESFldID(I$5,$B$3),$B$3,,$A96)</f>
        <v>#NAME?</v>
      </c>
    </row>
    <row r="97" spans="1:9" x14ac:dyDescent="0.25">
      <c r="A97" s="91">
        <v>13</v>
      </c>
      <c r="B97" s="92" t="e">
        <f ca="1">RTD("esrtd",,"*H",$A$3,_xll.ESFldID(B$5,$B$3),$B$3,,$A97)</f>
        <v>#NAME?</v>
      </c>
      <c r="C97" s="92" t="e">
        <f ca="1">RTD("esrtd",,"*H",$A$3,_xll.ESFldID(C$5,$B$3),$B$3,,$A97)</f>
        <v>#NAME?</v>
      </c>
      <c r="D97" s="92" t="e">
        <f ca="1">RTD("esrtd",,"*H",$A$3,_xll.ESFldID(D$5,$B$3),$B$3,,$A97)</f>
        <v>#NAME?</v>
      </c>
      <c r="E97" s="92" t="e">
        <f ca="1">RTD("esrtd",,"*H",$A$3,_xll.ESFldID(E$5,$B$3),$B$3,,$A97)</f>
        <v>#NAME?</v>
      </c>
      <c r="F97" s="92" t="e">
        <f ca="1">RTD("esrtd",,"*H",$A$3,_xll.ESFldID(F$5,$B$3),$B$3,,$A97)</f>
        <v>#NAME?</v>
      </c>
      <c r="G97" s="94" t="e">
        <f ca="1">RTD("esrtd",,"*H",$A$3,_xll.ESFldID(G$5,$B$3),$B$3,,$A97)</f>
        <v>#NAME?</v>
      </c>
      <c r="H97" s="95" t="e">
        <f ca="1">RTD("esrtd",,"*H",$A$3,_xll.ESFldID(H$5,$B$3),$B$3,,$A97)</f>
        <v>#NAME?</v>
      </c>
      <c r="I97" s="94" t="e">
        <f ca="1">RTD("esrtd",,"*H",$A$3,_xll.ESFldID(I$5,$B$3),$B$3,,$A97)</f>
        <v>#NAME?</v>
      </c>
    </row>
    <row r="98" spans="1:9" x14ac:dyDescent="0.25">
      <c r="A98" s="91">
        <v>12</v>
      </c>
      <c r="B98" s="92" t="e">
        <f ca="1">RTD("esrtd",,"*H",$A$3,_xll.ESFldID(B$5,$B$3),$B$3,,$A98)</f>
        <v>#NAME?</v>
      </c>
      <c r="C98" s="92" t="e">
        <f ca="1">RTD("esrtd",,"*H",$A$3,_xll.ESFldID(C$5,$B$3),$B$3,,$A98)</f>
        <v>#NAME?</v>
      </c>
      <c r="D98" s="92" t="e">
        <f ca="1">RTD("esrtd",,"*H",$A$3,_xll.ESFldID(D$5,$B$3),$B$3,,$A98)</f>
        <v>#NAME?</v>
      </c>
      <c r="E98" s="92" t="e">
        <f ca="1">RTD("esrtd",,"*H",$A$3,_xll.ESFldID(E$5,$B$3),$B$3,,$A98)</f>
        <v>#NAME?</v>
      </c>
      <c r="F98" s="92" t="e">
        <f ca="1">RTD("esrtd",,"*H",$A$3,_xll.ESFldID(F$5,$B$3),$B$3,,$A98)</f>
        <v>#NAME?</v>
      </c>
      <c r="G98" s="94" t="e">
        <f ca="1">RTD("esrtd",,"*H",$A$3,_xll.ESFldID(G$5,$B$3),$B$3,,$A98)</f>
        <v>#NAME?</v>
      </c>
      <c r="H98" s="95" t="e">
        <f ca="1">RTD("esrtd",,"*H",$A$3,_xll.ESFldID(H$5,$B$3),$B$3,,$A98)</f>
        <v>#NAME?</v>
      </c>
      <c r="I98" s="94" t="e">
        <f ca="1">RTD("esrtd",,"*H",$A$3,_xll.ESFldID(I$5,$B$3),$B$3,,$A98)</f>
        <v>#NAME?</v>
      </c>
    </row>
    <row r="99" spans="1:9" x14ac:dyDescent="0.25">
      <c r="A99" s="91">
        <v>11</v>
      </c>
      <c r="B99" s="92" t="e">
        <f ca="1">RTD("esrtd",,"*H",$A$3,_xll.ESFldID(B$5,$B$3),$B$3,,$A99)</f>
        <v>#NAME?</v>
      </c>
      <c r="C99" s="92" t="e">
        <f ca="1">RTD("esrtd",,"*H",$A$3,_xll.ESFldID(C$5,$B$3),$B$3,,$A99)</f>
        <v>#NAME?</v>
      </c>
      <c r="D99" s="92" t="e">
        <f ca="1">RTD("esrtd",,"*H",$A$3,_xll.ESFldID(D$5,$B$3),$B$3,,$A99)</f>
        <v>#NAME?</v>
      </c>
      <c r="E99" s="92" t="e">
        <f ca="1">RTD("esrtd",,"*H",$A$3,_xll.ESFldID(E$5,$B$3),$B$3,,$A99)</f>
        <v>#NAME?</v>
      </c>
      <c r="F99" s="92" t="e">
        <f ca="1">RTD("esrtd",,"*H",$A$3,_xll.ESFldID(F$5,$B$3),$B$3,,$A99)</f>
        <v>#NAME?</v>
      </c>
      <c r="G99" s="94" t="e">
        <f ca="1">RTD("esrtd",,"*H",$A$3,_xll.ESFldID(G$5,$B$3),$B$3,,$A99)</f>
        <v>#NAME?</v>
      </c>
      <c r="H99" s="95" t="e">
        <f ca="1">RTD("esrtd",,"*H",$A$3,_xll.ESFldID(H$5,$B$3),$B$3,,$A99)</f>
        <v>#NAME?</v>
      </c>
      <c r="I99" s="94" t="e">
        <f ca="1">RTD("esrtd",,"*H",$A$3,_xll.ESFldID(I$5,$B$3),$B$3,,$A99)</f>
        <v>#NAME?</v>
      </c>
    </row>
    <row r="100" spans="1:9" x14ac:dyDescent="0.25">
      <c r="A100" s="91">
        <v>10</v>
      </c>
      <c r="B100" s="92" t="e">
        <f ca="1">RTD("esrtd",,"*H",$A$3,_xll.ESFldID(B$5,$B$3),$B$3,,$A100)</f>
        <v>#NAME?</v>
      </c>
      <c r="C100" s="92" t="e">
        <f ca="1">RTD("esrtd",,"*H",$A$3,_xll.ESFldID(C$5,$B$3),$B$3,,$A100)</f>
        <v>#NAME?</v>
      </c>
      <c r="D100" s="92" t="e">
        <f ca="1">RTD("esrtd",,"*H",$A$3,_xll.ESFldID(D$5,$B$3),$B$3,,$A100)</f>
        <v>#NAME?</v>
      </c>
      <c r="E100" s="92" t="e">
        <f ca="1">RTD("esrtd",,"*H",$A$3,_xll.ESFldID(E$5,$B$3),$B$3,,$A100)</f>
        <v>#NAME?</v>
      </c>
      <c r="F100" s="92" t="e">
        <f ca="1">RTD("esrtd",,"*H",$A$3,_xll.ESFldID(F$5,$B$3),$B$3,,$A100)</f>
        <v>#NAME?</v>
      </c>
      <c r="G100" s="94" t="e">
        <f ca="1">RTD("esrtd",,"*H",$A$3,_xll.ESFldID(G$5,$B$3),$B$3,,$A100)</f>
        <v>#NAME?</v>
      </c>
      <c r="H100" s="95" t="e">
        <f ca="1">RTD("esrtd",,"*H",$A$3,_xll.ESFldID(H$5,$B$3),$B$3,,$A100)</f>
        <v>#NAME?</v>
      </c>
      <c r="I100" s="94" t="e">
        <f ca="1">RTD("esrtd",,"*H",$A$3,_xll.ESFldID(I$5,$B$3),$B$3,,$A100)</f>
        <v>#NAME?</v>
      </c>
    </row>
    <row r="101" spans="1:9" x14ac:dyDescent="0.25">
      <c r="A101" s="91">
        <v>9</v>
      </c>
      <c r="B101" s="92" t="e">
        <f ca="1">RTD("esrtd",,"*H",$A$3,_xll.ESFldID(B$5,$B$3),$B$3,,$A101)</f>
        <v>#NAME?</v>
      </c>
      <c r="C101" s="92" t="e">
        <f ca="1">RTD("esrtd",,"*H",$A$3,_xll.ESFldID(C$5,$B$3),$B$3,,$A101)</f>
        <v>#NAME?</v>
      </c>
      <c r="D101" s="92" t="e">
        <f ca="1">RTD("esrtd",,"*H",$A$3,_xll.ESFldID(D$5,$B$3),$B$3,,$A101)</f>
        <v>#NAME?</v>
      </c>
      <c r="E101" s="92" t="e">
        <f ca="1">RTD("esrtd",,"*H",$A$3,_xll.ESFldID(E$5,$B$3),$B$3,,$A101)</f>
        <v>#NAME?</v>
      </c>
      <c r="F101" s="92" t="e">
        <f ca="1">RTD("esrtd",,"*H",$A$3,_xll.ESFldID(F$5,$B$3),$B$3,,$A101)</f>
        <v>#NAME?</v>
      </c>
      <c r="G101" s="94" t="e">
        <f ca="1">RTD("esrtd",,"*H",$A$3,_xll.ESFldID(G$5,$B$3),$B$3,,$A101)</f>
        <v>#NAME?</v>
      </c>
      <c r="H101" s="95" t="e">
        <f ca="1">RTD("esrtd",,"*H",$A$3,_xll.ESFldID(H$5,$B$3),$B$3,,$A101)</f>
        <v>#NAME?</v>
      </c>
      <c r="I101" s="94" t="e">
        <f ca="1">RTD("esrtd",,"*H",$A$3,_xll.ESFldID(I$5,$B$3),$B$3,,$A101)</f>
        <v>#NAME?</v>
      </c>
    </row>
    <row r="102" spans="1:9" x14ac:dyDescent="0.25">
      <c r="A102" s="91">
        <v>8</v>
      </c>
      <c r="B102" s="92" t="e">
        <f ca="1">RTD("esrtd",,"*H",$A$3,_xll.ESFldID(B$5,$B$3),$B$3,,$A102)</f>
        <v>#NAME?</v>
      </c>
      <c r="C102" s="92" t="e">
        <f ca="1">RTD("esrtd",,"*H",$A$3,_xll.ESFldID(C$5,$B$3),$B$3,,$A102)</f>
        <v>#NAME?</v>
      </c>
      <c r="D102" s="92" t="e">
        <f ca="1">RTD("esrtd",,"*H",$A$3,_xll.ESFldID(D$5,$B$3),$B$3,,$A102)</f>
        <v>#NAME?</v>
      </c>
      <c r="E102" s="92" t="e">
        <f ca="1">RTD("esrtd",,"*H",$A$3,_xll.ESFldID(E$5,$B$3),$B$3,,$A102)</f>
        <v>#NAME?</v>
      </c>
      <c r="F102" s="92" t="e">
        <f ca="1">RTD("esrtd",,"*H",$A$3,_xll.ESFldID(F$5,$B$3),$B$3,,$A102)</f>
        <v>#NAME?</v>
      </c>
      <c r="G102" s="94" t="e">
        <f ca="1">RTD("esrtd",,"*H",$A$3,_xll.ESFldID(G$5,$B$3),$B$3,,$A102)</f>
        <v>#NAME?</v>
      </c>
      <c r="H102" s="95" t="e">
        <f ca="1">RTD("esrtd",,"*H",$A$3,_xll.ESFldID(H$5,$B$3),$B$3,,$A102)</f>
        <v>#NAME?</v>
      </c>
      <c r="I102" s="94" t="e">
        <f ca="1">RTD("esrtd",,"*H",$A$3,_xll.ESFldID(I$5,$B$3),$B$3,,$A102)</f>
        <v>#NAME?</v>
      </c>
    </row>
    <row r="103" spans="1:9" x14ac:dyDescent="0.25">
      <c r="A103" s="91">
        <v>7</v>
      </c>
      <c r="B103" s="92" t="e">
        <f ca="1">RTD("esrtd",,"*H",$A$3,_xll.ESFldID(B$5,$B$3),$B$3,,$A103)</f>
        <v>#NAME?</v>
      </c>
      <c r="C103" s="92" t="e">
        <f ca="1">RTD("esrtd",,"*H",$A$3,_xll.ESFldID(C$5,$B$3),$B$3,,$A103)</f>
        <v>#NAME?</v>
      </c>
      <c r="D103" s="92" t="e">
        <f ca="1">RTD("esrtd",,"*H",$A$3,_xll.ESFldID(D$5,$B$3),$B$3,,$A103)</f>
        <v>#NAME?</v>
      </c>
      <c r="E103" s="92" t="e">
        <f ca="1">RTD("esrtd",,"*H",$A$3,_xll.ESFldID(E$5,$B$3),$B$3,,$A103)</f>
        <v>#NAME?</v>
      </c>
      <c r="F103" s="92" t="e">
        <f ca="1">RTD("esrtd",,"*H",$A$3,_xll.ESFldID(F$5,$B$3),$B$3,,$A103)</f>
        <v>#NAME?</v>
      </c>
      <c r="G103" s="94" t="e">
        <f ca="1">RTD("esrtd",,"*H",$A$3,_xll.ESFldID(G$5,$B$3),$B$3,,$A103)</f>
        <v>#NAME?</v>
      </c>
      <c r="H103" s="95" t="e">
        <f ca="1">RTD("esrtd",,"*H",$A$3,_xll.ESFldID(H$5,$B$3),$B$3,,$A103)</f>
        <v>#NAME?</v>
      </c>
      <c r="I103" s="94" t="e">
        <f ca="1">RTD("esrtd",,"*H",$A$3,_xll.ESFldID(I$5,$B$3),$B$3,,$A103)</f>
        <v>#NAME?</v>
      </c>
    </row>
    <row r="104" spans="1:9" x14ac:dyDescent="0.25">
      <c r="A104" s="91">
        <v>6</v>
      </c>
      <c r="B104" s="92" t="e">
        <f ca="1">RTD("esrtd",,"*H",$A$3,_xll.ESFldID(B$5,$B$3),$B$3,,$A104)</f>
        <v>#NAME?</v>
      </c>
      <c r="C104" s="92" t="e">
        <f ca="1">RTD("esrtd",,"*H",$A$3,_xll.ESFldID(C$5,$B$3),$B$3,,$A104)</f>
        <v>#NAME?</v>
      </c>
      <c r="D104" s="92" t="e">
        <f ca="1">RTD("esrtd",,"*H",$A$3,_xll.ESFldID(D$5,$B$3),$B$3,,$A104)</f>
        <v>#NAME?</v>
      </c>
      <c r="E104" s="92" t="e">
        <f ca="1">RTD("esrtd",,"*H",$A$3,_xll.ESFldID(E$5,$B$3),$B$3,,$A104)</f>
        <v>#NAME?</v>
      </c>
      <c r="F104" s="92" t="e">
        <f ca="1">RTD("esrtd",,"*H",$A$3,_xll.ESFldID(F$5,$B$3),$B$3,,$A104)</f>
        <v>#NAME?</v>
      </c>
      <c r="G104" s="94" t="e">
        <f ca="1">RTD("esrtd",,"*H",$A$3,_xll.ESFldID(G$5,$B$3),$B$3,,$A104)</f>
        <v>#NAME?</v>
      </c>
      <c r="H104" s="95" t="e">
        <f ca="1">RTD("esrtd",,"*H",$A$3,_xll.ESFldID(H$5,$B$3),$B$3,,$A104)</f>
        <v>#NAME?</v>
      </c>
      <c r="I104" s="94" t="e">
        <f ca="1">RTD("esrtd",,"*H",$A$3,_xll.ESFldID(I$5,$B$3),$B$3,,$A104)</f>
        <v>#NAME?</v>
      </c>
    </row>
    <row r="105" spans="1:9" x14ac:dyDescent="0.25">
      <c r="A105" s="91">
        <v>5</v>
      </c>
      <c r="B105" s="92" t="e">
        <f ca="1">RTD("esrtd",,"*H",$A$3,_xll.ESFldID(B$5,$B$3),$B$3,,$A105)</f>
        <v>#NAME?</v>
      </c>
      <c r="C105" s="92" t="e">
        <f ca="1">RTD("esrtd",,"*H",$A$3,_xll.ESFldID(C$5,$B$3),$B$3,,$A105)</f>
        <v>#NAME?</v>
      </c>
      <c r="D105" s="92" t="e">
        <f ca="1">RTD("esrtd",,"*H",$A$3,_xll.ESFldID(D$5,$B$3),$B$3,,$A105)</f>
        <v>#NAME?</v>
      </c>
      <c r="E105" s="92" t="e">
        <f ca="1">RTD("esrtd",,"*H",$A$3,_xll.ESFldID(E$5,$B$3),$B$3,,$A105)</f>
        <v>#NAME?</v>
      </c>
      <c r="F105" s="92" t="e">
        <f ca="1">RTD("esrtd",,"*H",$A$3,_xll.ESFldID(F$5,$B$3),$B$3,,$A105)</f>
        <v>#NAME?</v>
      </c>
      <c r="G105" s="94" t="e">
        <f ca="1">RTD("esrtd",,"*H",$A$3,_xll.ESFldID(G$5,$B$3),$B$3,,$A105)</f>
        <v>#NAME?</v>
      </c>
      <c r="H105" s="95" t="e">
        <f ca="1">RTD("esrtd",,"*H",$A$3,_xll.ESFldID(H$5,$B$3),$B$3,,$A105)</f>
        <v>#NAME?</v>
      </c>
      <c r="I105" s="94" t="e">
        <f ca="1">RTD("esrtd",,"*H",$A$3,_xll.ESFldID(I$5,$B$3),$B$3,,$A105)</f>
        <v>#NAME?</v>
      </c>
    </row>
    <row r="106" spans="1:9" x14ac:dyDescent="0.25">
      <c r="A106" s="91">
        <v>4</v>
      </c>
      <c r="B106" s="92" t="e">
        <f ca="1">RTD("esrtd",,"*H",$A$3,_xll.ESFldID(B$5,$B$3),$B$3,,$A106)</f>
        <v>#NAME?</v>
      </c>
      <c r="C106" s="92" t="e">
        <f ca="1">RTD("esrtd",,"*H",$A$3,_xll.ESFldID(C$5,$B$3),$B$3,,$A106)</f>
        <v>#NAME?</v>
      </c>
      <c r="D106" s="92" t="e">
        <f ca="1">RTD("esrtd",,"*H",$A$3,_xll.ESFldID(D$5,$B$3),$B$3,,$A106)</f>
        <v>#NAME?</v>
      </c>
      <c r="E106" s="92" t="e">
        <f ca="1">RTD("esrtd",,"*H",$A$3,_xll.ESFldID(E$5,$B$3),$B$3,,$A106)</f>
        <v>#NAME?</v>
      </c>
      <c r="F106" s="92" t="e">
        <f ca="1">RTD("esrtd",,"*H",$A$3,_xll.ESFldID(F$5,$B$3),$B$3,,$A106)</f>
        <v>#NAME?</v>
      </c>
      <c r="G106" s="94" t="e">
        <f ca="1">RTD("esrtd",,"*H",$A$3,_xll.ESFldID(G$5,$B$3),$B$3,,$A106)</f>
        <v>#NAME?</v>
      </c>
      <c r="H106" s="95" t="e">
        <f ca="1">RTD("esrtd",,"*H",$A$3,_xll.ESFldID(H$5,$B$3),$B$3,,$A106)</f>
        <v>#NAME?</v>
      </c>
      <c r="I106" s="94" t="e">
        <f ca="1">RTD("esrtd",,"*H",$A$3,_xll.ESFldID(I$5,$B$3),$B$3,,$A106)</f>
        <v>#NAME?</v>
      </c>
    </row>
    <row r="107" spans="1:9" x14ac:dyDescent="0.25">
      <c r="A107" s="91">
        <v>3</v>
      </c>
      <c r="B107" s="92" t="e">
        <f ca="1">RTD("esrtd",,"*H",$A$3,_xll.ESFldID(B$5,$B$3),$B$3,,$A107)</f>
        <v>#NAME?</v>
      </c>
      <c r="C107" s="92" t="e">
        <f ca="1">RTD("esrtd",,"*H",$A$3,_xll.ESFldID(C$5,$B$3),$B$3,,$A107)</f>
        <v>#NAME?</v>
      </c>
      <c r="D107" s="92" t="e">
        <f ca="1">RTD("esrtd",,"*H",$A$3,_xll.ESFldID(D$5,$B$3),$B$3,,$A107)</f>
        <v>#NAME?</v>
      </c>
      <c r="E107" s="92" t="e">
        <f ca="1">RTD("esrtd",,"*H",$A$3,_xll.ESFldID(E$5,$B$3),$B$3,,$A107)</f>
        <v>#NAME?</v>
      </c>
      <c r="F107" s="92" t="e">
        <f ca="1">RTD("esrtd",,"*H",$A$3,_xll.ESFldID(F$5,$B$3),$B$3,,$A107)</f>
        <v>#NAME?</v>
      </c>
      <c r="G107" s="94" t="e">
        <f ca="1">RTD("esrtd",,"*H",$A$3,_xll.ESFldID(G$5,$B$3),$B$3,,$A107)</f>
        <v>#NAME?</v>
      </c>
      <c r="H107" s="95" t="e">
        <f ca="1">RTD("esrtd",,"*H",$A$3,_xll.ESFldID(H$5,$B$3),$B$3,,$A107)</f>
        <v>#NAME?</v>
      </c>
      <c r="I107" s="94" t="e">
        <f ca="1">RTD("esrtd",,"*H",$A$3,_xll.ESFldID(I$5,$B$3),$B$3,,$A107)</f>
        <v>#NAME?</v>
      </c>
    </row>
    <row r="108" spans="1:9" x14ac:dyDescent="0.25">
      <c r="A108" s="91">
        <v>2</v>
      </c>
      <c r="B108" s="92" t="e">
        <f ca="1">RTD("esrtd",,"*H",$A$3,_xll.ESFldID(B$5,$B$3),$B$3,,$A108)</f>
        <v>#NAME?</v>
      </c>
      <c r="C108" s="92" t="e">
        <f ca="1">RTD("esrtd",,"*H",$A$3,_xll.ESFldID(C$5,$B$3),$B$3,,$A108)</f>
        <v>#NAME?</v>
      </c>
      <c r="D108" s="92" t="e">
        <f ca="1">RTD("esrtd",,"*H",$A$3,_xll.ESFldID(D$5,$B$3),$B$3,,$A108)</f>
        <v>#NAME?</v>
      </c>
      <c r="E108" s="92" t="e">
        <f ca="1">RTD("esrtd",,"*H",$A$3,_xll.ESFldID(E$5,$B$3),$B$3,,$A108)</f>
        <v>#NAME?</v>
      </c>
      <c r="F108" s="92" t="e">
        <f ca="1">RTD("esrtd",,"*H",$A$3,_xll.ESFldID(F$5,$B$3),$B$3,,$A108)</f>
        <v>#NAME?</v>
      </c>
      <c r="G108" s="94" t="e">
        <f ca="1">RTD("esrtd",,"*H",$A$3,_xll.ESFldID(G$5,$B$3),$B$3,,$A108)</f>
        <v>#NAME?</v>
      </c>
      <c r="H108" s="95" t="e">
        <f ca="1">RTD("esrtd",,"*H",$A$3,_xll.ESFldID(H$5,$B$3),$B$3,,$A108)</f>
        <v>#NAME?</v>
      </c>
      <c r="I108" s="94" t="e">
        <f ca="1">RTD("esrtd",,"*H",$A$3,_xll.ESFldID(I$5,$B$3),$B$3,,$A108)</f>
        <v>#NAME?</v>
      </c>
    </row>
    <row r="109" spans="1:9" x14ac:dyDescent="0.25">
      <c r="A109" s="91">
        <v>1</v>
      </c>
      <c r="B109" s="92" t="e">
        <f ca="1">RTD("esrtd",,"*H",$A$3,_xll.ESFldID(B$5,$B$3),$B$3,,$A109)</f>
        <v>#NAME?</v>
      </c>
      <c r="C109" s="92" t="e">
        <f ca="1">RTD("esrtd",,"*H",$A$3,_xll.ESFldID(C$5,$B$3),$B$3,,$A109)</f>
        <v>#NAME?</v>
      </c>
      <c r="D109" s="92" t="e">
        <f ca="1">RTD("esrtd",,"*H",$A$3,_xll.ESFldID(D$5,$B$3),$B$3,,$A109)</f>
        <v>#NAME?</v>
      </c>
      <c r="E109" s="92" t="e">
        <f ca="1">RTD("esrtd",,"*H",$A$3,_xll.ESFldID(E$5,$B$3),$B$3,,$A109)</f>
        <v>#NAME?</v>
      </c>
      <c r="F109" s="92" t="e">
        <f ca="1">RTD("esrtd",,"*H",$A$3,_xll.ESFldID(F$5,$B$3),$B$3,,$A109)</f>
        <v>#NAME?</v>
      </c>
      <c r="G109" s="94" t="e">
        <f ca="1">RTD("esrtd",,"*H",$A$3,_xll.ESFldID(G$5,$B$3),$B$3,,$A109)</f>
        <v>#NAME?</v>
      </c>
      <c r="H109" s="95" t="e">
        <f ca="1">RTD("esrtd",,"*H",$A$3,_xll.ESFldID(H$5,$B$3),$B$3,,$A109)</f>
        <v>#NAME?</v>
      </c>
      <c r="I109" s="94" t="e">
        <f ca="1">RTD("esrtd",,"*H",$A$3,_xll.ESFldID(I$5,$B$3),$B$3,,$A109)</f>
        <v>#NAME?</v>
      </c>
    </row>
    <row r="110" spans="1:9" x14ac:dyDescent="0.25">
      <c r="A110" s="91">
        <v>0</v>
      </c>
      <c r="B110" s="92" t="e">
        <f ca="1">RTD("esrtd",,"*H",$A$3,_xll.ESFldID(B$5,$B$3),$B$3,,$A110)</f>
        <v>#NAME?</v>
      </c>
      <c r="C110" s="92" t="e">
        <f ca="1">RTD("esrtd",,"*H",$A$3,_xll.ESFldID(C$5,$B$3),$B$3,,$A110)</f>
        <v>#NAME?</v>
      </c>
      <c r="D110" s="92" t="e">
        <f ca="1">RTD("esrtd",,"*H",$A$3,_xll.ESFldID(D$5,$B$3),$B$3,,$A110)</f>
        <v>#NAME?</v>
      </c>
      <c r="E110" s="92" t="e">
        <f ca="1">RTD("esrtd",,"*H",$A$3,_xll.ESFldID(E$5,$B$3),$B$3,,$A110)</f>
        <v>#NAME?</v>
      </c>
      <c r="F110" s="92" t="e">
        <f ca="1">RTD("esrtd",,"*H",$A$3,_xll.ESFldID(F$5,$B$3),$B$3,,$A110)</f>
        <v>#NAME?</v>
      </c>
      <c r="G110" s="94" t="e">
        <f ca="1">RTD("esrtd",,"*H",$A$3,_xll.ESFldID(G$5,$B$3),$B$3,,$A110)</f>
        <v>#NAME?</v>
      </c>
      <c r="H110" s="95" t="e">
        <f ca="1">RTD("esrtd",,"*H",$A$3,_xll.ESFldID(H$5,$B$3),$B$3,,$A110)</f>
        <v>#NAME?</v>
      </c>
      <c r="I110" s="94" t="e">
        <f ca="1">RTD("esrtd",,"*H",$A$3,_xll.ESFldID(I$5,$B$3),$B$3,,$A110)</f>
        <v>#NAME?</v>
      </c>
    </row>
    <row r="111" spans="1:9" x14ac:dyDescent="0.25">
      <c r="A111" s="91"/>
      <c r="B111" s="92"/>
      <c r="C111" s="92"/>
      <c r="D111" s="92"/>
      <c r="E111" s="92"/>
      <c r="F111" s="92"/>
      <c r="G111" s="94"/>
      <c r="H111" s="95"/>
      <c r="I111" s="94"/>
    </row>
  </sheetData>
  <mergeCells count="1">
    <mergeCell ref="A1:C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04"/>
  <sheetViews>
    <sheetView workbookViewId="0">
      <selection activeCell="B9" sqref="B9"/>
    </sheetView>
  </sheetViews>
  <sheetFormatPr defaultRowHeight="15.75" x14ac:dyDescent="0.25"/>
  <cols>
    <col min="1" max="1" width="9" style="17"/>
    <col min="2" max="2" width="13" style="17" customWidth="1"/>
    <col min="3" max="3" width="13.375" style="17" customWidth="1"/>
    <col min="4" max="16384" width="9" style="17"/>
  </cols>
  <sheetData>
    <row r="1" spans="1:23" ht="45" customHeight="1" x14ac:dyDescent="0.25">
      <c r="A1" s="101" t="s">
        <v>106</v>
      </c>
      <c r="B1" s="101"/>
      <c r="C1" s="101"/>
      <c r="D1" s="2"/>
    </row>
    <row r="2" spans="1:23" s="24" customFormat="1" ht="38.25" customHeight="1" x14ac:dyDescent="0.25">
      <c r="B2" s="24" t="s">
        <v>28</v>
      </c>
      <c r="C2" s="28" t="s">
        <v>106</v>
      </c>
      <c r="I2" s="59"/>
      <c r="J2" s="29"/>
      <c r="M2" s="28"/>
      <c r="Q2" s="28"/>
      <c r="R2" s="29"/>
      <c r="S2" s="29"/>
      <c r="W2" s="61"/>
    </row>
    <row r="3" spans="1:23" x14ac:dyDescent="0.25">
      <c r="A3" s="75">
        <f>IF(ISBLANK(B3),"", MAX(A$1:A2)+1)</f>
        <v>1</v>
      </c>
      <c r="B3" s="12" t="s">
        <v>6</v>
      </c>
      <c r="C3" s="17">
        <v>5</v>
      </c>
    </row>
    <row r="4" spans="1:23" x14ac:dyDescent="0.25">
      <c r="A4" s="75">
        <f>IF(ISBLANK(B4),"", MAX(A$1:A3)+1)</f>
        <v>2</v>
      </c>
      <c r="B4" s="12" t="s">
        <v>8</v>
      </c>
      <c r="C4" s="17">
        <v>5</v>
      </c>
    </row>
    <row r="5" spans="1:23" x14ac:dyDescent="0.25">
      <c r="A5" s="75">
        <f>IF(ISBLANK(B5),"", MAX(A$1:A4)+1)</f>
        <v>3</v>
      </c>
      <c r="B5" s="12" t="s">
        <v>10</v>
      </c>
      <c r="C5" s="17">
        <v>5</v>
      </c>
    </row>
    <row r="6" spans="1:23" x14ac:dyDescent="0.25">
      <c r="A6" s="75">
        <f>IF(ISBLANK(B6),"", MAX(A$1:A5)+1)</f>
        <v>4</v>
      </c>
      <c r="B6" s="12" t="s">
        <v>5</v>
      </c>
      <c r="C6" s="17">
        <v>5</v>
      </c>
    </row>
    <row r="7" spans="1:23" x14ac:dyDescent="0.25">
      <c r="A7" s="75">
        <f>IF(ISBLANK(B7),"", MAX(A$1:A6)+1)</f>
        <v>5</v>
      </c>
      <c r="B7" s="12" t="s">
        <v>4</v>
      </c>
      <c r="C7" s="17">
        <v>5</v>
      </c>
    </row>
    <row r="8" spans="1:23" x14ac:dyDescent="0.25">
      <c r="A8" s="75">
        <f>IF(ISBLANK(B8),"", MAX(A$1:A7)+1)</f>
        <v>6</v>
      </c>
      <c r="B8" s="12" t="s">
        <v>7</v>
      </c>
      <c r="C8" s="17">
        <v>5</v>
      </c>
    </row>
    <row r="9" spans="1:23" x14ac:dyDescent="0.25">
      <c r="A9" s="75">
        <f>IF(ISBLANK(B9),"", MAX(A$1:A8)+1)</f>
        <v>7</v>
      </c>
      <c r="B9" s="12" t="s">
        <v>9</v>
      </c>
      <c r="C9" s="17">
        <v>5</v>
      </c>
    </row>
    <row r="10" spans="1:23" x14ac:dyDescent="0.25">
      <c r="A10" s="75">
        <f>IF(ISBLANK(B10),"", MAX(A$1:A9)+1)</f>
        <v>8</v>
      </c>
      <c r="B10" s="12" t="s">
        <v>0</v>
      </c>
      <c r="C10" s="17">
        <v>5</v>
      </c>
    </row>
    <row r="11" spans="1:23" x14ac:dyDescent="0.25">
      <c r="A11" s="75">
        <f>IF(ISBLANK(B11),"", MAX(A$1:A10)+1)</f>
        <v>9</v>
      </c>
      <c r="B11" s="17" t="s">
        <v>11</v>
      </c>
      <c r="C11" s="17">
        <v>5</v>
      </c>
    </row>
    <row r="12" spans="1:23" x14ac:dyDescent="0.25">
      <c r="A12" s="75">
        <f>IF(ISBLANK(B12),"", MAX(A$1:A11)+1)</f>
        <v>10</v>
      </c>
      <c r="B12" s="17" t="s">
        <v>12</v>
      </c>
      <c r="C12" s="17">
        <v>5</v>
      </c>
    </row>
    <row r="13" spans="1:23" x14ac:dyDescent="0.25">
      <c r="A13" s="75">
        <f>IF(ISBLANK(B13),"", MAX(A$1:A12)+1)</f>
        <v>11</v>
      </c>
      <c r="B13" s="17" t="s">
        <v>13</v>
      </c>
      <c r="C13" s="17">
        <v>5</v>
      </c>
    </row>
    <row r="14" spans="1:23" x14ac:dyDescent="0.25">
      <c r="A14" s="75">
        <f>IF(ISBLANK(B14),"", MAX(A$1:A13)+1)</f>
        <v>12</v>
      </c>
      <c r="B14" s="17" t="s">
        <v>14</v>
      </c>
      <c r="C14" s="17">
        <v>5</v>
      </c>
    </row>
    <row r="15" spans="1:23" x14ac:dyDescent="0.25">
      <c r="A15" s="75">
        <f>IF(ISBLANK(B15),"", MAX(A$1:A14)+1)</f>
        <v>13</v>
      </c>
      <c r="B15" s="17" t="s">
        <v>15</v>
      </c>
      <c r="C15" s="17">
        <v>5</v>
      </c>
    </row>
    <row r="16" spans="1:23" x14ac:dyDescent="0.25">
      <c r="A16" s="75">
        <f>IF(ISBLANK(B16),"", MAX(A$1:A15)+1)</f>
        <v>14</v>
      </c>
      <c r="B16" s="17" t="s">
        <v>16</v>
      </c>
      <c r="C16" s="17">
        <v>5</v>
      </c>
    </row>
    <row r="17" spans="1:3" x14ac:dyDescent="0.25">
      <c r="A17" s="75">
        <f>IF(ISBLANK(B17),"", MAX(A$1:A16)+1)</f>
        <v>15</v>
      </c>
      <c r="B17" s="17" t="s">
        <v>17</v>
      </c>
      <c r="C17" s="17">
        <v>5</v>
      </c>
    </row>
    <row r="18" spans="1:3" x14ac:dyDescent="0.25">
      <c r="A18" s="75">
        <f>IF(ISBLANK(B18),"", MAX(A$1:A17)+1)</f>
        <v>16</v>
      </c>
      <c r="B18" s="17" t="s">
        <v>18</v>
      </c>
      <c r="C18" s="17">
        <v>5</v>
      </c>
    </row>
    <row r="19" spans="1:3" x14ac:dyDescent="0.25">
      <c r="A19" s="75">
        <f>IF(ISBLANK(B19),"", MAX(A$1:A18)+1)</f>
        <v>17</v>
      </c>
      <c r="B19" s="17" t="s">
        <v>19</v>
      </c>
      <c r="C19" s="17">
        <v>5</v>
      </c>
    </row>
    <row r="20" spans="1:3" x14ac:dyDescent="0.25">
      <c r="A20" s="75">
        <f>IF(ISBLANK(B20),"", MAX(A$1:A19)+1)</f>
        <v>18</v>
      </c>
      <c r="B20" s="17" t="s">
        <v>20</v>
      </c>
      <c r="C20" s="17">
        <v>5</v>
      </c>
    </row>
    <row r="21" spans="1:3" x14ac:dyDescent="0.25">
      <c r="A21" s="75">
        <f>IF(ISBLANK(B21),"", MAX(A$1:A20)+1)</f>
        <v>19</v>
      </c>
      <c r="B21" s="17" t="s">
        <v>1</v>
      </c>
      <c r="C21" s="17">
        <v>5</v>
      </c>
    </row>
    <row r="22" spans="1:3" x14ac:dyDescent="0.25">
      <c r="A22" s="75">
        <f>IF(ISBLANK(B22),"", MAX(A$1:A21)+1)</f>
        <v>20</v>
      </c>
      <c r="B22" s="17" t="s">
        <v>21</v>
      </c>
      <c r="C22" s="17">
        <v>5</v>
      </c>
    </row>
    <row r="23" spans="1:3" x14ac:dyDescent="0.25">
      <c r="A23" s="75">
        <f>IF(ISBLANK(B23),"", MAX(A$1:A22)+1)</f>
        <v>21</v>
      </c>
      <c r="B23" s="17" t="s">
        <v>22</v>
      </c>
      <c r="C23" s="17">
        <v>5</v>
      </c>
    </row>
    <row r="24" spans="1:3" x14ac:dyDescent="0.25">
      <c r="A24" s="75">
        <f>IF(ISBLANK(B24),"", MAX(A$1:A23)+1)</f>
        <v>22</v>
      </c>
      <c r="B24" s="17" t="s">
        <v>23</v>
      </c>
      <c r="C24" s="17">
        <v>5</v>
      </c>
    </row>
    <row r="25" spans="1:3" x14ac:dyDescent="0.25">
      <c r="A25" s="75">
        <f>IF(ISBLANK(B25),"", MAX(A$1:A24)+1)</f>
        <v>23</v>
      </c>
      <c r="B25" s="17" t="s">
        <v>24</v>
      </c>
      <c r="C25" s="17">
        <v>5</v>
      </c>
    </row>
    <row r="26" spans="1:3" x14ac:dyDescent="0.25">
      <c r="A26" s="75">
        <f>IF(ISBLANK(B26),"", MAX(A$1:A25)+1)</f>
        <v>24</v>
      </c>
      <c r="B26" s="17" t="s">
        <v>25</v>
      </c>
      <c r="C26" s="17">
        <v>5</v>
      </c>
    </row>
    <row r="27" spans="1:3" x14ac:dyDescent="0.25">
      <c r="A27" s="75">
        <f>IF(ISBLANK(B27),"", MAX(A$1:A26)+1)</f>
        <v>25</v>
      </c>
      <c r="B27" s="17" t="s">
        <v>26</v>
      </c>
      <c r="C27" s="17">
        <v>5</v>
      </c>
    </row>
    <row r="28" spans="1:3" x14ac:dyDescent="0.25">
      <c r="A28" s="75">
        <f>IF(ISBLANK(B28),"", MAX(A$1:A27)+1)</f>
        <v>26</v>
      </c>
      <c r="B28" s="17" t="s">
        <v>27</v>
      </c>
      <c r="C28" s="17">
        <v>5</v>
      </c>
    </row>
    <row r="29" spans="1:3" x14ac:dyDescent="0.25">
      <c r="A29" s="75" t="str">
        <f>IF(ISBLANK(B29),"", MAX(A$1:A28)+1)</f>
        <v/>
      </c>
    </row>
    <row r="30" spans="1:3" x14ac:dyDescent="0.25">
      <c r="A30" s="75" t="str">
        <f>IF(ISBLANK(B30),"", MAX(A$1:A29)+1)</f>
        <v/>
      </c>
    </row>
    <row r="31" spans="1:3" x14ac:dyDescent="0.25">
      <c r="A31" s="75" t="str">
        <f>IF(ISBLANK(B31),"", MAX(A$1:A30)+1)</f>
        <v/>
      </c>
    </row>
    <row r="32" spans="1:3" x14ac:dyDescent="0.25">
      <c r="A32" s="75" t="str">
        <f>IF(ISBLANK(B32),"", MAX(A$1:A31)+1)</f>
        <v/>
      </c>
    </row>
    <row r="33" spans="1:1" x14ac:dyDescent="0.25">
      <c r="A33" s="75" t="str">
        <f>IF(ISBLANK(B33),"", MAX(A$1:A32)+1)</f>
        <v/>
      </c>
    </row>
    <row r="34" spans="1:1" x14ac:dyDescent="0.25">
      <c r="A34" s="75" t="str">
        <f>IF(ISBLANK(B34),"", MAX(A$1:A33)+1)</f>
        <v/>
      </c>
    </row>
    <row r="35" spans="1:1" x14ac:dyDescent="0.25">
      <c r="A35" s="75" t="str">
        <f>IF(ISBLANK(B35),"", MAX(A$1:A34)+1)</f>
        <v/>
      </c>
    </row>
    <row r="36" spans="1:1" x14ac:dyDescent="0.25">
      <c r="A36" s="75" t="str">
        <f>IF(ISBLANK(B36),"", MAX(A$1:A35)+1)</f>
        <v/>
      </c>
    </row>
    <row r="37" spans="1:1" x14ac:dyDescent="0.25">
      <c r="A37" s="75" t="str">
        <f>IF(ISBLANK(B37),"", MAX(A$1:A36)+1)</f>
        <v/>
      </c>
    </row>
    <row r="38" spans="1:1" x14ac:dyDescent="0.25">
      <c r="A38" s="75" t="str">
        <f>IF(ISBLANK(B38),"", MAX(A$1:A37)+1)</f>
        <v/>
      </c>
    </row>
    <row r="39" spans="1:1" x14ac:dyDescent="0.25">
      <c r="A39" s="75" t="str">
        <f>IF(ISBLANK(B39),"", MAX(A$1:A38)+1)</f>
        <v/>
      </c>
    </row>
    <row r="40" spans="1:1" x14ac:dyDescent="0.25">
      <c r="A40" s="75" t="str">
        <f>IF(ISBLANK(B40),"", MAX(A$1:A39)+1)</f>
        <v/>
      </c>
    </row>
    <row r="41" spans="1:1" x14ac:dyDescent="0.25">
      <c r="A41" s="75" t="str">
        <f>IF(ISBLANK(B41),"", MAX(A$1:A40)+1)</f>
        <v/>
      </c>
    </row>
    <row r="42" spans="1:1" x14ac:dyDescent="0.25">
      <c r="A42" s="75" t="str">
        <f>IF(ISBLANK(B42),"", MAX(A$1:A41)+1)</f>
        <v/>
      </c>
    </row>
    <row r="43" spans="1:1" x14ac:dyDescent="0.25">
      <c r="A43" s="75" t="str">
        <f>IF(ISBLANK(B43),"", MAX(A$1:A42)+1)</f>
        <v/>
      </c>
    </row>
    <row r="44" spans="1:1" x14ac:dyDescent="0.25">
      <c r="A44" s="75" t="str">
        <f>IF(ISBLANK(B44),"", MAX(A$1:A43)+1)</f>
        <v/>
      </c>
    </row>
    <row r="45" spans="1:1" x14ac:dyDescent="0.25">
      <c r="A45" s="75" t="str">
        <f>IF(ISBLANK(B45),"", MAX(A$1:A44)+1)</f>
        <v/>
      </c>
    </row>
    <row r="46" spans="1:1" x14ac:dyDescent="0.25">
      <c r="A46" s="75" t="str">
        <f>IF(ISBLANK(B46),"", MAX(A$1:A45)+1)</f>
        <v/>
      </c>
    </row>
    <row r="47" spans="1:1" x14ac:dyDescent="0.25">
      <c r="A47" s="75" t="str">
        <f>IF(ISBLANK(B47),"", MAX(A$1:A46)+1)</f>
        <v/>
      </c>
    </row>
    <row r="48" spans="1:1" x14ac:dyDescent="0.25">
      <c r="A48" s="75" t="str">
        <f>IF(ISBLANK(B48),"", MAX(A$1:A47)+1)</f>
        <v/>
      </c>
    </row>
    <row r="49" spans="1:1" x14ac:dyDescent="0.25">
      <c r="A49" s="75" t="str">
        <f>IF(ISBLANK(B49),"", MAX(A$1:A48)+1)</f>
        <v/>
      </c>
    </row>
    <row r="50" spans="1:1" x14ac:dyDescent="0.25">
      <c r="A50" s="75" t="str">
        <f>IF(ISBLANK(B50),"", MAX(A$1:A49)+1)</f>
        <v/>
      </c>
    </row>
    <row r="51" spans="1:1" x14ac:dyDescent="0.25">
      <c r="A51" s="75" t="str">
        <f>IF(ISBLANK(B51),"", MAX(A$1:A50)+1)</f>
        <v/>
      </c>
    </row>
    <row r="52" spans="1:1" x14ac:dyDescent="0.25">
      <c r="A52" s="75" t="str">
        <f>IF(ISBLANK(B52),"", MAX(A$1:A51)+1)</f>
        <v/>
      </c>
    </row>
    <row r="53" spans="1:1" x14ac:dyDescent="0.25">
      <c r="A53" s="75" t="str">
        <f>IF(ISBLANK(B53),"", MAX(A$1:A52)+1)</f>
        <v/>
      </c>
    </row>
    <row r="54" spans="1:1" x14ac:dyDescent="0.25">
      <c r="A54" s="75" t="str">
        <f>IF(ISBLANK(B54),"", MAX(A$1:A53)+1)</f>
        <v/>
      </c>
    </row>
    <row r="55" spans="1:1" x14ac:dyDescent="0.25">
      <c r="A55" s="75" t="str">
        <f>IF(ISBLANK(B55),"", MAX(A$1:A54)+1)</f>
        <v/>
      </c>
    </row>
    <row r="56" spans="1:1" x14ac:dyDescent="0.25">
      <c r="A56" s="75" t="str">
        <f>IF(ISBLANK(B56),"", MAX(A$1:A55)+1)</f>
        <v/>
      </c>
    </row>
    <row r="57" spans="1:1" x14ac:dyDescent="0.25">
      <c r="A57" s="75" t="str">
        <f>IF(ISBLANK(B57),"", MAX(A$1:A56)+1)</f>
        <v/>
      </c>
    </row>
    <row r="58" spans="1:1" x14ac:dyDescent="0.25">
      <c r="A58" s="75" t="str">
        <f>IF(ISBLANK(B58),"", MAX(A$1:A57)+1)</f>
        <v/>
      </c>
    </row>
    <row r="59" spans="1:1" x14ac:dyDescent="0.25">
      <c r="A59" s="75" t="str">
        <f>IF(ISBLANK(B59),"", MAX(A$1:A58)+1)</f>
        <v/>
      </c>
    </row>
    <row r="60" spans="1:1" x14ac:dyDescent="0.25">
      <c r="A60" s="75" t="str">
        <f>IF(ISBLANK(B60),"", MAX(A$1:A59)+1)</f>
        <v/>
      </c>
    </row>
    <row r="61" spans="1:1" x14ac:dyDescent="0.25">
      <c r="A61" s="75" t="str">
        <f>IF(ISBLANK(B61),"", MAX(A$1:A60)+1)</f>
        <v/>
      </c>
    </row>
    <row r="62" spans="1:1" x14ac:dyDescent="0.25">
      <c r="A62" s="75" t="str">
        <f>IF(ISBLANK(B62),"", MAX(A$1:A61)+1)</f>
        <v/>
      </c>
    </row>
    <row r="63" spans="1:1" x14ac:dyDescent="0.25">
      <c r="A63" s="75" t="str">
        <f>IF(ISBLANK(B63),"", MAX(A$1:A62)+1)</f>
        <v/>
      </c>
    </row>
    <row r="64" spans="1:1" x14ac:dyDescent="0.25">
      <c r="A64" s="75" t="str">
        <f>IF(ISBLANK(B64),"", MAX(A$1:A63)+1)</f>
        <v/>
      </c>
    </row>
    <row r="65" spans="1:1" x14ac:dyDescent="0.25">
      <c r="A65" s="75" t="str">
        <f>IF(ISBLANK(B65),"", MAX(A$1:A64)+1)</f>
        <v/>
      </c>
    </row>
    <row r="66" spans="1:1" x14ac:dyDescent="0.25">
      <c r="A66" s="75" t="str">
        <f>IF(ISBLANK(B66),"", MAX(A$1:A65)+1)</f>
        <v/>
      </c>
    </row>
    <row r="67" spans="1:1" x14ac:dyDescent="0.25">
      <c r="A67" s="75" t="str">
        <f>IF(ISBLANK(B67),"", MAX(A$1:A66)+1)</f>
        <v/>
      </c>
    </row>
    <row r="68" spans="1:1" x14ac:dyDescent="0.25">
      <c r="A68" s="75" t="str">
        <f>IF(ISBLANK(B68),"", MAX(A$1:A67)+1)</f>
        <v/>
      </c>
    </row>
    <row r="69" spans="1:1" x14ac:dyDescent="0.25">
      <c r="A69" s="75" t="str">
        <f>IF(ISBLANK(B69),"", MAX(A$1:A68)+1)</f>
        <v/>
      </c>
    </row>
    <row r="70" spans="1:1" x14ac:dyDescent="0.25">
      <c r="A70" s="75" t="str">
        <f>IF(ISBLANK(B70),"", MAX(A$1:A69)+1)</f>
        <v/>
      </c>
    </row>
    <row r="71" spans="1:1" x14ac:dyDescent="0.25">
      <c r="A71" s="75" t="str">
        <f>IF(ISBLANK(B71),"", MAX(A$1:A70)+1)</f>
        <v/>
      </c>
    </row>
    <row r="72" spans="1:1" x14ac:dyDescent="0.25">
      <c r="A72" s="75" t="str">
        <f>IF(ISBLANK(B72),"", MAX(A$1:A71)+1)</f>
        <v/>
      </c>
    </row>
    <row r="73" spans="1:1" x14ac:dyDescent="0.25">
      <c r="A73" s="75" t="str">
        <f>IF(ISBLANK(B73),"", MAX(A$1:A72)+1)</f>
        <v/>
      </c>
    </row>
    <row r="74" spans="1:1" x14ac:dyDescent="0.25">
      <c r="A74" s="75" t="str">
        <f>IF(ISBLANK(B74),"", MAX(A$1:A73)+1)</f>
        <v/>
      </c>
    </row>
    <row r="75" spans="1:1" x14ac:dyDescent="0.25">
      <c r="A75" s="75" t="str">
        <f>IF(ISBLANK(B75),"", MAX(A$1:A74)+1)</f>
        <v/>
      </c>
    </row>
    <row r="76" spans="1:1" x14ac:dyDescent="0.25">
      <c r="A76" s="75" t="str">
        <f>IF(ISBLANK(B76),"", MAX(A$1:A75)+1)</f>
        <v/>
      </c>
    </row>
    <row r="77" spans="1:1" x14ac:dyDescent="0.25">
      <c r="A77" s="75" t="str">
        <f>IF(ISBLANK(B77),"", MAX(A$1:A76)+1)</f>
        <v/>
      </c>
    </row>
    <row r="78" spans="1:1" x14ac:dyDescent="0.25">
      <c r="A78" s="75" t="str">
        <f>IF(ISBLANK(B78),"", MAX(A$1:A77)+1)</f>
        <v/>
      </c>
    </row>
    <row r="79" spans="1:1" x14ac:dyDescent="0.25">
      <c r="A79" s="75" t="str">
        <f>IF(ISBLANK(B79),"", MAX(A$1:A78)+1)</f>
        <v/>
      </c>
    </row>
    <row r="80" spans="1:1" x14ac:dyDescent="0.25">
      <c r="A80" s="75" t="str">
        <f>IF(ISBLANK(B80),"", MAX(A$1:A79)+1)</f>
        <v/>
      </c>
    </row>
    <row r="81" spans="1:1" x14ac:dyDescent="0.25">
      <c r="A81" s="75" t="str">
        <f>IF(ISBLANK(B81),"", MAX(A$1:A80)+1)</f>
        <v/>
      </c>
    </row>
    <row r="82" spans="1:1" x14ac:dyDescent="0.25">
      <c r="A82" s="75" t="str">
        <f>IF(ISBLANK(B82),"", MAX(A$1:A81)+1)</f>
        <v/>
      </c>
    </row>
    <row r="83" spans="1:1" x14ac:dyDescent="0.25">
      <c r="A83" s="75" t="str">
        <f>IF(ISBLANK(B83),"", MAX(A$1:A82)+1)</f>
        <v/>
      </c>
    </row>
    <row r="84" spans="1:1" x14ac:dyDescent="0.25">
      <c r="A84" s="75" t="str">
        <f>IF(ISBLANK(B84),"", MAX(A$1:A83)+1)</f>
        <v/>
      </c>
    </row>
    <row r="85" spans="1:1" x14ac:dyDescent="0.25">
      <c r="A85" s="75" t="str">
        <f>IF(ISBLANK(B85),"", MAX(A$1:A84)+1)</f>
        <v/>
      </c>
    </row>
    <row r="86" spans="1:1" x14ac:dyDescent="0.25">
      <c r="A86" s="75" t="str">
        <f>IF(ISBLANK(B86),"", MAX(A$1:A85)+1)</f>
        <v/>
      </c>
    </row>
    <row r="87" spans="1:1" x14ac:dyDescent="0.25">
      <c r="A87" s="75" t="str">
        <f>IF(ISBLANK(B87),"", MAX(A$1:A86)+1)</f>
        <v/>
      </c>
    </row>
    <row r="88" spans="1:1" x14ac:dyDescent="0.25">
      <c r="A88" s="75" t="str">
        <f>IF(ISBLANK(B88),"", MAX(A$1:A87)+1)</f>
        <v/>
      </c>
    </row>
    <row r="89" spans="1:1" x14ac:dyDescent="0.25">
      <c r="A89" s="75" t="str">
        <f>IF(ISBLANK(B89),"", MAX(A$1:A88)+1)</f>
        <v/>
      </c>
    </row>
    <row r="90" spans="1:1" x14ac:dyDescent="0.25">
      <c r="A90" s="75" t="str">
        <f>IF(ISBLANK(B90),"", MAX(A$1:A89)+1)</f>
        <v/>
      </c>
    </row>
    <row r="91" spans="1:1" x14ac:dyDescent="0.25">
      <c r="A91" s="75" t="str">
        <f>IF(ISBLANK(B91),"", MAX(A$1:A90)+1)</f>
        <v/>
      </c>
    </row>
    <row r="92" spans="1:1" x14ac:dyDescent="0.25">
      <c r="A92" s="75" t="str">
        <f>IF(ISBLANK(B92),"", MAX(A$1:A91)+1)</f>
        <v/>
      </c>
    </row>
    <row r="93" spans="1:1" x14ac:dyDescent="0.25">
      <c r="A93" s="75" t="str">
        <f>IF(ISBLANK(B93),"", MAX(A$1:A92)+1)</f>
        <v/>
      </c>
    </row>
    <row r="94" spans="1:1" x14ac:dyDescent="0.25">
      <c r="A94" s="75" t="str">
        <f>IF(ISBLANK(B94),"", MAX(A$1:A93)+1)</f>
        <v/>
      </c>
    </row>
    <row r="95" spans="1:1" x14ac:dyDescent="0.25">
      <c r="A95" s="75" t="str">
        <f>IF(ISBLANK(B95),"", MAX(A$1:A94)+1)</f>
        <v/>
      </c>
    </row>
    <row r="96" spans="1:1" x14ac:dyDescent="0.25">
      <c r="A96" s="75" t="str">
        <f>IF(ISBLANK(B96),"", MAX(A$1:A95)+1)</f>
        <v/>
      </c>
    </row>
    <row r="97" spans="1:1" x14ac:dyDescent="0.25">
      <c r="A97" s="75" t="str">
        <f>IF(ISBLANK(B97),"", MAX(A$1:A96)+1)</f>
        <v/>
      </c>
    </row>
    <row r="98" spans="1:1" x14ac:dyDescent="0.25">
      <c r="A98" s="75" t="str">
        <f>IF(ISBLANK(B98),"", MAX(A$1:A97)+1)</f>
        <v/>
      </c>
    </row>
    <row r="99" spans="1:1" x14ac:dyDescent="0.25">
      <c r="A99" s="75" t="str">
        <f>IF(ISBLANK(B99),"", MAX(A$1:A98)+1)</f>
        <v/>
      </c>
    </row>
    <row r="100" spans="1:1" x14ac:dyDescent="0.25">
      <c r="A100" s="75" t="str">
        <f>IF(ISBLANK(B100),"", MAX(A$1:A99)+1)</f>
        <v/>
      </c>
    </row>
    <row r="101" spans="1:1" x14ac:dyDescent="0.25">
      <c r="A101" s="75" t="str">
        <f>IF(ISBLANK(B101),"", MAX(A$1:A100)+1)</f>
        <v/>
      </c>
    </row>
    <row r="102" spans="1:1" x14ac:dyDescent="0.25">
      <c r="A102" s="75" t="str">
        <f>IF(ISBLANK(B102),"", MAX(A$1:A101)+1)</f>
        <v/>
      </c>
    </row>
    <row r="103" spans="1:1" x14ac:dyDescent="0.25">
      <c r="A103" s="75" t="str">
        <f>IF(ISBLANK(B103),"", MAX(A$1:A102)+1)</f>
        <v/>
      </c>
    </row>
    <row r="104" spans="1:1" x14ac:dyDescent="0.25">
      <c r="A104" s="75" t="str">
        <f>IF(ISBLANK(B104),"", MAX(A$1:A103)+1)</f>
        <v/>
      </c>
    </row>
    <row r="105" spans="1:1" x14ac:dyDescent="0.25">
      <c r="A105" s="75" t="str">
        <f>IF(ISBLANK(B105),"", MAX(A$1:A104)+1)</f>
        <v/>
      </c>
    </row>
    <row r="106" spans="1:1" x14ac:dyDescent="0.25">
      <c r="A106" s="75" t="str">
        <f>IF(ISBLANK(B106),"", MAX(A$1:A105)+1)</f>
        <v/>
      </c>
    </row>
    <row r="107" spans="1:1" x14ac:dyDescent="0.25">
      <c r="A107" s="75" t="str">
        <f>IF(ISBLANK(B107),"", MAX(A$1:A106)+1)</f>
        <v/>
      </c>
    </row>
    <row r="108" spans="1:1" x14ac:dyDescent="0.25">
      <c r="A108" s="75" t="str">
        <f>IF(ISBLANK(B108),"", MAX(A$1:A107)+1)</f>
        <v/>
      </c>
    </row>
    <row r="109" spans="1:1" x14ac:dyDescent="0.25">
      <c r="A109" s="75" t="str">
        <f>IF(ISBLANK(B109),"", MAX(A$1:A108)+1)</f>
        <v/>
      </c>
    </row>
    <row r="110" spans="1:1" x14ac:dyDescent="0.25">
      <c r="A110" s="75" t="str">
        <f>IF(ISBLANK(B110),"", MAX(A$1:A109)+1)</f>
        <v/>
      </c>
    </row>
    <row r="111" spans="1:1" x14ac:dyDescent="0.25">
      <c r="A111" s="75" t="str">
        <f>IF(ISBLANK(B111),"", MAX(A$1:A110)+1)</f>
        <v/>
      </c>
    </row>
    <row r="112" spans="1:1" x14ac:dyDescent="0.25">
      <c r="A112" s="75" t="str">
        <f>IF(ISBLANK(B112),"", MAX(A$1:A111)+1)</f>
        <v/>
      </c>
    </row>
    <row r="113" spans="1:1" x14ac:dyDescent="0.25">
      <c r="A113" s="75" t="str">
        <f>IF(ISBLANK(B113),"", MAX(A$1:A112)+1)</f>
        <v/>
      </c>
    </row>
    <row r="114" spans="1:1" x14ac:dyDescent="0.25">
      <c r="A114" s="75" t="str">
        <f>IF(ISBLANK(B114),"", MAX(A$1:A113)+1)</f>
        <v/>
      </c>
    </row>
    <row r="115" spans="1:1" x14ac:dyDescent="0.25">
      <c r="A115" s="75" t="str">
        <f>IF(ISBLANK(B115),"", MAX(A$1:A114)+1)</f>
        <v/>
      </c>
    </row>
    <row r="116" spans="1:1" x14ac:dyDescent="0.25">
      <c r="A116" s="75" t="str">
        <f>IF(ISBLANK(B116),"", MAX(A$1:A115)+1)</f>
        <v/>
      </c>
    </row>
    <row r="117" spans="1:1" x14ac:dyDescent="0.25">
      <c r="A117" s="75" t="str">
        <f>IF(ISBLANK(B117),"", MAX(A$1:A116)+1)</f>
        <v/>
      </c>
    </row>
    <row r="118" spans="1:1" x14ac:dyDescent="0.25">
      <c r="A118" s="75" t="str">
        <f>IF(ISBLANK(B118),"", MAX(A$1:A117)+1)</f>
        <v/>
      </c>
    </row>
    <row r="119" spans="1:1" x14ac:dyDescent="0.25">
      <c r="A119" s="75" t="str">
        <f>IF(ISBLANK(B119),"", MAX(A$1:A118)+1)</f>
        <v/>
      </c>
    </row>
    <row r="120" spans="1:1" x14ac:dyDescent="0.25">
      <c r="A120" s="75" t="str">
        <f>IF(ISBLANK(B120),"", MAX(A$1:A119)+1)</f>
        <v/>
      </c>
    </row>
    <row r="121" spans="1:1" x14ac:dyDescent="0.25">
      <c r="A121" s="75" t="str">
        <f>IF(ISBLANK(B121),"", MAX(A$1:A120)+1)</f>
        <v/>
      </c>
    </row>
    <row r="122" spans="1:1" x14ac:dyDescent="0.25">
      <c r="A122" s="75" t="str">
        <f>IF(ISBLANK(B122),"", MAX(A$1:A121)+1)</f>
        <v/>
      </c>
    </row>
    <row r="123" spans="1:1" x14ac:dyDescent="0.25">
      <c r="A123" s="75" t="str">
        <f>IF(ISBLANK(B123),"", MAX(A$1:A122)+1)</f>
        <v/>
      </c>
    </row>
    <row r="124" spans="1:1" x14ac:dyDescent="0.25">
      <c r="A124" s="75" t="str">
        <f>IF(ISBLANK(B124),"", MAX(A$1:A123)+1)</f>
        <v/>
      </c>
    </row>
    <row r="125" spans="1:1" x14ac:dyDescent="0.25">
      <c r="A125" s="75" t="str">
        <f>IF(ISBLANK(B125),"", MAX(A$1:A124)+1)</f>
        <v/>
      </c>
    </row>
    <row r="126" spans="1:1" x14ac:dyDescent="0.25">
      <c r="A126" s="75" t="str">
        <f>IF(ISBLANK(B126),"", MAX(A$1:A125)+1)</f>
        <v/>
      </c>
    </row>
    <row r="127" spans="1:1" x14ac:dyDescent="0.25">
      <c r="A127" s="75" t="str">
        <f>IF(ISBLANK(B127),"", MAX(A$1:A126)+1)</f>
        <v/>
      </c>
    </row>
    <row r="128" spans="1:1" x14ac:dyDescent="0.25">
      <c r="A128" s="75" t="str">
        <f>IF(ISBLANK(B128),"", MAX(A$1:A127)+1)</f>
        <v/>
      </c>
    </row>
    <row r="129" spans="1:1" x14ac:dyDescent="0.25">
      <c r="A129" s="75" t="str">
        <f>IF(ISBLANK(B129),"", MAX(A$1:A128)+1)</f>
        <v/>
      </c>
    </row>
    <row r="130" spans="1:1" x14ac:dyDescent="0.25">
      <c r="A130" s="75" t="str">
        <f>IF(ISBLANK(B130),"", MAX(A$1:A129)+1)</f>
        <v/>
      </c>
    </row>
    <row r="131" spans="1:1" x14ac:dyDescent="0.25">
      <c r="A131" s="75" t="str">
        <f>IF(ISBLANK(B131),"", MAX(A$1:A130)+1)</f>
        <v/>
      </c>
    </row>
    <row r="132" spans="1:1" x14ac:dyDescent="0.25">
      <c r="A132" s="75" t="str">
        <f>IF(ISBLANK(B132),"", MAX(A$1:A131)+1)</f>
        <v/>
      </c>
    </row>
    <row r="133" spans="1:1" x14ac:dyDescent="0.25">
      <c r="A133" s="75" t="str">
        <f>IF(ISBLANK(B133),"", MAX(A$1:A132)+1)</f>
        <v/>
      </c>
    </row>
    <row r="134" spans="1:1" x14ac:dyDescent="0.25">
      <c r="A134" s="75" t="str">
        <f>IF(ISBLANK(B134),"", MAX(A$1:A133)+1)</f>
        <v/>
      </c>
    </row>
    <row r="135" spans="1:1" x14ac:dyDescent="0.25">
      <c r="A135" s="75" t="str">
        <f>IF(ISBLANK(B135),"", MAX(A$1:A134)+1)</f>
        <v/>
      </c>
    </row>
    <row r="136" spans="1:1" x14ac:dyDescent="0.25">
      <c r="A136" s="75" t="str">
        <f>IF(ISBLANK(B136),"", MAX(A$1:A135)+1)</f>
        <v/>
      </c>
    </row>
    <row r="137" spans="1:1" x14ac:dyDescent="0.25">
      <c r="A137" s="75" t="str">
        <f>IF(ISBLANK(B137),"", MAX(A$1:A136)+1)</f>
        <v/>
      </c>
    </row>
    <row r="138" spans="1:1" x14ac:dyDescent="0.25">
      <c r="A138" s="75" t="str">
        <f>IF(ISBLANK(B138),"", MAX(A$1:A137)+1)</f>
        <v/>
      </c>
    </row>
    <row r="139" spans="1:1" x14ac:dyDescent="0.25">
      <c r="A139" s="75" t="str">
        <f>IF(ISBLANK(B139),"", MAX(A$1:A138)+1)</f>
        <v/>
      </c>
    </row>
    <row r="140" spans="1:1" x14ac:dyDescent="0.25">
      <c r="A140" s="75" t="str">
        <f>IF(ISBLANK(B140),"", MAX(A$1:A139)+1)</f>
        <v/>
      </c>
    </row>
    <row r="141" spans="1:1" x14ac:dyDescent="0.25">
      <c r="A141" s="75" t="str">
        <f>IF(ISBLANK(B141),"", MAX(A$1:A140)+1)</f>
        <v/>
      </c>
    </row>
    <row r="142" spans="1:1" x14ac:dyDescent="0.25">
      <c r="A142" s="75" t="str">
        <f>IF(ISBLANK(B142),"", MAX(A$1:A141)+1)</f>
        <v/>
      </c>
    </row>
    <row r="143" spans="1:1" x14ac:dyDescent="0.25">
      <c r="A143" s="75" t="str">
        <f>IF(ISBLANK(B143),"", MAX(A$1:A142)+1)</f>
        <v/>
      </c>
    </row>
    <row r="144" spans="1:1" x14ac:dyDescent="0.25">
      <c r="A144" s="75" t="str">
        <f>IF(ISBLANK(B144),"", MAX(A$1:A143)+1)</f>
        <v/>
      </c>
    </row>
    <row r="145" spans="1:1" x14ac:dyDescent="0.25">
      <c r="A145" s="75" t="str">
        <f>IF(ISBLANK(B145),"", MAX(A$1:A144)+1)</f>
        <v/>
      </c>
    </row>
    <row r="146" spans="1:1" x14ac:dyDescent="0.25">
      <c r="A146" s="75" t="str">
        <f>IF(ISBLANK(B146),"", MAX(A$1:A145)+1)</f>
        <v/>
      </c>
    </row>
    <row r="147" spans="1:1" x14ac:dyDescent="0.25">
      <c r="A147" s="75" t="str">
        <f>IF(ISBLANK(B147),"", MAX(A$1:A146)+1)</f>
        <v/>
      </c>
    </row>
    <row r="148" spans="1:1" x14ac:dyDescent="0.25">
      <c r="A148" s="75" t="str">
        <f>IF(ISBLANK(B148),"", MAX(A$1:A147)+1)</f>
        <v/>
      </c>
    </row>
    <row r="149" spans="1:1" x14ac:dyDescent="0.25">
      <c r="A149" s="75" t="str">
        <f>IF(ISBLANK(B149),"", MAX(A$1:A148)+1)</f>
        <v/>
      </c>
    </row>
    <row r="150" spans="1:1" x14ac:dyDescent="0.25">
      <c r="A150" s="75" t="str">
        <f>IF(ISBLANK(B150),"", MAX(A$1:A149)+1)</f>
        <v/>
      </c>
    </row>
    <row r="151" spans="1:1" x14ac:dyDescent="0.25">
      <c r="A151" s="75" t="str">
        <f>IF(ISBLANK(B151),"", MAX(A$1:A150)+1)</f>
        <v/>
      </c>
    </row>
    <row r="152" spans="1:1" x14ac:dyDescent="0.25">
      <c r="A152" s="75" t="str">
        <f>IF(ISBLANK(B152),"", MAX(A$1:A151)+1)</f>
        <v/>
      </c>
    </row>
    <row r="153" spans="1:1" x14ac:dyDescent="0.25">
      <c r="A153" s="75" t="str">
        <f>IF(ISBLANK(B153),"", MAX(A$1:A152)+1)</f>
        <v/>
      </c>
    </row>
    <row r="154" spans="1:1" x14ac:dyDescent="0.25">
      <c r="A154" s="75" t="str">
        <f>IF(ISBLANK(B154),"", MAX(A$1:A153)+1)</f>
        <v/>
      </c>
    </row>
    <row r="155" spans="1:1" x14ac:dyDescent="0.25">
      <c r="A155" s="75" t="str">
        <f>IF(ISBLANK(B155),"", MAX(A$1:A154)+1)</f>
        <v/>
      </c>
    </row>
    <row r="156" spans="1:1" x14ac:dyDescent="0.25">
      <c r="A156" s="75" t="str">
        <f>IF(ISBLANK(B156),"", MAX(A$1:A155)+1)</f>
        <v/>
      </c>
    </row>
    <row r="157" spans="1:1" x14ac:dyDescent="0.25">
      <c r="A157" s="75" t="str">
        <f>IF(ISBLANK(B157),"", MAX(A$1:A156)+1)</f>
        <v/>
      </c>
    </row>
    <row r="158" spans="1:1" x14ac:dyDescent="0.25">
      <c r="A158" s="75" t="str">
        <f>IF(ISBLANK(B158),"", MAX(A$1:A157)+1)</f>
        <v/>
      </c>
    </row>
    <row r="159" spans="1:1" x14ac:dyDescent="0.25">
      <c r="A159" s="75" t="str">
        <f>IF(ISBLANK(B159),"", MAX(A$1:A158)+1)</f>
        <v/>
      </c>
    </row>
    <row r="160" spans="1:1" x14ac:dyDescent="0.25">
      <c r="A160" s="75" t="str">
        <f>IF(ISBLANK(B160),"", MAX(A$1:A159)+1)</f>
        <v/>
      </c>
    </row>
    <row r="161" spans="1:1" x14ac:dyDescent="0.25">
      <c r="A161" s="75" t="str">
        <f>IF(ISBLANK(B161),"", MAX(A$1:A160)+1)</f>
        <v/>
      </c>
    </row>
    <row r="162" spans="1:1" x14ac:dyDescent="0.25">
      <c r="A162" s="75" t="str">
        <f>IF(ISBLANK(B162),"", MAX(A$1:A161)+1)</f>
        <v/>
      </c>
    </row>
    <row r="163" spans="1:1" x14ac:dyDescent="0.25">
      <c r="A163" s="75" t="str">
        <f>IF(ISBLANK(B163),"", MAX(A$1:A162)+1)</f>
        <v/>
      </c>
    </row>
    <row r="164" spans="1:1" x14ac:dyDescent="0.25">
      <c r="A164" s="75" t="str">
        <f>IF(ISBLANK(B164),"", MAX(A$1:A163)+1)</f>
        <v/>
      </c>
    </row>
    <row r="165" spans="1:1" x14ac:dyDescent="0.25">
      <c r="A165" s="75" t="str">
        <f>IF(ISBLANK(B165),"", MAX(A$1:A164)+1)</f>
        <v/>
      </c>
    </row>
    <row r="166" spans="1:1" x14ac:dyDescent="0.25">
      <c r="A166" s="75" t="str">
        <f>IF(ISBLANK(B166),"", MAX(A$1:A165)+1)</f>
        <v/>
      </c>
    </row>
    <row r="167" spans="1:1" x14ac:dyDescent="0.25">
      <c r="A167" s="75" t="str">
        <f>IF(ISBLANK(B167),"", MAX(A$1:A166)+1)</f>
        <v/>
      </c>
    </row>
    <row r="168" spans="1:1" x14ac:dyDescent="0.25">
      <c r="A168" s="75" t="str">
        <f>IF(ISBLANK(B168),"", MAX(A$1:A167)+1)</f>
        <v/>
      </c>
    </row>
    <row r="169" spans="1:1" x14ac:dyDescent="0.25">
      <c r="A169" s="75" t="str">
        <f>IF(ISBLANK(B169),"", MAX(A$1:A168)+1)</f>
        <v/>
      </c>
    </row>
    <row r="170" spans="1:1" x14ac:dyDescent="0.25">
      <c r="A170" s="75" t="str">
        <f>IF(ISBLANK(B170),"", MAX(A$1:A169)+1)</f>
        <v/>
      </c>
    </row>
    <row r="171" spans="1:1" x14ac:dyDescent="0.25">
      <c r="A171" s="75" t="str">
        <f>IF(ISBLANK(B171),"", MAX(A$1:A170)+1)</f>
        <v/>
      </c>
    </row>
    <row r="172" spans="1:1" x14ac:dyDescent="0.25">
      <c r="A172" s="75" t="str">
        <f>IF(ISBLANK(B172),"", MAX(A$1:A171)+1)</f>
        <v/>
      </c>
    </row>
    <row r="173" spans="1:1" x14ac:dyDescent="0.25">
      <c r="A173" s="75" t="str">
        <f>IF(ISBLANK(B173),"", MAX(A$1:A172)+1)</f>
        <v/>
      </c>
    </row>
    <row r="174" spans="1:1" x14ac:dyDescent="0.25">
      <c r="A174" s="75" t="str">
        <f>IF(ISBLANK(B174),"", MAX(A$1:A173)+1)</f>
        <v/>
      </c>
    </row>
    <row r="175" spans="1:1" x14ac:dyDescent="0.25">
      <c r="A175" s="75" t="str">
        <f>IF(ISBLANK(B175),"", MAX(A$1:A174)+1)</f>
        <v/>
      </c>
    </row>
    <row r="176" spans="1:1" x14ac:dyDescent="0.25">
      <c r="A176" s="75" t="str">
        <f>IF(ISBLANK(B176),"", MAX(A$1:A175)+1)</f>
        <v/>
      </c>
    </row>
    <row r="177" spans="1:1" x14ac:dyDescent="0.25">
      <c r="A177" s="75" t="str">
        <f>IF(ISBLANK(B177),"", MAX(A$1:A176)+1)</f>
        <v/>
      </c>
    </row>
    <row r="178" spans="1:1" x14ac:dyDescent="0.25">
      <c r="A178" s="75" t="str">
        <f>IF(ISBLANK(B178),"", MAX(A$1:A177)+1)</f>
        <v/>
      </c>
    </row>
    <row r="179" spans="1:1" x14ac:dyDescent="0.25">
      <c r="A179" s="75" t="str">
        <f>IF(ISBLANK(B179),"", MAX(A$1:A178)+1)</f>
        <v/>
      </c>
    </row>
    <row r="180" spans="1:1" x14ac:dyDescent="0.25">
      <c r="A180" s="75" t="str">
        <f>IF(ISBLANK(B180),"", MAX(A$1:A179)+1)</f>
        <v/>
      </c>
    </row>
    <row r="181" spans="1:1" x14ac:dyDescent="0.25">
      <c r="A181" s="75" t="str">
        <f>IF(ISBLANK(B181),"", MAX(A$1:A180)+1)</f>
        <v/>
      </c>
    </row>
    <row r="182" spans="1:1" x14ac:dyDescent="0.25">
      <c r="A182" s="75" t="str">
        <f>IF(ISBLANK(B182),"", MAX(A$1:A181)+1)</f>
        <v/>
      </c>
    </row>
    <row r="183" spans="1:1" x14ac:dyDescent="0.25">
      <c r="A183" s="75" t="str">
        <f>IF(ISBLANK(B183),"", MAX(A$1:A182)+1)</f>
        <v/>
      </c>
    </row>
    <row r="184" spans="1:1" x14ac:dyDescent="0.25">
      <c r="A184" s="75" t="str">
        <f>IF(ISBLANK(B184),"", MAX(A$1:A183)+1)</f>
        <v/>
      </c>
    </row>
    <row r="185" spans="1:1" x14ac:dyDescent="0.25">
      <c r="A185" s="75" t="str">
        <f>IF(ISBLANK(B185),"", MAX(A$1:A184)+1)</f>
        <v/>
      </c>
    </row>
    <row r="186" spans="1:1" x14ac:dyDescent="0.25">
      <c r="A186" s="75" t="str">
        <f>IF(ISBLANK(B186),"", MAX(A$1:A185)+1)</f>
        <v/>
      </c>
    </row>
    <row r="187" spans="1:1" x14ac:dyDescent="0.25">
      <c r="A187" s="75" t="str">
        <f>IF(ISBLANK(B187),"", MAX(A$1:A186)+1)</f>
        <v/>
      </c>
    </row>
    <row r="188" spans="1:1" x14ac:dyDescent="0.25">
      <c r="A188" s="75" t="str">
        <f>IF(ISBLANK(B188),"", MAX(A$1:A187)+1)</f>
        <v/>
      </c>
    </row>
    <row r="189" spans="1:1" x14ac:dyDescent="0.25">
      <c r="A189" s="75" t="str">
        <f>IF(ISBLANK(B189),"", MAX(A$1:A188)+1)</f>
        <v/>
      </c>
    </row>
    <row r="190" spans="1:1" x14ac:dyDescent="0.25">
      <c r="A190" s="75" t="str">
        <f>IF(ISBLANK(B190),"", MAX(A$1:A189)+1)</f>
        <v/>
      </c>
    </row>
    <row r="191" spans="1:1" x14ac:dyDescent="0.25">
      <c r="A191" s="75" t="str">
        <f>IF(ISBLANK(B191),"", MAX(A$1:A190)+1)</f>
        <v/>
      </c>
    </row>
    <row r="192" spans="1:1" x14ac:dyDescent="0.25">
      <c r="A192" s="75" t="str">
        <f>IF(ISBLANK(B192),"", MAX(A$1:A191)+1)</f>
        <v/>
      </c>
    </row>
    <row r="193" spans="1:1" x14ac:dyDescent="0.25">
      <c r="A193" s="75" t="str">
        <f>IF(ISBLANK(B193),"", MAX(A$1:A192)+1)</f>
        <v/>
      </c>
    </row>
    <row r="194" spans="1:1" x14ac:dyDescent="0.25">
      <c r="A194" s="75" t="str">
        <f>IF(ISBLANK(B194),"", MAX(A$1:A193)+1)</f>
        <v/>
      </c>
    </row>
    <row r="195" spans="1:1" x14ac:dyDescent="0.25">
      <c r="A195" s="75" t="str">
        <f>IF(ISBLANK(B195),"", MAX(A$1:A194)+1)</f>
        <v/>
      </c>
    </row>
    <row r="196" spans="1:1" x14ac:dyDescent="0.25">
      <c r="A196" s="75" t="str">
        <f>IF(ISBLANK(B196),"", MAX(A$1:A195)+1)</f>
        <v/>
      </c>
    </row>
    <row r="197" spans="1:1" x14ac:dyDescent="0.25">
      <c r="A197" s="75" t="str">
        <f>IF(ISBLANK(B197),"", MAX(A$1:A196)+1)</f>
        <v/>
      </c>
    </row>
    <row r="198" spans="1:1" x14ac:dyDescent="0.25">
      <c r="A198" s="75" t="str">
        <f>IF(ISBLANK(B198),"", MAX(A$1:A197)+1)</f>
        <v/>
      </c>
    </row>
    <row r="199" spans="1:1" x14ac:dyDescent="0.25">
      <c r="A199" s="75" t="str">
        <f>IF(ISBLANK(B199),"", MAX(A$1:A198)+1)</f>
        <v/>
      </c>
    </row>
    <row r="200" spans="1:1" x14ac:dyDescent="0.25">
      <c r="A200" s="75" t="str">
        <f>IF(ISBLANK(B200),"", MAX(A$1:A199)+1)</f>
        <v/>
      </c>
    </row>
    <row r="201" spans="1:1" x14ac:dyDescent="0.25">
      <c r="A201" s="75" t="str">
        <f>IF(ISBLANK(B201),"", MAX(A$1:A200)+1)</f>
        <v/>
      </c>
    </row>
    <row r="202" spans="1:1" x14ac:dyDescent="0.25">
      <c r="A202" s="75" t="str">
        <f>IF(ISBLANK(B202),"", MAX(A$1:A201)+1)</f>
        <v/>
      </c>
    </row>
    <row r="203" spans="1:1" x14ac:dyDescent="0.25">
      <c r="A203" s="75" t="str">
        <f>IF(ISBLANK(B203),"", MAX(A$1:A202)+1)</f>
        <v/>
      </c>
    </row>
    <row r="204" spans="1:1" x14ac:dyDescent="0.25">
      <c r="A204" s="75" t="str">
        <f>IF(ISBLANK(B204),"", MAX(A$1:A203)+1)</f>
        <v/>
      </c>
    </row>
    <row r="205" spans="1:1" x14ac:dyDescent="0.25">
      <c r="A205" s="75" t="str">
        <f>IF(ISBLANK(B205),"", MAX(A$1:A204)+1)</f>
        <v/>
      </c>
    </row>
    <row r="206" spans="1:1" x14ac:dyDescent="0.25">
      <c r="A206" s="75" t="str">
        <f>IF(ISBLANK(B206),"", MAX(A$1:A205)+1)</f>
        <v/>
      </c>
    </row>
    <row r="207" spans="1:1" x14ac:dyDescent="0.25">
      <c r="A207" s="75" t="str">
        <f>IF(ISBLANK(B207),"", MAX(A$1:A206)+1)</f>
        <v/>
      </c>
    </row>
    <row r="208" spans="1:1" x14ac:dyDescent="0.25">
      <c r="A208" s="75" t="str">
        <f>IF(ISBLANK(B208),"", MAX(A$1:A207)+1)</f>
        <v/>
      </c>
    </row>
    <row r="209" spans="1:1" x14ac:dyDescent="0.25">
      <c r="A209" s="75" t="str">
        <f>IF(ISBLANK(B209),"", MAX(A$1:A208)+1)</f>
        <v/>
      </c>
    </row>
    <row r="210" spans="1:1" x14ac:dyDescent="0.25">
      <c r="A210" s="75" t="str">
        <f>IF(ISBLANK(B210),"", MAX(A$1:A209)+1)</f>
        <v/>
      </c>
    </row>
    <row r="211" spans="1:1" x14ac:dyDescent="0.25">
      <c r="A211" s="75" t="str">
        <f>IF(ISBLANK(B211),"", MAX(A$1:A210)+1)</f>
        <v/>
      </c>
    </row>
    <row r="212" spans="1:1" x14ac:dyDescent="0.25">
      <c r="A212" s="75" t="str">
        <f>IF(ISBLANK(B212),"", MAX(A$1:A211)+1)</f>
        <v/>
      </c>
    </row>
    <row r="213" spans="1:1" x14ac:dyDescent="0.25">
      <c r="A213" s="75" t="str">
        <f>IF(ISBLANK(B213),"", MAX(A$1:A212)+1)</f>
        <v/>
      </c>
    </row>
    <row r="214" spans="1:1" x14ac:dyDescent="0.25">
      <c r="A214" s="75" t="str">
        <f>IF(ISBLANK(B214),"", MAX(A$1:A213)+1)</f>
        <v/>
      </c>
    </row>
    <row r="215" spans="1:1" x14ac:dyDescent="0.25">
      <c r="A215" s="75" t="str">
        <f>IF(ISBLANK(B215),"", MAX(A$1:A214)+1)</f>
        <v/>
      </c>
    </row>
    <row r="216" spans="1:1" x14ac:dyDescent="0.25">
      <c r="A216" s="75" t="str">
        <f>IF(ISBLANK(B216),"", MAX(A$1:A215)+1)</f>
        <v/>
      </c>
    </row>
    <row r="217" spans="1:1" x14ac:dyDescent="0.25">
      <c r="A217" s="75" t="str">
        <f>IF(ISBLANK(B217),"", MAX(A$1:A216)+1)</f>
        <v/>
      </c>
    </row>
    <row r="218" spans="1:1" x14ac:dyDescent="0.25">
      <c r="A218" s="75" t="str">
        <f>IF(ISBLANK(B218),"", MAX(A$1:A217)+1)</f>
        <v/>
      </c>
    </row>
    <row r="219" spans="1:1" x14ac:dyDescent="0.25">
      <c r="A219" s="75" t="str">
        <f>IF(ISBLANK(B219),"", MAX(A$1:A218)+1)</f>
        <v/>
      </c>
    </row>
    <row r="220" spans="1:1" x14ac:dyDescent="0.25">
      <c r="A220" s="75" t="str">
        <f>IF(ISBLANK(B220),"", MAX(A$1:A219)+1)</f>
        <v/>
      </c>
    </row>
    <row r="221" spans="1:1" x14ac:dyDescent="0.25">
      <c r="A221" s="75" t="str">
        <f>IF(ISBLANK(B221),"", MAX(A$1:A220)+1)</f>
        <v/>
      </c>
    </row>
    <row r="222" spans="1:1" x14ac:dyDescent="0.25">
      <c r="A222" s="75" t="str">
        <f>IF(ISBLANK(B222),"", MAX(A$1:A221)+1)</f>
        <v/>
      </c>
    </row>
    <row r="223" spans="1:1" x14ac:dyDescent="0.25">
      <c r="A223" s="75" t="str">
        <f>IF(ISBLANK(B223),"", MAX(A$1:A222)+1)</f>
        <v/>
      </c>
    </row>
    <row r="224" spans="1:1" x14ac:dyDescent="0.25">
      <c r="A224" s="75" t="str">
        <f>IF(ISBLANK(B224),"", MAX(A$1:A223)+1)</f>
        <v/>
      </c>
    </row>
    <row r="225" spans="1:1" x14ac:dyDescent="0.25">
      <c r="A225" s="75" t="str">
        <f>IF(ISBLANK(B225),"", MAX(A$1:A224)+1)</f>
        <v/>
      </c>
    </row>
    <row r="226" spans="1:1" x14ac:dyDescent="0.25">
      <c r="A226" s="75" t="str">
        <f>IF(ISBLANK(B226),"", MAX(A$1:A225)+1)</f>
        <v/>
      </c>
    </row>
    <row r="227" spans="1:1" x14ac:dyDescent="0.25">
      <c r="A227" s="75" t="str">
        <f>IF(ISBLANK(B227),"", MAX(A$1:A226)+1)</f>
        <v/>
      </c>
    </row>
    <row r="228" spans="1:1" x14ac:dyDescent="0.25">
      <c r="A228" s="75" t="str">
        <f>IF(ISBLANK(B228),"", MAX(A$1:A227)+1)</f>
        <v/>
      </c>
    </row>
    <row r="229" spans="1:1" x14ac:dyDescent="0.25">
      <c r="A229" s="75" t="str">
        <f>IF(ISBLANK(B229),"", MAX(A$1:A228)+1)</f>
        <v/>
      </c>
    </row>
    <row r="230" spans="1:1" x14ac:dyDescent="0.25">
      <c r="A230" s="75" t="str">
        <f>IF(ISBLANK(B230),"", MAX(A$1:A229)+1)</f>
        <v/>
      </c>
    </row>
    <row r="231" spans="1:1" x14ac:dyDescent="0.25">
      <c r="A231" s="75" t="str">
        <f>IF(ISBLANK(B231),"", MAX(A$1:A230)+1)</f>
        <v/>
      </c>
    </row>
    <row r="232" spans="1:1" x14ac:dyDescent="0.25">
      <c r="A232" s="75" t="str">
        <f>IF(ISBLANK(B232),"", MAX(A$1:A231)+1)</f>
        <v/>
      </c>
    </row>
    <row r="233" spans="1:1" x14ac:dyDescent="0.25">
      <c r="A233" s="75" t="str">
        <f>IF(ISBLANK(B233),"", MAX(A$1:A232)+1)</f>
        <v/>
      </c>
    </row>
    <row r="234" spans="1:1" x14ac:dyDescent="0.25">
      <c r="A234" s="75" t="str">
        <f>IF(ISBLANK(B234),"", MAX(A$1:A233)+1)</f>
        <v/>
      </c>
    </row>
    <row r="235" spans="1:1" x14ac:dyDescent="0.25">
      <c r="A235" s="75" t="str">
        <f>IF(ISBLANK(B235),"", MAX(A$1:A234)+1)</f>
        <v/>
      </c>
    </row>
    <row r="236" spans="1:1" x14ac:dyDescent="0.25">
      <c r="A236" s="75" t="str">
        <f>IF(ISBLANK(B236),"", MAX(A$1:A235)+1)</f>
        <v/>
      </c>
    </row>
    <row r="237" spans="1:1" x14ac:dyDescent="0.25">
      <c r="A237" s="75" t="str">
        <f>IF(ISBLANK(B237),"", MAX(A$1:A236)+1)</f>
        <v/>
      </c>
    </row>
    <row r="238" spans="1:1" x14ac:dyDescent="0.25">
      <c r="A238" s="75" t="str">
        <f>IF(ISBLANK(B238),"", MAX(A$1:A237)+1)</f>
        <v/>
      </c>
    </row>
    <row r="239" spans="1:1" x14ac:dyDescent="0.25">
      <c r="A239" s="75" t="str">
        <f>IF(ISBLANK(B239),"", MAX(A$1:A238)+1)</f>
        <v/>
      </c>
    </row>
    <row r="240" spans="1:1" x14ac:dyDescent="0.25">
      <c r="A240" s="75" t="str">
        <f>IF(ISBLANK(B240),"", MAX(A$1:A239)+1)</f>
        <v/>
      </c>
    </row>
    <row r="241" spans="1:1" x14ac:dyDescent="0.25">
      <c r="A241" s="75" t="str">
        <f>IF(ISBLANK(B241),"", MAX(A$1:A240)+1)</f>
        <v/>
      </c>
    </row>
    <row r="242" spans="1:1" x14ac:dyDescent="0.25">
      <c r="A242" s="75" t="str">
        <f>IF(ISBLANK(B242),"", MAX(A$1:A241)+1)</f>
        <v/>
      </c>
    </row>
    <row r="243" spans="1:1" x14ac:dyDescent="0.25">
      <c r="A243" s="75" t="str">
        <f>IF(ISBLANK(B243),"", MAX(A$1:A242)+1)</f>
        <v/>
      </c>
    </row>
    <row r="244" spans="1:1" x14ac:dyDescent="0.25">
      <c r="A244" s="75" t="str">
        <f>IF(ISBLANK(B244),"", MAX(A$1:A243)+1)</f>
        <v/>
      </c>
    </row>
    <row r="245" spans="1:1" x14ac:dyDescent="0.25">
      <c r="A245" s="75" t="str">
        <f>IF(ISBLANK(B245),"", MAX(A$1:A244)+1)</f>
        <v/>
      </c>
    </row>
    <row r="246" spans="1:1" x14ac:dyDescent="0.25">
      <c r="A246" s="75" t="str">
        <f>IF(ISBLANK(B246),"", MAX(A$1:A245)+1)</f>
        <v/>
      </c>
    </row>
    <row r="247" spans="1:1" x14ac:dyDescent="0.25">
      <c r="A247" s="75" t="str">
        <f>IF(ISBLANK(B247),"", MAX(A$1:A246)+1)</f>
        <v/>
      </c>
    </row>
    <row r="248" spans="1:1" x14ac:dyDescent="0.25">
      <c r="A248" s="75" t="str">
        <f>IF(ISBLANK(B248),"", MAX(A$1:A247)+1)</f>
        <v/>
      </c>
    </row>
    <row r="249" spans="1:1" x14ac:dyDescent="0.25">
      <c r="A249" s="75" t="str">
        <f>IF(ISBLANK(B249),"", MAX(A$1:A248)+1)</f>
        <v/>
      </c>
    </row>
    <row r="250" spans="1:1" x14ac:dyDescent="0.25">
      <c r="A250" s="75" t="str">
        <f>IF(ISBLANK(B250),"", MAX(A$1:A249)+1)</f>
        <v/>
      </c>
    </row>
    <row r="251" spans="1:1" x14ac:dyDescent="0.25">
      <c r="A251" s="75" t="str">
        <f>IF(ISBLANK(B251),"", MAX(A$1:A250)+1)</f>
        <v/>
      </c>
    </row>
    <row r="252" spans="1:1" x14ac:dyDescent="0.25">
      <c r="A252" s="75" t="str">
        <f>IF(ISBLANK(B252),"", MAX(A$1:A251)+1)</f>
        <v/>
      </c>
    </row>
    <row r="253" spans="1:1" x14ac:dyDescent="0.25">
      <c r="A253" s="75" t="str">
        <f>IF(ISBLANK(B253),"", MAX(A$1:A252)+1)</f>
        <v/>
      </c>
    </row>
    <row r="254" spans="1:1" x14ac:dyDescent="0.25">
      <c r="A254" s="75" t="str">
        <f>IF(ISBLANK(B254),"", MAX(A$1:A253)+1)</f>
        <v/>
      </c>
    </row>
    <row r="255" spans="1:1" x14ac:dyDescent="0.25">
      <c r="A255" s="75" t="str">
        <f>IF(ISBLANK(B255),"", MAX(A$1:A254)+1)</f>
        <v/>
      </c>
    </row>
    <row r="256" spans="1:1" x14ac:dyDescent="0.25">
      <c r="A256" s="75" t="str">
        <f>IF(ISBLANK(B256),"", MAX(A$1:A255)+1)</f>
        <v/>
      </c>
    </row>
    <row r="257" spans="1:1" x14ac:dyDescent="0.25">
      <c r="A257" s="75" t="str">
        <f>IF(ISBLANK(B257),"", MAX(A$1:A256)+1)</f>
        <v/>
      </c>
    </row>
    <row r="258" spans="1:1" x14ac:dyDescent="0.25">
      <c r="A258" s="75" t="str">
        <f>IF(ISBLANK(B258),"", MAX(A$1:A257)+1)</f>
        <v/>
      </c>
    </row>
    <row r="259" spans="1:1" x14ac:dyDescent="0.25">
      <c r="A259" s="75" t="str">
        <f>IF(ISBLANK(B259),"", MAX(A$1:A258)+1)</f>
        <v/>
      </c>
    </row>
    <row r="260" spans="1:1" x14ac:dyDescent="0.25">
      <c r="A260" s="75" t="str">
        <f>IF(ISBLANK(B260),"", MAX(A$1:A259)+1)</f>
        <v/>
      </c>
    </row>
    <row r="261" spans="1:1" x14ac:dyDescent="0.25">
      <c r="A261" s="75" t="str">
        <f>IF(ISBLANK(B261),"", MAX(A$1:A260)+1)</f>
        <v/>
      </c>
    </row>
    <row r="262" spans="1:1" x14ac:dyDescent="0.25">
      <c r="A262" s="75" t="str">
        <f>IF(ISBLANK(B262),"", MAX(A$1:A261)+1)</f>
        <v/>
      </c>
    </row>
    <row r="263" spans="1:1" x14ac:dyDescent="0.25">
      <c r="A263" s="75" t="str">
        <f>IF(ISBLANK(B263),"", MAX(A$1:A262)+1)</f>
        <v/>
      </c>
    </row>
    <row r="264" spans="1:1" x14ac:dyDescent="0.25">
      <c r="A264" s="75" t="str">
        <f>IF(ISBLANK(B264),"", MAX(A$1:A263)+1)</f>
        <v/>
      </c>
    </row>
    <row r="265" spans="1:1" x14ac:dyDescent="0.25">
      <c r="A265" s="75" t="str">
        <f>IF(ISBLANK(B265),"", MAX(A$1:A264)+1)</f>
        <v/>
      </c>
    </row>
    <row r="266" spans="1:1" x14ac:dyDescent="0.25">
      <c r="A266" s="75" t="str">
        <f>IF(ISBLANK(B266),"", MAX(A$1:A265)+1)</f>
        <v/>
      </c>
    </row>
    <row r="267" spans="1:1" x14ac:dyDescent="0.25">
      <c r="A267" s="75" t="str">
        <f>IF(ISBLANK(B267),"", MAX(A$1:A266)+1)</f>
        <v/>
      </c>
    </row>
    <row r="268" spans="1:1" x14ac:dyDescent="0.25">
      <c r="A268" s="75" t="str">
        <f>IF(ISBLANK(B268),"", MAX(A$1:A267)+1)</f>
        <v/>
      </c>
    </row>
    <row r="269" spans="1:1" x14ac:dyDescent="0.25">
      <c r="A269" s="75" t="str">
        <f>IF(ISBLANK(B269),"", MAX(A$1:A268)+1)</f>
        <v/>
      </c>
    </row>
    <row r="270" spans="1:1" x14ac:dyDescent="0.25">
      <c r="A270" s="75" t="str">
        <f>IF(ISBLANK(B270),"", MAX(A$1:A269)+1)</f>
        <v/>
      </c>
    </row>
    <row r="271" spans="1:1" x14ac:dyDescent="0.25">
      <c r="A271" s="75" t="str">
        <f>IF(ISBLANK(B271),"", MAX(A$1:A270)+1)</f>
        <v/>
      </c>
    </row>
    <row r="272" spans="1:1" x14ac:dyDescent="0.25">
      <c r="A272" s="75" t="str">
        <f>IF(ISBLANK(B272),"", MAX(A$1:A271)+1)</f>
        <v/>
      </c>
    </row>
    <row r="273" spans="1:1" x14ac:dyDescent="0.25">
      <c r="A273" s="75" t="str">
        <f>IF(ISBLANK(B273),"", MAX(A$1:A272)+1)</f>
        <v/>
      </c>
    </row>
    <row r="274" spans="1:1" x14ac:dyDescent="0.25">
      <c r="A274" s="75" t="str">
        <f>IF(ISBLANK(B274),"", MAX(A$1:A273)+1)</f>
        <v/>
      </c>
    </row>
    <row r="275" spans="1:1" x14ac:dyDescent="0.25">
      <c r="A275" s="75" t="str">
        <f>IF(ISBLANK(B275),"", MAX(A$1:A274)+1)</f>
        <v/>
      </c>
    </row>
    <row r="276" spans="1:1" x14ac:dyDescent="0.25">
      <c r="A276" s="75" t="str">
        <f>IF(ISBLANK(B276),"", MAX(A$1:A275)+1)</f>
        <v/>
      </c>
    </row>
    <row r="277" spans="1:1" x14ac:dyDescent="0.25">
      <c r="A277" s="75" t="str">
        <f>IF(ISBLANK(B277),"", MAX(A$1:A276)+1)</f>
        <v/>
      </c>
    </row>
    <row r="278" spans="1:1" x14ac:dyDescent="0.25">
      <c r="A278" s="75" t="str">
        <f>IF(ISBLANK(B278),"", MAX(A$1:A277)+1)</f>
        <v/>
      </c>
    </row>
    <row r="279" spans="1:1" x14ac:dyDescent="0.25">
      <c r="A279" s="75" t="str">
        <f>IF(ISBLANK(B279),"", MAX(A$1:A278)+1)</f>
        <v/>
      </c>
    </row>
    <row r="280" spans="1:1" x14ac:dyDescent="0.25">
      <c r="A280" s="75" t="str">
        <f>IF(ISBLANK(B280),"", MAX(A$1:A279)+1)</f>
        <v/>
      </c>
    </row>
    <row r="281" spans="1:1" x14ac:dyDescent="0.25">
      <c r="A281" s="75" t="str">
        <f>IF(ISBLANK(B281),"", MAX(A$1:A280)+1)</f>
        <v/>
      </c>
    </row>
    <row r="282" spans="1:1" x14ac:dyDescent="0.25">
      <c r="A282" s="75" t="str">
        <f>IF(ISBLANK(B282),"", MAX(A$1:A281)+1)</f>
        <v/>
      </c>
    </row>
    <row r="283" spans="1:1" x14ac:dyDescent="0.25">
      <c r="A283" s="75" t="str">
        <f>IF(ISBLANK(B283),"", MAX(A$1:A282)+1)</f>
        <v/>
      </c>
    </row>
    <row r="284" spans="1:1" x14ac:dyDescent="0.25">
      <c r="A284" s="75" t="str">
        <f>IF(ISBLANK(B284),"", MAX(A$1:A283)+1)</f>
        <v/>
      </c>
    </row>
    <row r="285" spans="1:1" x14ac:dyDescent="0.25">
      <c r="A285" s="75" t="str">
        <f>IF(ISBLANK(B285),"", MAX(A$1:A284)+1)</f>
        <v/>
      </c>
    </row>
    <row r="286" spans="1:1" x14ac:dyDescent="0.25">
      <c r="A286" s="75" t="str">
        <f>IF(ISBLANK(B286),"", MAX(A$1:A285)+1)</f>
        <v/>
      </c>
    </row>
    <row r="287" spans="1:1" x14ac:dyDescent="0.25">
      <c r="A287" s="75" t="str">
        <f>IF(ISBLANK(B287),"", MAX(A$1:A286)+1)</f>
        <v/>
      </c>
    </row>
    <row r="288" spans="1:1" x14ac:dyDescent="0.25">
      <c r="A288" s="75" t="str">
        <f>IF(ISBLANK(B288),"", MAX(A$1:A287)+1)</f>
        <v/>
      </c>
    </row>
    <row r="289" spans="1:1" x14ac:dyDescent="0.25">
      <c r="A289" s="75" t="str">
        <f>IF(ISBLANK(B289),"", MAX(A$1:A288)+1)</f>
        <v/>
      </c>
    </row>
    <row r="290" spans="1:1" x14ac:dyDescent="0.25">
      <c r="A290" s="75" t="str">
        <f>IF(ISBLANK(B290),"", MAX(A$1:A289)+1)</f>
        <v/>
      </c>
    </row>
    <row r="291" spans="1:1" x14ac:dyDescent="0.25">
      <c r="A291" s="75" t="str">
        <f>IF(ISBLANK(B291),"", MAX(A$1:A290)+1)</f>
        <v/>
      </c>
    </row>
    <row r="292" spans="1:1" x14ac:dyDescent="0.25">
      <c r="A292" s="75" t="str">
        <f>IF(ISBLANK(B292),"", MAX(A$1:A291)+1)</f>
        <v/>
      </c>
    </row>
    <row r="293" spans="1:1" x14ac:dyDescent="0.25">
      <c r="A293" s="75" t="str">
        <f>IF(ISBLANK(B293),"", MAX(A$1:A292)+1)</f>
        <v/>
      </c>
    </row>
    <row r="294" spans="1:1" x14ac:dyDescent="0.25">
      <c r="A294" s="75" t="str">
        <f>IF(ISBLANK(B294),"", MAX(A$1:A293)+1)</f>
        <v/>
      </c>
    </row>
    <row r="295" spans="1:1" x14ac:dyDescent="0.25">
      <c r="A295" s="75" t="str">
        <f>IF(ISBLANK(B295),"", MAX(A$1:A294)+1)</f>
        <v/>
      </c>
    </row>
    <row r="296" spans="1:1" x14ac:dyDescent="0.25">
      <c r="A296" s="75" t="str">
        <f>IF(ISBLANK(B296),"", MAX(A$1:A295)+1)</f>
        <v/>
      </c>
    </row>
    <row r="297" spans="1:1" x14ac:dyDescent="0.25">
      <c r="A297" s="75" t="str">
        <f>IF(ISBLANK(B297),"", MAX(A$1:A296)+1)</f>
        <v/>
      </c>
    </row>
    <row r="298" spans="1:1" x14ac:dyDescent="0.25">
      <c r="A298" s="75" t="str">
        <f>IF(ISBLANK(B298),"", MAX(A$1:A297)+1)</f>
        <v/>
      </c>
    </row>
    <row r="299" spans="1:1" x14ac:dyDescent="0.25">
      <c r="A299" s="75" t="str">
        <f>IF(ISBLANK(B299),"", MAX(A$1:A298)+1)</f>
        <v/>
      </c>
    </row>
    <row r="300" spans="1:1" x14ac:dyDescent="0.25">
      <c r="A300" s="75" t="str">
        <f>IF(ISBLANK(B300),"", MAX(A$1:A299)+1)</f>
        <v/>
      </c>
    </row>
    <row r="301" spans="1:1" x14ac:dyDescent="0.25">
      <c r="A301" s="75" t="str">
        <f>IF(ISBLANK(B301),"", MAX(A$1:A300)+1)</f>
        <v/>
      </c>
    </row>
    <row r="302" spans="1:1" x14ac:dyDescent="0.25">
      <c r="A302" s="75" t="str">
        <f>IF(ISBLANK(B302),"", MAX(A$1:A301)+1)</f>
        <v/>
      </c>
    </row>
    <row r="303" spans="1:1" x14ac:dyDescent="0.25">
      <c r="A303" s="75" t="str">
        <f>IF(ISBLANK(B303),"", MAX(A$1:A302)+1)</f>
        <v/>
      </c>
    </row>
    <row r="304" spans="1:1" x14ac:dyDescent="0.25">
      <c r="A304" s="75" t="str">
        <f>IF(ISBLANK(B304),"", MAX(A$1:A303)+1)</f>
        <v/>
      </c>
    </row>
    <row r="305" spans="1:1" x14ac:dyDescent="0.25">
      <c r="A305" s="75" t="str">
        <f>IF(ISBLANK(B305),"", MAX(A$1:A304)+1)</f>
        <v/>
      </c>
    </row>
    <row r="306" spans="1:1" x14ac:dyDescent="0.25">
      <c r="A306" s="75" t="str">
        <f>IF(ISBLANK(B306),"", MAX(A$1:A305)+1)</f>
        <v/>
      </c>
    </row>
    <row r="307" spans="1:1" x14ac:dyDescent="0.25">
      <c r="A307" s="75" t="str">
        <f>IF(ISBLANK(B307),"", MAX(A$1:A306)+1)</f>
        <v/>
      </c>
    </row>
    <row r="308" spans="1:1" x14ac:dyDescent="0.25">
      <c r="A308" s="75" t="str">
        <f>IF(ISBLANK(B308),"", MAX(A$1:A307)+1)</f>
        <v/>
      </c>
    </row>
    <row r="309" spans="1:1" x14ac:dyDescent="0.25">
      <c r="A309" s="75" t="str">
        <f>IF(ISBLANK(B309),"", MAX(A$1:A308)+1)</f>
        <v/>
      </c>
    </row>
    <row r="310" spans="1:1" x14ac:dyDescent="0.25">
      <c r="A310" s="75" t="str">
        <f>IF(ISBLANK(B310),"", MAX(A$1:A309)+1)</f>
        <v/>
      </c>
    </row>
    <row r="311" spans="1:1" x14ac:dyDescent="0.25">
      <c r="A311" s="75" t="str">
        <f>IF(ISBLANK(B311),"", MAX(A$1:A310)+1)</f>
        <v/>
      </c>
    </row>
    <row r="312" spans="1:1" x14ac:dyDescent="0.25">
      <c r="A312" s="75" t="str">
        <f>IF(ISBLANK(B312),"", MAX(A$1:A311)+1)</f>
        <v/>
      </c>
    </row>
    <row r="313" spans="1:1" x14ac:dyDescent="0.25">
      <c r="A313" s="75" t="str">
        <f>IF(ISBLANK(B313),"", MAX(A$1:A312)+1)</f>
        <v/>
      </c>
    </row>
    <row r="314" spans="1:1" x14ac:dyDescent="0.25">
      <c r="A314" s="75" t="str">
        <f>IF(ISBLANK(B314),"", MAX(A$1:A313)+1)</f>
        <v/>
      </c>
    </row>
    <row r="315" spans="1:1" x14ac:dyDescent="0.25">
      <c r="A315" s="75" t="str">
        <f>IF(ISBLANK(B315),"", MAX(A$1:A314)+1)</f>
        <v/>
      </c>
    </row>
    <row r="316" spans="1:1" x14ac:dyDescent="0.25">
      <c r="A316" s="75" t="str">
        <f>IF(ISBLANK(B316),"", MAX(A$1:A315)+1)</f>
        <v/>
      </c>
    </row>
    <row r="317" spans="1:1" x14ac:dyDescent="0.25">
      <c r="A317" s="75" t="str">
        <f>IF(ISBLANK(B317),"", MAX(A$1:A316)+1)</f>
        <v/>
      </c>
    </row>
    <row r="318" spans="1:1" x14ac:dyDescent="0.25">
      <c r="A318" s="75" t="str">
        <f>IF(ISBLANK(B318),"", MAX(A$1:A317)+1)</f>
        <v/>
      </c>
    </row>
    <row r="319" spans="1:1" x14ac:dyDescent="0.25">
      <c r="A319" s="75" t="str">
        <f>IF(ISBLANK(B319),"", MAX(A$1:A318)+1)</f>
        <v/>
      </c>
    </row>
    <row r="320" spans="1:1" x14ac:dyDescent="0.25">
      <c r="A320" s="75" t="str">
        <f>IF(ISBLANK(B320),"", MAX(A$1:A319)+1)</f>
        <v/>
      </c>
    </row>
    <row r="321" spans="1:1" x14ac:dyDescent="0.25">
      <c r="A321" s="75" t="str">
        <f>IF(ISBLANK(B321),"", MAX(A$1:A320)+1)</f>
        <v/>
      </c>
    </row>
    <row r="322" spans="1:1" x14ac:dyDescent="0.25">
      <c r="A322" s="75" t="str">
        <f>IF(ISBLANK(B322),"", MAX(A$1:A321)+1)</f>
        <v/>
      </c>
    </row>
    <row r="323" spans="1:1" x14ac:dyDescent="0.25">
      <c r="A323" s="75" t="str">
        <f>IF(ISBLANK(B323),"", MAX(A$1:A322)+1)</f>
        <v/>
      </c>
    </row>
    <row r="324" spans="1:1" x14ac:dyDescent="0.25">
      <c r="A324" s="75" t="str">
        <f>IF(ISBLANK(B324),"", MAX(A$1:A323)+1)</f>
        <v/>
      </c>
    </row>
    <row r="325" spans="1:1" x14ac:dyDescent="0.25">
      <c r="A325" s="75" t="str">
        <f>IF(ISBLANK(B325),"", MAX(A$1:A324)+1)</f>
        <v/>
      </c>
    </row>
    <row r="326" spans="1:1" x14ac:dyDescent="0.25">
      <c r="A326" s="75" t="str">
        <f>IF(ISBLANK(B326),"", MAX(A$1:A325)+1)</f>
        <v/>
      </c>
    </row>
    <row r="327" spans="1:1" x14ac:dyDescent="0.25">
      <c r="A327" s="75" t="str">
        <f>IF(ISBLANK(B327),"", MAX(A$1:A326)+1)</f>
        <v/>
      </c>
    </row>
    <row r="328" spans="1:1" x14ac:dyDescent="0.25">
      <c r="A328" s="75" t="str">
        <f>IF(ISBLANK(B328),"", MAX(A$1:A327)+1)</f>
        <v/>
      </c>
    </row>
    <row r="329" spans="1:1" x14ac:dyDescent="0.25">
      <c r="A329" s="75" t="str">
        <f>IF(ISBLANK(B329),"", MAX(A$1:A328)+1)</f>
        <v/>
      </c>
    </row>
    <row r="330" spans="1:1" x14ac:dyDescent="0.25">
      <c r="A330" s="75" t="str">
        <f>IF(ISBLANK(B330),"", MAX(A$1:A329)+1)</f>
        <v/>
      </c>
    </row>
    <row r="331" spans="1:1" x14ac:dyDescent="0.25">
      <c r="A331" s="75" t="str">
        <f>IF(ISBLANK(B331),"", MAX(A$1:A330)+1)</f>
        <v/>
      </c>
    </row>
    <row r="332" spans="1:1" x14ac:dyDescent="0.25">
      <c r="A332" s="75" t="str">
        <f>IF(ISBLANK(B332),"", MAX(A$1:A331)+1)</f>
        <v/>
      </c>
    </row>
    <row r="333" spans="1:1" x14ac:dyDescent="0.25">
      <c r="A333" s="75" t="str">
        <f>IF(ISBLANK(B333),"", MAX(A$1:A332)+1)</f>
        <v/>
      </c>
    </row>
    <row r="334" spans="1:1" x14ac:dyDescent="0.25">
      <c r="A334" s="75" t="str">
        <f>IF(ISBLANK(B334),"", MAX(A$1:A333)+1)</f>
        <v/>
      </c>
    </row>
    <row r="335" spans="1:1" x14ac:dyDescent="0.25">
      <c r="A335" s="75" t="str">
        <f>IF(ISBLANK(B335),"", MAX(A$1:A334)+1)</f>
        <v/>
      </c>
    </row>
    <row r="336" spans="1:1" x14ac:dyDescent="0.25">
      <c r="A336" s="75" t="str">
        <f>IF(ISBLANK(B336),"", MAX(A$1:A335)+1)</f>
        <v/>
      </c>
    </row>
    <row r="337" spans="1:1" x14ac:dyDescent="0.25">
      <c r="A337" s="75" t="str">
        <f>IF(ISBLANK(B337),"", MAX(A$1:A336)+1)</f>
        <v/>
      </c>
    </row>
    <row r="338" spans="1:1" x14ac:dyDescent="0.25">
      <c r="A338" s="75" t="str">
        <f>IF(ISBLANK(B338),"", MAX(A$1:A337)+1)</f>
        <v/>
      </c>
    </row>
    <row r="339" spans="1:1" x14ac:dyDescent="0.25">
      <c r="A339" s="75" t="str">
        <f>IF(ISBLANK(B339),"", MAX(A$1:A338)+1)</f>
        <v/>
      </c>
    </row>
    <row r="340" spans="1:1" x14ac:dyDescent="0.25">
      <c r="A340" s="75" t="str">
        <f>IF(ISBLANK(B340),"", MAX(A$1:A339)+1)</f>
        <v/>
      </c>
    </row>
    <row r="341" spans="1:1" x14ac:dyDescent="0.25">
      <c r="A341" s="75" t="str">
        <f>IF(ISBLANK(B341),"", MAX(A$1:A340)+1)</f>
        <v/>
      </c>
    </row>
    <row r="342" spans="1:1" x14ac:dyDescent="0.25">
      <c r="A342" s="75" t="str">
        <f>IF(ISBLANK(B342),"", MAX(A$1:A341)+1)</f>
        <v/>
      </c>
    </row>
    <row r="343" spans="1:1" x14ac:dyDescent="0.25">
      <c r="A343" s="75" t="str">
        <f>IF(ISBLANK(B343),"", MAX(A$1:A342)+1)</f>
        <v/>
      </c>
    </row>
    <row r="344" spans="1:1" x14ac:dyDescent="0.25">
      <c r="A344" s="75" t="str">
        <f>IF(ISBLANK(B344),"", MAX(A$1:A343)+1)</f>
        <v/>
      </c>
    </row>
    <row r="345" spans="1:1" x14ac:dyDescent="0.25">
      <c r="A345" s="75" t="str">
        <f>IF(ISBLANK(B345),"", MAX(A$1:A344)+1)</f>
        <v/>
      </c>
    </row>
    <row r="346" spans="1:1" x14ac:dyDescent="0.25">
      <c r="A346" s="75" t="str">
        <f>IF(ISBLANK(B346),"", MAX(A$1:A345)+1)</f>
        <v/>
      </c>
    </row>
    <row r="347" spans="1:1" x14ac:dyDescent="0.25">
      <c r="A347" s="75" t="str">
        <f>IF(ISBLANK(B347),"", MAX(A$1:A346)+1)</f>
        <v/>
      </c>
    </row>
    <row r="348" spans="1:1" x14ac:dyDescent="0.25">
      <c r="A348" s="75" t="str">
        <f>IF(ISBLANK(B348),"", MAX(A$1:A347)+1)</f>
        <v/>
      </c>
    </row>
    <row r="349" spans="1:1" x14ac:dyDescent="0.25">
      <c r="A349" s="75" t="str">
        <f>IF(ISBLANK(B349),"", MAX(A$1:A348)+1)</f>
        <v/>
      </c>
    </row>
    <row r="350" spans="1:1" x14ac:dyDescent="0.25">
      <c r="A350" s="75" t="str">
        <f>IF(ISBLANK(B350),"", MAX(A$1:A349)+1)</f>
        <v/>
      </c>
    </row>
    <row r="351" spans="1:1" x14ac:dyDescent="0.25">
      <c r="A351" s="75" t="str">
        <f>IF(ISBLANK(B351),"", MAX(A$1:A350)+1)</f>
        <v/>
      </c>
    </row>
    <row r="352" spans="1:1" x14ac:dyDescent="0.25">
      <c r="A352" s="75" t="str">
        <f>IF(ISBLANK(B352),"", MAX(A$1:A351)+1)</f>
        <v/>
      </c>
    </row>
    <row r="353" spans="1:1" x14ac:dyDescent="0.25">
      <c r="A353" s="75" t="str">
        <f>IF(ISBLANK(B353),"", MAX(A$1:A352)+1)</f>
        <v/>
      </c>
    </row>
    <row r="354" spans="1:1" x14ac:dyDescent="0.25">
      <c r="A354" s="75" t="str">
        <f>IF(ISBLANK(B354),"", MAX(A$1:A353)+1)</f>
        <v/>
      </c>
    </row>
    <row r="355" spans="1:1" x14ac:dyDescent="0.25">
      <c r="A355" s="75" t="str">
        <f>IF(ISBLANK(B355),"", MAX(A$1:A354)+1)</f>
        <v/>
      </c>
    </row>
    <row r="356" spans="1:1" x14ac:dyDescent="0.25">
      <c r="A356" s="75" t="str">
        <f>IF(ISBLANK(B356),"", MAX(A$1:A355)+1)</f>
        <v/>
      </c>
    </row>
    <row r="357" spans="1:1" x14ac:dyDescent="0.25">
      <c r="A357" s="75" t="str">
        <f>IF(ISBLANK(B357),"", MAX(A$1:A356)+1)</f>
        <v/>
      </c>
    </row>
    <row r="358" spans="1:1" x14ac:dyDescent="0.25">
      <c r="A358" s="75" t="str">
        <f>IF(ISBLANK(B358),"", MAX(A$1:A357)+1)</f>
        <v/>
      </c>
    </row>
    <row r="359" spans="1:1" x14ac:dyDescent="0.25">
      <c r="A359" s="75" t="str">
        <f>IF(ISBLANK(B359),"", MAX(A$1:A358)+1)</f>
        <v/>
      </c>
    </row>
    <row r="360" spans="1:1" x14ac:dyDescent="0.25">
      <c r="A360" s="75" t="str">
        <f>IF(ISBLANK(B360),"", MAX(A$1:A359)+1)</f>
        <v/>
      </c>
    </row>
    <row r="361" spans="1:1" x14ac:dyDescent="0.25">
      <c r="A361" s="75" t="str">
        <f>IF(ISBLANK(B361),"", MAX(A$1:A360)+1)</f>
        <v/>
      </c>
    </row>
    <row r="362" spans="1:1" x14ac:dyDescent="0.25">
      <c r="A362" s="75" t="str">
        <f>IF(ISBLANK(B362),"", MAX(A$1:A361)+1)</f>
        <v/>
      </c>
    </row>
    <row r="363" spans="1:1" x14ac:dyDescent="0.25">
      <c r="A363" s="75" t="str">
        <f>IF(ISBLANK(B363),"", MAX(A$1:A362)+1)</f>
        <v/>
      </c>
    </row>
    <row r="364" spans="1:1" x14ac:dyDescent="0.25">
      <c r="A364" s="75" t="str">
        <f>IF(ISBLANK(B364),"", MAX(A$1:A363)+1)</f>
        <v/>
      </c>
    </row>
    <row r="365" spans="1:1" x14ac:dyDescent="0.25">
      <c r="A365" s="75" t="str">
        <f>IF(ISBLANK(B365),"", MAX(A$1:A364)+1)</f>
        <v/>
      </c>
    </row>
    <row r="366" spans="1:1" x14ac:dyDescent="0.25">
      <c r="A366" s="75" t="str">
        <f>IF(ISBLANK(B366),"", MAX(A$1:A365)+1)</f>
        <v/>
      </c>
    </row>
    <row r="367" spans="1:1" x14ac:dyDescent="0.25">
      <c r="A367" s="75" t="str">
        <f>IF(ISBLANK(B367),"", MAX(A$1:A366)+1)</f>
        <v/>
      </c>
    </row>
    <row r="368" spans="1:1" x14ac:dyDescent="0.25">
      <c r="A368" s="75" t="str">
        <f>IF(ISBLANK(B368),"", MAX(A$1:A367)+1)</f>
        <v/>
      </c>
    </row>
    <row r="369" spans="1:1" x14ac:dyDescent="0.25">
      <c r="A369" s="75" t="str">
        <f>IF(ISBLANK(B369),"", MAX(A$1:A368)+1)</f>
        <v/>
      </c>
    </row>
    <row r="370" spans="1:1" x14ac:dyDescent="0.25">
      <c r="A370" s="75" t="str">
        <f>IF(ISBLANK(B370),"", MAX(A$1:A369)+1)</f>
        <v/>
      </c>
    </row>
    <row r="371" spans="1:1" x14ac:dyDescent="0.25">
      <c r="A371" s="75" t="str">
        <f>IF(ISBLANK(B371),"", MAX(A$1:A370)+1)</f>
        <v/>
      </c>
    </row>
    <row r="372" spans="1:1" x14ac:dyDescent="0.25">
      <c r="A372" s="75" t="str">
        <f>IF(ISBLANK(B372),"", MAX(A$1:A371)+1)</f>
        <v/>
      </c>
    </row>
    <row r="373" spans="1:1" x14ac:dyDescent="0.25">
      <c r="A373" s="75" t="str">
        <f>IF(ISBLANK(B373),"", MAX(A$1:A372)+1)</f>
        <v/>
      </c>
    </row>
    <row r="374" spans="1:1" x14ac:dyDescent="0.25">
      <c r="A374" s="75" t="str">
        <f>IF(ISBLANK(B374),"", MAX(A$1:A373)+1)</f>
        <v/>
      </c>
    </row>
    <row r="375" spans="1:1" x14ac:dyDescent="0.25">
      <c r="A375" s="75" t="str">
        <f>IF(ISBLANK(B375),"", MAX(A$1:A374)+1)</f>
        <v/>
      </c>
    </row>
    <row r="376" spans="1:1" x14ac:dyDescent="0.25">
      <c r="A376" s="75" t="str">
        <f>IF(ISBLANK(B376),"", MAX(A$1:A375)+1)</f>
        <v/>
      </c>
    </row>
    <row r="377" spans="1:1" x14ac:dyDescent="0.25">
      <c r="A377" s="75" t="str">
        <f>IF(ISBLANK(B377),"", MAX(A$1:A376)+1)</f>
        <v/>
      </c>
    </row>
    <row r="378" spans="1:1" x14ac:dyDescent="0.25">
      <c r="A378" s="75" t="str">
        <f>IF(ISBLANK(B378),"", MAX(A$1:A377)+1)</f>
        <v/>
      </c>
    </row>
    <row r="379" spans="1:1" x14ac:dyDescent="0.25">
      <c r="A379" s="75" t="str">
        <f>IF(ISBLANK(B379),"", MAX(A$1:A378)+1)</f>
        <v/>
      </c>
    </row>
    <row r="380" spans="1:1" x14ac:dyDescent="0.25">
      <c r="A380" s="75" t="str">
        <f>IF(ISBLANK(B380),"", MAX(A$1:A379)+1)</f>
        <v/>
      </c>
    </row>
    <row r="381" spans="1:1" x14ac:dyDescent="0.25">
      <c r="A381" s="75" t="str">
        <f>IF(ISBLANK(B381),"", MAX(A$1:A380)+1)</f>
        <v/>
      </c>
    </row>
    <row r="382" spans="1:1" x14ac:dyDescent="0.25">
      <c r="A382" s="75" t="str">
        <f>IF(ISBLANK(B382),"", MAX(A$1:A381)+1)</f>
        <v/>
      </c>
    </row>
    <row r="383" spans="1:1" x14ac:dyDescent="0.25">
      <c r="A383" s="75" t="str">
        <f>IF(ISBLANK(B383),"", MAX(A$1:A382)+1)</f>
        <v/>
      </c>
    </row>
    <row r="384" spans="1:1" x14ac:dyDescent="0.25">
      <c r="A384" s="75" t="str">
        <f>IF(ISBLANK(B384),"", MAX(A$1:A383)+1)</f>
        <v/>
      </c>
    </row>
    <row r="385" spans="1:1" x14ac:dyDescent="0.25">
      <c r="A385" s="75" t="str">
        <f>IF(ISBLANK(B385),"", MAX(A$1:A384)+1)</f>
        <v/>
      </c>
    </row>
    <row r="386" spans="1:1" x14ac:dyDescent="0.25">
      <c r="A386" s="75" t="str">
        <f>IF(ISBLANK(B386),"", MAX(A$1:A385)+1)</f>
        <v/>
      </c>
    </row>
    <row r="387" spans="1:1" x14ac:dyDescent="0.25">
      <c r="A387" s="75" t="str">
        <f>IF(ISBLANK(B387),"", MAX(A$1:A386)+1)</f>
        <v/>
      </c>
    </row>
    <row r="388" spans="1:1" x14ac:dyDescent="0.25">
      <c r="A388" s="75" t="str">
        <f>IF(ISBLANK(B388),"", MAX(A$1:A387)+1)</f>
        <v/>
      </c>
    </row>
    <row r="389" spans="1:1" x14ac:dyDescent="0.25">
      <c r="A389" s="75" t="str">
        <f>IF(ISBLANK(B389),"", MAX(A$1:A388)+1)</f>
        <v/>
      </c>
    </row>
    <row r="390" spans="1:1" x14ac:dyDescent="0.25">
      <c r="A390" s="75" t="str">
        <f>IF(ISBLANK(B390),"", MAX(A$1:A389)+1)</f>
        <v/>
      </c>
    </row>
    <row r="391" spans="1:1" x14ac:dyDescent="0.25">
      <c r="A391" s="75" t="str">
        <f>IF(ISBLANK(B391),"", MAX(A$1:A390)+1)</f>
        <v/>
      </c>
    </row>
    <row r="392" spans="1:1" x14ac:dyDescent="0.25">
      <c r="A392" s="75" t="str">
        <f>IF(ISBLANK(B392),"", MAX(A$1:A391)+1)</f>
        <v/>
      </c>
    </row>
    <row r="393" spans="1:1" x14ac:dyDescent="0.25">
      <c r="A393" s="75" t="str">
        <f>IF(ISBLANK(B393),"", MAX(A$1:A392)+1)</f>
        <v/>
      </c>
    </row>
    <row r="394" spans="1:1" x14ac:dyDescent="0.25">
      <c r="A394" s="75" t="str">
        <f>IF(ISBLANK(B394),"", MAX(A$1:A393)+1)</f>
        <v/>
      </c>
    </row>
    <row r="395" spans="1:1" x14ac:dyDescent="0.25">
      <c r="A395" s="75" t="str">
        <f>IF(ISBLANK(B395),"", MAX(A$1:A394)+1)</f>
        <v/>
      </c>
    </row>
    <row r="396" spans="1:1" x14ac:dyDescent="0.25">
      <c r="A396" s="75" t="str">
        <f>IF(ISBLANK(B396),"", MAX(A$1:A395)+1)</f>
        <v/>
      </c>
    </row>
    <row r="397" spans="1:1" x14ac:dyDescent="0.25">
      <c r="A397" s="75" t="str">
        <f>IF(ISBLANK(B397),"", MAX(A$1:A396)+1)</f>
        <v/>
      </c>
    </row>
    <row r="398" spans="1:1" x14ac:dyDescent="0.25">
      <c r="A398" s="75" t="str">
        <f>IF(ISBLANK(B398),"", MAX(A$1:A397)+1)</f>
        <v/>
      </c>
    </row>
    <row r="399" spans="1:1" x14ac:dyDescent="0.25">
      <c r="A399" s="75" t="str">
        <f>IF(ISBLANK(B399),"", MAX(A$1:A398)+1)</f>
        <v/>
      </c>
    </row>
    <row r="400" spans="1:1" x14ac:dyDescent="0.25">
      <c r="A400" s="75" t="str">
        <f>IF(ISBLANK(B400),"", MAX(A$1:A399)+1)</f>
        <v/>
      </c>
    </row>
    <row r="401" spans="1:1" x14ac:dyDescent="0.25">
      <c r="A401" s="75" t="str">
        <f>IF(ISBLANK(B401),"", MAX(A$1:A400)+1)</f>
        <v/>
      </c>
    </row>
    <row r="402" spans="1:1" x14ac:dyDescent="0.25">
      <c r="A402" s="75" t="str">
        <f>IF(ISBLANK(B402),"", MAX(A$1:A401)+1)</f>
        <v/>
      </c>
    </row>
    <row r="403" spans="1:1" x14ac:dyDescent="0.25">
      <c r="A403" s="75" t="str">
        <f>IF(ISBLANK(B403),"", MAX(A$1:A402)+1)</f>
        <v/>
      </c>
    </row>
    <row r="404" spans="1:1" x14ac:dyDescent="0.25">
      <c r="A404" s="75" t="str">
        <f>IF(ISBLANK(B404),"", MAX(A$1:A403)+1)</f>
        <v/>
      </c>
    </row>
    <row r="405" spans="1:1" x14ac:dyDescent="0.25">
      <c r="A405" s="75" t="str">
        <f>IF(ISBLANK(B405),"", MAX(A$1:A404)+1)</f>
        <v/>
      </c>
    </row>
    <row r="406" spans="1:1" x14ac:dyDescent="0.25">
      <c r="A406" s="75" t="str">
        <f>IF(ISBLANK(B406),"", MAX(A$1:A405)+1)</f>
        <v/>
      </c>
    </row>
    <row r="407" spans="1:1" x14ac:dyDescent="0.25">
      <c r="A407" s="75" t="str">
        <f>IF(ISBLANK(B407),"", MAX(A$1:A406)+1)</f>
        <v/>
      </c>
    </row>
    <row r="408" spans="1:1" x14ac:dyDescent="0.25">
      <c r="A408" s="75" t="str">
        <f>IF(ISBLANK(B408),"", MAX(A$1:A407)+1)</f>
        <v/>
      </c>
    </row>
    <row r="409" spans="1:1" x14ac:dyDescent="0.25">
      <c r="A409" s="75" t="str">
        <f>IF(ISBLANK(B409),"", MAX(A$1:A408)+1)</f>
        <v/>
      </c>
    </row>
    <row r="410" spans="1:1" x14ac:dyDescent="0.25">
      <c r="A410" s="75" t="str">
        <f>IF(ISBLANK(B410),"", MAX(A$1:A409)+1)</f>
        <v/>
      </c>
    </row>
    <row r="411" spans="1:1" x14ac:dyDescent="0.25">
      <c r="A411" s="75" t="str">
        <f>IF(ISBLANK(B411),"", MAX(A$1:A410)+1)</f>
        <v/>
      </c>
    </row>
    <row r="412" spans="1:1" x14ac:dyDescent="0.25">
      <c r="A412" s="75" t="str">
        <f>IF(ISBLANK(B412),"", MAX(A$1:A411)+1)</f>
        <v/>
      </c>
    </row>
    <row r="413" spans="1:1" x14ac:dyDescent="0.25">
      <c r="A413" s="75" t="str">
        <f>IF(ISBLANK(B413),"", MAX(A$1:A412)+1)</f>
        <v/>
      </c>
    </row>
    <row r="414" spans="1:1" x14ac:dyDescent="0.25">
      <c r="A414" s="75" t="str">
        <f>IF(ISBLANK(B414),"", MAX(A$1:A413)+1)</f>
        <v/>
      </c>
    </row>
    <row r="415" spans="1:1" x14ac:dyDescent="0.25">
      <c r="A415" s="75" t="str">
        <f>IF(ISBLANK(B415),"", MAX(A$1:A414)+1)</f>
        <v/>
      </c>
    </row>
    <row r="416" spans="1:1" x14ac:dyDescent="0.25">
      <c r="A416" s="75" t="str">
        <f>IF(ISBLANK(B416),"", MAX(A$1:A415)+1)</f>
        <v/>
      </c>
    </row>
    <row r="417" spans="1:1" x14ac:dyDescent="0.25">
      <c r="A417" s="75" t="str">
        <f>IF(ISBLANK(B417),"", MAX(A$1:A416)+1)</f>
        <v/>
      </c>
    </row>
    <row r="418" spans="1:1" x14ac:dyDescent="0.25">
      <c r="A418" s="75" t="str">
        <f>IF(ISBLANK(B418),"", MAX(A$1:A417)+1)</f>
        <v/>
      </c>
    </row>
    <row r="419" spans="1:1" x14ac:dyDescent="0.25">
      <c r="A419" s="75" t="str">
        <f>IF(ISBLANK(B419),"", MAX(A$1:A418)+1)</f>
        <v/>
      </c>
    </row>
    <row r="420" spans="1:1" x14ac:dyDescent="0.25">
      <c r="A420" s="75" t="str">
        <f>IF(ISBLANK(B420),"", MAX(A$1:A419)+1)</f>
        <v/>
      </c>
    </row>
    <row r="421" spans="1:1" x14ac:dyDescent="0.25">
      <c r="A421" s="75" t="str">
        <f>IF(ISBLANK(B421),"", MAX(A$1:A420)+1)</f>
        <v/>
      </c>
    </row>
    <row r="422" spans="1:1" x14ac:dyDescent="0.25">
      <c r="A422" s="75" t="str">
        <f>IF(ISBLANK(B422),"", MAX(A$1:A421)+1)</f>
        <v/>
      </c>
    </row>
    <row r="423" spans="1:1" x14ac:dyDescent="0.25">
      <c r="A423" s="75" t="str">
        <f>IF(ISBLANK(B423),"", MAX(A$1:A422)+1)</f>
        <v/>
      </c>
    </row>
    <row r="424" spans="1:1" x14ac:dyDescent="0.25">
      <c r="A424" s="75" t="str">
        <f>IF(ISBLANK(B424),"", MAX(A$1:A423)+1)</f>
        <v/>
      </c>
    </row>
    <row r="425" spans="1:1" x14ac:dyDescent="0.25">
      <c r="A425" s="75" t="str">
        <f>IF(ISBLANK(B425),"", MAX(A$1:A424)+1)</f>
        <v/>
      </c>
    </row>
    <row r="426" spans="1:1" x14ac:dyDescent="0.25">
      <c r="A426" s="75" t="str">
        <f>IF(ISBLANK(B426),"", MAX(A$1:A425)+1)</f>
        <v/>
      </c>
    </row>
    <row r="427" spans="1:1" x14ac:dyDescent="0.25">
      <c r="A427" s="75" t="str">
        <f>IF(ISBLANK(B427),"", MAX(A$1:A426)+1)</f>
        <v/>
      </c>
    </row>
    <row r="428" spans="1:1" x14ac:dyDescent="0.25">
      <c r="A428" s="75" t="str">
        <f>IF(ISBLANK(B428),"", MAX(A$1:A427)+1)</f>
        <v/>
      </c>
    </row>
    <row r="429" spans="1:1" x14ac:dyDescent="0.25">
      <c r="A429" s="75" t="str">
        <f>IF(ISBLANK(B429),"", MAX(A$1:A428)+1)</f>
        <v/>
      </c>
    </row>
    <row r="430" spans="1:1" x14ac:dyDescent="0.25">
      <c r="A430" s="75" t="str">
        <f>IF(ISBLANK(B430),"", MAX(A$1:A429)+1)</f>
        <v/>
      </c>
    </row>
    <row r="431" spans="1:1" x14ac:dyDescent="0.25">
      <c r="A431" s="75" t="str">
        <f>IF(ISBLANK(B431),"", MAX(A$1:A430)+1)</f>
        <v/>
      </c>
    </row>
    <row r="432" spans="1:1" x14ac:dyDescent="0.25">
      <c r="A432" s="75" t="str">
        <f>IF(ISBLANK(B432),"", MAX(A$1:A431)+1)</f>
        <v/>
      </c>
    </row>
    <row r="433" spans="1:1" x14ac:dyDescent="0.25">
      <c r="A433" s="75" t="str">
        <f>IF(ISBLANK(B433),"", MAX(A$1:A432)+1)</f>
        <v/>
      </c>
    </row>
    <row r="434" spans="1:1" x14ac:dyDescent="0.25">
      <c r="A434" s="75" t="str">
        <f>IF(ISBLANK(B434),"", MAX(A$1:A433)+1)</f>
        <v/>
      </c>
    </row>
    <row r="435" spans="1:1" x14ac:dyDescent="0.25">
      <c r="A435" s="75" t="str">
        <f>IF(ISBLANK(B435),"", MAX(A$1:A434)+1)</f>
        <v/>
      </c>
    </row>
    <row r="436" spans="1:1" x14ac:dyDescent="0.25">
      <c r="A436" s="75" t="str">
        <f>IF(ISBLANK(B436),"", MAX(A$1:A435)+1)</f>
        <v/>
      </c>
    </row>
    <row r="437" spans="1:1" x14ac:dyDescent="0.25">
      <c r="A437" s="75" t="str">
        <f>IF(ISBLANK(B437),"", MAX(A$1:A436)+1)</f>
        <v/>
      </c>
    </row>
    <row r="438" spans="1:1" x14ac:dyDescent="0.25">
      <c r="A438" s="75" t="str">
        <f>IF(ISBLANK(B438),"", MAX(A$1:A437)+1)</f>
        <v/>
      </c>
    </row>
    <row r="439" spans="1:1" x14ac:dyDescent="0.25">
      <c r="A439" s="75" t="str">
        <f>IF(ISBLANK(B439),"", MAX(A$1:A438)+1)</f>
        <v/>
      </c>
    </row>
    <row r="440" spans="1:1" x14ac:dyDescent="0.25">
      <c r="A440" s="75" t="str">
        <f>IF(ISBLANK(B440),"", MAX(A$1:A439)+1)</f>
        <v/>
      </c>
    </row>
    <row r="441" spans="1:1" x14ac:dyDescent="0.25">
      <c r="A441" s="75" t="str">
        <f>IF(ISBLANK(B441),"", MAX(A$1:A440)+1)</f>
        <v/>
      </c>
    </row>
    <row r="442" spans="1:1" x14ac:dyDescent="0.25">
      <c r="A442" s="75" t="str">
        <f>IF(ISBLANK(B442),"", MAX(A$1:A441)+1)</f>
        <v/>
      </c>
    </row>
    <row r="443" spans="1:1" x14ac:dyDescent="0.25">
      <c r="A443" s="75" t="str">
        <f>IF(ISBLANK(B443),"", MAX(A$1:A442)+1)</f>
        <v/>
      </c>
    </row>
    <row r="444" spans="1:1" x14ac:dyDescent="0.25">
      <c r="A444" s="75" t="str">
        <f>IF(ISBLANK(B444),"", MAX(A$1:A443)+1)</f>
        <v/>
      </c>
    </row>
    <row r="445" spans="1:1" x14ac:dyDescent="0.25">
      <c r="A445" s="75" t="str">
        <f>IF(ISBLANK(B445),"", MAX(A$1:A444)+1)</f>
        <v/>
      </c>
    </row>
    <row r="446" spans="1:1" x14ac:dyDescent="0.25">
      <c r="A446" s="75" t="str">
        <f>IF(ISBLANK(B446),"", MAX(A$1:A445)+1)</f>
        <v/>
      </c>
    </row>
    <row r="447" spans="1:1" x14ac:dyDescent="0.25">
      <c r="A447" s="75" t="str">
        <f>IF(ISBLANK(B447),"", MAX(A$1:A446)+1)</f>
        <v/>
      </c>
    </row>
    <row r="448" spans="1:1" x14ac:dyDescent="0.25">
      <c r="A448" s="75" t="str">
        <f>IF(ISBLANK(B448),"", MAX(A$1:A447)+1)</f>
        <v/>
      </c>
    </row>
    <row r="449" spans="1:1" x14ac:dyDescent="0.25">
      <c r="A449" s="75" t="str">
        <f>IF(ISBLANK(B449),"", MAX(A$1:A448)+1)</f>
        <v/>
      </c>
    </row>
    <row r="450" spans="1:1" x14ac:dyDescent="0.25">
      <c r="A450" s="75" t="str">
        <f>IF(ISBLANK(B450),"", MAX(A$1:A449)+1)</f>
        <v/>
      </c>
    </row>
    <row r="451" spans="1:1" x14ac:dyDescent="0.25">
      <c r="A451" s="75" t="str">
        <f>IF(ISBLANK(B451),"", MAX(A$1:A450)+1)</f>
        <v/>
      </c>
    </row>
    <row r="452" spans="1:1" x14ac:dyDescent="0.25">
      <c r="A452" s="75" t="str">
        <f>IF(ISBLANK(B452),"", MAX(A$1:A451)+1)</f>
        <v/>
      </c>
    </row>
    <row r="453" spans="1:1" x14ac:dyDescent="0.25">
      <c r="A453" s="75" t="str">
        <f>IF(ISBLANK(B453),"", MAX(A$1:A452)+1)</f>
        <v/>
      </c>
    </row>
    <row r="454" spans="1:1" x14ac:dyDescent="0.25">
      <c r="A454" s="75" t="str">
        <f>IF(ISBLANK(B454),"", MAX(A$1:A453)+1)</f>
        <v/>
      </c>
    </row>
    <row r="455" spans="1:1" x14ac:dyDescent="0.25">
      <c r="A455" s="75" t="str">
        <f>IF(ISBLANK(B455),"", MAX(A$1:A454)+1)</f>
        <v/>
      </c>
    </row>
    <row r="456" spans="1:1" x14ac:dyDescent="0.25">
      <c r="A456" s="75" t="str">
        <f>IF(ISBLANK(B456),"", MAX(A$1:A455)+1)</f>
        <v/>
      </c>
    </row>
    <row r="457" spans="1:1" x14ac:dyDescent="0.25">
      <c r="A457" s="75" t="str">
        <f>IF(ISBLANK(B457),"", MAX(A$1:A456)+1)</f>
        <v/>
      </c>
    </row>
    <row r="458" spans="1:1" x14ac:dyDescent="0.25">
      <c r="A458" s="75" t="str">
        <f>IF(ISBLANK(B458),"", MAX(A$1:A457)+1)</f>
        <v/>
      </c>
    </row>
    <row r="459" spans="1:1" x14ac:dyDescent="0.25">
      <c r="A459" s="75" t="str">
        <f>IF(ISBLANK(B459),"", MAX(A$1:A458)+1)</f>
        <v/>
      </c>
    </row>
    <row r="460" spans="1:1" x14ac:dyDescent="0.25">
      <c r="A460" s="75" t="str">
        <f>IF(ISBLANK(B460),"", MAX(A$1:A459)+1)</f>
        <v/>
      </c>
    </row>
    <row r="461" spans="1:1" x14ac:dyDescent="0.25">
      <c r="A461" s="75" t="str">
        <f>IF(ISBLANK(B461),"", MAX(A$1:A460)+1)</f>
        <v/>
      </c>
    </row>
    <row r="462" spans="1:1" x14ac:dyDescent="0.25">
      <c r="A462" s="75" t="str">
        <f>IF(ISBLANK(B462),"", MAX(A$1:A461)+1)</f>
        <v/>
      </c>
    </row>
    <row r="463" spans="1:1" x14ac:dyDescent="0.25">
      <c r="A463" s="75" t="str">
        <f>IF(ISBLANK(B463),"", MAX(A$1:A462)+1)</f>
        <v/>
      </c>
    </row>
    <row r="464" spans="1:1" x14ac:dyDescent="0.25">
      <c r="A464" s="75" t="str">
        <f>IF(ISBLANK(B464),"", MAX(A$1:A463)+1)</f>
        <v/>
      </c>
    </row>
    <row r="465" spans="1:1" x14ac:dyDescent="0.25">
      <c r="A465" s="75" t="str">
        <f>IF(ISBLANK(B465),"", MAX(A$1:A464)+1)</f>
        <v/>
      </c>
    </row>
    <row r="466" spans="1:1" x14ac:dyDescent="0.25">
      <c r="A466" s="75" t="str">
        <f>IF(ISBLANK(B466),"", MAX(A$1:A465)+1)</f>
        <v/>
      </c>
    </row>
    <row r="467" spans="1:1" x14ac:dyDescent="0.25">
      <c r="A467" s="75" t="str">
        <f>IF(ISBLANK(B467),"", MAX(A$1:A466)+1)</f>
        <v/>
      </c>
    </row>
    <row r="468" spans="1:1" x14ac:dyDescent="0.25">
      <c r="A468" s="75" t="str">
        <f>IF(ISBLANK(B468),"", MAX(A$1:A467)+1)</f>
        <v/>
      </c>
    </row>
    <row r="469" spans="1:1" x14ac:dyDescent="0.25">
      <c r="A469" s="75" t="str">
        <f>IF(ISBLANK(B469),"", MAX(A$1:A468)+1)</f>
        <v/>
      </c>
    </row>
    <row r="470" spans="1:1" x14ac:dyDescent="0.25">
      <c r="A470" s="75" t="str">
        <f>IF(ISBLANK(B470),"", MAX(A$1:A469)+1)</f>
        <v/>
      </c>
    </row>
    <row r="471" spans="1:1" x14ac:dyDescent="0.25">
      <c r="A471" s="75" t="str">
        <f>IF(ISBLANK(B471),"", MAX(A$1:A470)+1)</f>
        <v/>
      </c>
    </row>
    <row r="472" spans="1:1" x14ac:dyDescent="0.25">
      <c r="A472" s="75" t="str">
        <f>IF(ISBLANK(B472),"", MAX(A$1:A471)+1)</f>
        <v/>
      </c>
    </row>
    <row r="473" spans="1:1" x14ac:dyDescent="0.25">
      <c r="A473" s="75" t="str">
        <f>IF(ISBLANK(B473),"", MAX(A$1:A472)+1)</f>
        <v/>
      </c>
    </row>
    <row r="474" spans="1:1" x14ac:dyDescent="0.25">
      <c r="A474" s="75" t="str">
        <f>IF(ISBLANK(B474),"", MAX(A$1:A473)+1)</f>
        <v/>
      </c>
    </row>
    <row r="475" spans="1:1" x14ac:dyDescent="0.25">
      <c r="A475" s="75" t="str">
        <f>IF(ISBLANK(B475),"", MAX(A$1:A474)+1)</f>
        <v/>
      </c>
    </row>
    <row r="476" spans="1:1" x14ac:dyDescent="0.25">
      <c r="A476" s="75" t="str">
        <f>IF(ISBLANK(B476),"", MAX(A$1:A475)+1)</f>
        <v/>
      </c>
    </row>
    <row r="477" spans="1:1" x14ac:dyDescent="0.25">
      <c r="A477" s="75" t="str">
        <f>IF(ISBLANK(B477),"", MAX(A$1:A476)+1)</f>
        <v/>
      </c>
    </row>
    <row r="478" spans="1:1" x14ac:dyDescent="0.25">
      <c r="A478" s="75" t="str">
        <f>IF(ISBLANK(B478),"", MAX(A$1:A477)+1)</f>
        <v/>
      </c>
    </row>
    <row r="479" spans="1:1" x14ac:dyDescent="0.25">
      <c r="A479" s="75" t="str">
        <f>IF(ISBLANK(B479),"", MAX(A$1:A478)+1)</f>
        <v/>
      </c>
    </row>
    <row r="480" spans="1:1" x14ac:dyDescent="0.25">
      <c r="A480" s="75" t="str">
        <f>IF(ISBLANK(B480),"", MAX(A$1:A479)+1)</f>
        <v/>
      </c>
    </row>
    <row r="481" spans="1:1" x14ac:dyDescent="0.25">
      <c r="A481" s="75" t="str">
        <f>IF(ISBLANK(B481),"", MAX(A$1:A480)+1)</f>
        <v/>
      </c>
    </row>
    <row r="482" spans="1:1" x14ac:dyDescent="0.25">
      <c r="A482" s="75" t="str">
        <f>IF(ISBLANK(B482),"", MAX(A$1:A481)+1)</f>
        <v/>
      </c>
    </row>
    <row r="483" spans="1:1" x14ac:dyDescent="0.25">
      <c r="A483" s="75" t="str">
        <f>IF(ISBLANK(B483),"", MAX(A$1:A482)+1)</f>
        <v/>
      </c>
    </row>
    <row r="484" spans="1:1" x14ac:dyDescent="0.25">
      <c r="A484" s="75" t="str">
        <f>IF(ISBLANK(B484),"", MAX(A$1:A483)+1)</f>
        <v/>
      </c>
    </row>
    <row r="485" spans="1:1" x14ac:dyDescent="0.25">
      <c r="A485" s="75" t="str">
        <f>IF(ISBLANK(B485),"", MAX(A$1:A484)+1)</f>
        <v/>
      </c>
    </row>
    <row r="486" spans="1:1" x14ac:dyDescent="0.25">
      <c r="A486" s="75" t="str">
        <f>IF(ISBLANK(B486),"", MAX(A$1:A485)+1)</f>
        <v/>
      </c>
    </row>
    <row r="487" spans="1:1" x14ac:dyDescent="0.25">
      <c r="A487" s="75" t="str">
        <f>IF(ISBLANK(B487),"", MAX(A$1:A486)+1)</f>
        <v/>
      </c>
    </row>
    <row r="488" spans="1:1" x14ac:dyDescent="0.25">
      <c r="A488" s="75" t="str">
        <f>IF(ISBLANK(B488),"", MAX(A$1:A487)+1)</f>
        <v/>
      </c>
    </row>
    <row r="489" spans="1:1" x14ac:dyDescent="0.25">
      <c r="A489" s="75" t="str">
        <f>IF(ISBLANK(B489),"", MAX(A$1:A488)+1)</f>
        <v/>
      </c>
    </row>
    <row r="490" spans="1:1" x14ac:dyDescent="0.25">
      <c r="A490" s="75" t="str">
        <f>IF(ISBLANK(B490),"", MAX(A$1:A489)+1)</f>
        <v/>
      </c>
    </row>
    <row r="491" spans="1:1" x14ac:dyDescent="0.25">
      <c r="A491" s="75" t="str">
        <f>IF(ISBLANK(B491),"", MAX(A$1:A490)+1)</f>
        <v/>
      </c>
    </row>
    <row r="492" spans="1:1" x14ac:dyDescent="0.25">
      <c r="A492" s="75" t="str">
        <f>IF(ISBLANK(B492),"", MAX(A$1:A491)+1)</f>
        <v/>
      </c>
    </row>
    <row r="493" spans="1:1" x14ac:dyDescent="0.25">
      <c r="A493" s="75" t="str">
        <f>IF(ISBLANK(B493),"", MAX(A$1:A492)+1)</f>
        <v/>
      </c>
    </row>
    <row r="494" spans="1:1" x14ac:dyDescent="0.25">
      <c r="A494" s="75" t="str">
        <f>IF(ISBLANK(B494),"", MAX(A$1:A493)+1)</f>
        <v/>
      </c>
    </row>
    <row r="495" spans="1:1" x14ac:dyDescent="0.25">
      <c r="A495" s="75" t="str">
        <f>IF(ISBLANK(B495),"", MAX(A$1:A494)+1)</f>
        <v/>
      </c>
    </row>
    <row r="496" spans="1:1" x14ac:dyDescent="0.25">
      <c r="A496" s="75" t="str">
        <f>IF(ISBLANK(B496),"", MAX(A$1:A495)+1)</f>
        <v/>
      </c>
    </row>
    <row r="497" spans="1:1" x14ac:dyDescent="0.25">
      <c r="A497" s="75" t="str">
        <f>IF(ISBLANK(B497),"", MAX(A$1:A496)+1)</f>
        <v/>
      </c>
    </row>
    <row r="498" spans="1:1" x14ac:dyDescent="0.25">
      <c r="A498" s="75" t="str">
        <f>IF(ISBLANK(B498),"", MAX(A$1:A497)+1)</f>
        <v/>
      </c>
    </row>
    <row r="499" spans="1:1" x14ac:dyDescent="0.25">
      <c r="A499" s="75" t="str">
        <f>IF(ISBLANK(B499),"", MAX(A$1:A498)+1)</f>
        <v/>
      </c>
    </row>
    <row r="500" spans="1:1" x14ac:dyDescent="0.25">
      <c r="A500" s="75" t="str">
        <f>IF(ISBLANK(B500),"", MAX(A$1:A499)+1)</f>
        <v/>
      </c>
    </row>
    <row r="501" spans="1:1" x14ac:dyDescent="0.25">
      <c r="A501" s="75" t="str">
        <f>IF(ISBLANK(B501),"", MAX(A$1:A500)+1)</f>
        <v/>
      </c>
    </row>
    <row r="502" spans="1:1" x14ac:dyDescent="0.25">
      <c r="A502" s="75" t="str">
        <f>IF(ISBLANK(B502),"", MAX(A$1:A501)+1)</f>
        <v/>
      </c>
    </row>
    <row r="503" spans="1:1" x14ac:dyDescent="0.25">
      <c r="A503" s="75" t="str">
        <f>IF(ISBLANK(B503),"", MAX(A$1:A502)+1)</f>
        <v/>
      </c>
    </row>
    <row r="504" spans="1:1" x14ac:dyDescent="0.25">
      <c r="A504" s="75" t="str">
        <f>IF(ISBLANK(B504),"", MAX(A$1:A503)+1)</f>
        <v/>
      </c>
    </row>
    <row r="505" spans="1:1" x14ac:dyDescent="0.25">
      <c r="A505" s="75" t="str">
        <f>IF(ISBLANK(B505),"", MAX(A$1:A504)+1)</f>
        <v/>
      </c>
    </row>
    <row r="506" spans="1:1" x14ac:dyDescent="0.25">
      <c r="A506" s="75" t="str">
        <f>IF(ISBLANK(B506),"", MAX(A$1:A505)+1)</f>
        <v/>
      </c>
    </row>
    <row r="507" spans="1:1" x14ac:dyDescent="0.25">
      <c r="A507" s="75" t="str">
        <f>IF(ISBLANK(B507),"", MAX(A$1:A506)+1)</f>
        <v/>
      </c>
    </row>
    <row r="508" spans="1:1" x14ac:dyDescent="0.25">
      <c r="A508" s="75" t="str">
        <f>IF(ISBLANK(B508),"", MAX(A$1:A507)+1)</f>
        <v/>
      </c>
    </row>
    <row r="509" spans="1:1" x14ac:dyDescent="0.25">
      <c r="A509" s="75" t="str">
        <f>IF(ISBLANK(B509),"", MAX(A$1:A508)+1)</f>
        <v/>
      </c>
    </row>
    <row r="510" spans="1:1" x14ac:dyDescent="0.25">
      <c r="A510" s="75" t="str">
        <f>IF(ISBLANK(B510),"", MAX(A$1:A509)+1)</f>
        <v/>
      </c>
    </row>
    <row r="511" spans="1:1" x14ac:dyDescent="0.25">
      <c r="A511" s="75" t="str">
        <f>IF(ISBLANK(B511),"", MAX(A$1:A510)+1)</f>
        <v/>
      </c>
    </row>
    <row r="512" spans="1:1" x14ac:dyDescent="0.25">
      <c r="A512" s="75" t="str">
        <f>IF(ISBLANK(B512),"", MAX(A$1:A511)+1)</f>
        <v/>
      </c>
    </row>
    <row r="513" spans="1:1" x14ac:dyDescent="0.25">
      <c r="A513" s="75" t="str">
        <f>IF(ISBLANK(B513),"", MAX(A$1:A512)+1)</f>
        <v/>
      </c>
    </row>
    <row r="514" spans="1:1" x14ac:dyDescent="0.25">
      <c r="A514" s="75" t="str">
        <f>IF(ISBLANK(B514),"", MAX(A$1:A513)+1)</f>
        <v/>
      </c>
    </row>
    <row r="515" spans="1:1" x14ac:dyDescent="0.25">
      <c r="A515" s="75" t="str">
        <f>IF(ISBLANK(B515),"", MAX(A$1:A514)+1)</f>
        <v/>
      </c>
    </row>
    <row r="516" spans="1:1" x14ac:dyDescent="0.25">
      <c r="A516" s="75" t="str">
        <f>IF(ISBLANK(B516),"", MAX(A$1:A515)+1)</f>
        <v/>
      </c>
    </row>
    <row r="517" spans="1:1" x14ac:dyDescent="0.25">
      <c r="A517" s="75" t="str">
        <f>IF(ISBLANK(B517),"", MAX(A$1:A516)+1)</f>
        <v/>
      </c>
    </row>
    <row r="518" spans="1:1" x14ac:dyDescent="0.25">
      <c r="A518" s="75" t="str">
        <f>IF(ISBLANK(B518),"", MAX(A$1:A517)+1)</f>
        <v/>
      </c>
    </row>
    <row r="519" spans="1:1" x14ac:dyDescent="0.25">
      <c r="A519" s="75" t="str">
        <f>IF(ISBLANK(B519),"", MAX(A$1:A518)+1)</f>
        <v/>
      </c>
    </row>
    <row r="520" spans="1:1" x14ac:dyDescent="0.25">
      <c r="A520" s="75" t="str">
        <f>IF(ISBLANK(B520),"", MAX(A$1:A519)+1)</f>
        <v/>
      </c>
    </row>
    <row r="521" spans="1:1" x14ac:dyDescent="0.25">
      <c r="A521" s="75" t="str">
        <f>IF(ISBLANK(B521),"", MAX(A$1:A520)+1)</f>
        <v/>
      </c>
    </row>
    <row r="522" spans="1:1" x14ac:dyDescent="0.25">
      <c r="A522" s="75" t="str">
        <f>IF(ISBLANK(B522),"", MAX(A$1:A521)+1)</f>
        <v/>
      </c>
    </row>
    <row r="523" spans="1:1" x14ac:dyDescent="0.25">
      <c r="A523" s="75" t="str">
        <f>IF(ISBLANK(B523),"", MAX(A$1:A522)+1)</f>
        <v/>
      </c>
    </row>
    <row r="524" spans="1:1" x14ac:dyDescent="0.25">
      <c r="A524" s="75" t="str">
        <f>IF(ISBLANK(B524),"", MAX(A$1:A523)+1)</f>
        <v/>
      </c>
    </row>
    <row r="525" spans="1:1" x14ac:dyDescent="0.25">
      <c r="A525" s="75" t="str">
        <f>IF(ISBLANK(B525),"", MAX(A$1:A524)+1)</f>
        <v/>
      </c>
    </row>
    <row r="526" spans="1:1" x14ac:dyDescent="0.25">
      <c r="A526" s="75" t="str">
        <f>IF(ISBLANK(B526),"", MAX(A$1:A525)+1)</f>
        <v/>
      </c>
    </row>
    <row r="527" spans="1:1" x14ac:dyDescent="0.25">
      <c r="A527" s="75" t="str">
        <f>IF(ISBLANK(B527),"", MAX(A$1:A526)+1)</f>
        <v/>
      </c>
    </row>
    <row r="528" spans="1:1" x14ac:dyDescent="0.25">
      <c r="A528" s="75" t="str">
        <f>IF(ISBLANK(B528),"", MAX(A$1:A527)+1)</f>
        <v/>
      </c>
    </row>
    <row r="529" spans="1:1" x14ac:dyDescent="0.25">
      <c r="A529" s="75" t="str">
        <f>IF(ISBLANK(B529),"", MAX(A$1:A528)+1)</f>
        <v/>
      </c>
    </row>
    <row r="530" spans="1:1" x14ac:dyDescent="0.25">
      <c r="A530" s="75" t="str">
        <f>IF(ISBLANK(B530),"", MAX(A$1:A529)+1)</f>
        <v/>
      </c>
    </row>
    <row r="531" spans="1:1" x14ac:dyDescent="0.25">
      <c r="A531" s="75" t="str">
        <f>IF(ISBLANK(B531),"", MAX(A$1:A530)+1)</f>
        <v/>
      </c>
    </row>
    <row r="532" spans="1:1" x14ac:dyDescent="0.25">
      <c r="A532" s="75" t="str">
        <f>IF(ISBLANK(B532),"", MAX(A$1:A531)+1)</f>
        <v/>
      </c>
    </row>
    <row r="533" spans="1:1" x14ac:dyDescent="0.25">
      <c r="A533" s="75" t="str">
        <f>IF(ISBLANK(B533),"", MAX(A$1:A532)+1)</f>
        <v/>
      </c>
    </row>
    <row r="534" spans="1:1" x14ac:dyDescent="0.25">
      <c r="A534" s="75" t="str">
        <f>IF(ISBLANK(B534),"", MAX(A$1:A533)+1)</f>
        <v/>
      </c>
    </row>
    <row r="535" spans="1:1" x14ac:dyDescent="0.25">
      <c r="A535" s="75" t="str">
        <f>IF(ISBLANK(B535),"", MAX(A$1:A534)+1)</f>
        <v/>
      </c>
    </row>
    <row r="536" spans="1:1" x14ac:dyDescent="0.25">
      <c r="A536" s="75" t="str">
        <f>IF(ISBLANK(B536),"", MAX(A$1:A535)+1)</f>
        <v/>
      </c>
    </row>
    <row r="537" spans="1:1" x14ac:dyDescent="0.25">
      <c r="A537" s="75" t="str">
        <f>IF(ISBLANK(B537),"", MAX(A$1:A536)+1)</f>
        <v/>
      </c>
    </row>
    <row r="538" spans="1:1" x14ac:dyDescent="0.25">
      <c r="A538" s="75" t="str">
        <f>IF(ISBLANK(B538),"", MAX(A$1:A537)+1)</f>
        <v/>
      </c>
    </row>
    <row r="539" spans="1:1" x14ac:dyDescent="0.25">
      <c r="A539" s="75" t="str">
        <f>IF(ISBLANK(B539),"", MAX(A$1:A538)+1)</f>
        <v/>
      </c>
    </row>
    <row r="540" spans="1:1" x14ac:dyDescent="0.25">
      <c r="A540" s="75" t="str">
        <f>IF(ISBLANK(B540),"", MAX(A$1:A539)+1)</f>
        <v/>
      </c>
    </row>
    <row r="541" spans="1:1" x14ac:dyDescent="0.25">
      <c r="A541" s="75" t="str">
        <f>IF(ISBLANK(B541),"", MAX(A$1:A540)+1)</f>
        <v/>
      </c>
    </row>
    <row r="542" spans="1:1" x14ac:dyDescent="0.25">
      <c r="A542" s="75" t="str">
        <f>IF(ISBLANK(B542),"", MAX(A$1:A541)+1)</f>
        <v/>
      </c>
    </row>
    <row r="543" spans="1:1" x14ac:dyDescent="0.25">
      <c r="A543" s="75" t="str">
        <f>IF(ISBLANK(B543),"", MAX(A$1:A542)+1)</f>
        <v/>
      </c>
    </row>
    <row r="544" spans="1:1" x14ac:dyDescent="0.25">
      <c r="A544" s="75" t="str">
        <f>IF(ISBLANK(B544),"", MAX(A$1:A543)+1)</f>
        <v/>
      </c>
    </row>
    <row r="545" spans="1:1" x14ac:dyDescent="0.25">
      <c r="A545" s="75" t="str">
        <f>IF(ISBLANK(B545),"", MAX(A$1:A544)+1)</f>
        <v/>
      </c>
    </row>
    <row r="546" spans="1:1" x14ac:dyDescent="0.25">
      <c r="A546" s="75" t="str">
        <f>IF(ISBLANK(B546),"", MAX(A$1:A545)+1)</f>
        <v/>
      </c>
    </row>
    <row r="547" spans="1:1" x14ac:dyDescent="0.25">
      <c r="A547" s="75" t="str">
        <f>IF(ISBLANK(B547),"", MAX(A$1:A546)+1)</f>
        <v/>
      </c>
    </row>
    <row r="548" spans="1:1" x14ac:dyDescent="0.25">
      <c r="A548" s="75" t="str">
        <f>IF(ISBLANK(B548),"", MAX(A$1:A547)+1)</f>
        <v/>
      </c>
    </row>
    <row r="549" spans="1:1" x14ac:dyDescent="0.25">
      <c r="A549" s="75" t="str">
        <f>IF(ISBLANK(B549),"", MAX(A$1:A548)+1)</f>
        <v/>
      </c>
    </row>
    <row r="550" spans="1:1" x14ac:dyDescent="0.25">
      <c r="A550" s="75" t="str">
        <f>IF(ISBLANK(B550),"", MAX(A$1:A549)+1)</f>
        <v/>
      </c>
    </row>
    <row r="551" spans="1:1" x14ac:dyDescent="0.25">
      <c r="A551" s="75" t="str">
        <f>IF(ISBLANK(B551),"", MAX(A$1:A550)+1)</f>
        <v/>
      </c>
    </row>
    <row r="552" spans="1:1" x14ac:dyDescent="0.25">
      <c r="A552" s="75" t="str">
        <f>IF(ISBLANK(B552),"", MAX(A$1:A551)+1)</f>
        <v/>
      </c>
    </row>
    <row r="553" spans="1:1" x14ac:dyDescent="0.25">
      <c r="A553" s="75" t="str">
        <f>IF(ISBLANK(B553),"", MAX(A$1:A552)+1)</f>
        <v/>
      </c>
    </row>
    <row r="554" spans="1:1" x14ac:dyDescent="0.25">
      <c r="A554" s="75" t="str">
        <f>IF(ISBLANK(B554),"", MAX(A$1:A553)+1)</f>
        <v/>
      </c>
    </row>
    <row r="555" spans="1:1" x14ac:dyDescent="0.25">
      <c r="A555" s="75" t="str">
        <f>IF(ISBLANK(B555),"", MAX(A$1:A554)+1)</f>
        <v/>
      </c>
    </row>
    <row r="556" spans="1:1" x14ac:dyDescent="0.25">
      <c r="A556" s="75" t="str">
        <f>IF(ISBLANK(B556),"", MAX(A$1:A555)+1)</f>
        <v/>
      </c>
    </row>
    <row r="557" spans="1:1" x14ac:dyDescent="0.25">
      <c r="A557" s="75" t="str">
        <f>IF(ISBLANK(B557),"", MAX(A$1:A556)+1)</f>
        <v/>
      </c>
    </row>
    <row r="558" spans="1:1" x14ac:dyDescent="0.25">
      <c r="A558" s="75" t="str">
        <f>IF(ISBLANK(B558),"", MAX(A$1:A557)+1)</f>
        <v/>
      </c>
    </row>
    <row r="559" spans="1:1" x14ac:dyDescent="0.25">
      <c r="A559" s="75" t="str">
        <f>IF(ISBLANK(B559),"", MAX(A$1:A558)+1)</f>
        <v/>
      </c>
    </row>
    <row r="560" spans="1:1" x14ac:dyDescent="0.25">
      <c r="A560" s="75" t="str">
        <f>IF(ISBLANK(B560),"", MAX(A$1:A559)+1)</f>
        <v/>
      </c>
    </row>
    <row r="561" spans="1:1" x14ac:dyDescent="0.25">
      <c r="A561" s="75" t="str">
        <f>IF(ISBLANK(B561),"", MAX(A$1:A560)+1)</f>
        <v/>
      </c>
    </row>
    <row r="562" spans="1:1" x14ac:dyDescent="0.25">
      <c r="A562" s="75" t="str">
        <f>IF(ISBLANK(B562),"", MAX(A$1:A561)+1)</f>
        <v/>
      </c>
    </row>
    <row r="563" spans="1:1" x14ac:dyDescent="0.25">
      <c r="A563" s="75" t="str">
        <f>IF(ISBLANK(B563),"", MAX(A$1:A562)+1)</f>
        <v/>
      </c>
    </row>
    <row r="564" spans="1:1" x14ac:dyDescent="0.25">
      <c r="A564" s="75" t="str">
        <f>IF(ISBLANK(B564),"", MAX(A$1:A563)+1)</f>
        <v/>
      </c>
    </row>
    <row r="565" spans="1:1" x14ac:dyDescent="0.25">
      <c r="A565" s="75" t="str">
        <f>IF(ISBLANK(B565),"", MAX(A$1:A564)+1)</f>
        <v/>
      </c>
    </row>
    <row r="566" spans="1:1" x14ac:dyDescent="0.25">
      <c r="A566" s="75" t="str">
        <f>IF(ISBLANK(B566),"", MAX(A$1:A565)+1)</f>
        <v/>
      </c>
    </row>
    <row r="567" spans="1:1" x14ac:dyDescent="0.25">
      <c r="A567" s="75" t="str">
        <f>IF(ISBLANK(B567),"", MAX(A$1:A566)+1)</f>
        <v/>
      </c>
    </row>
    <row r="568" spans="1:1" x14ac:dyDescent="0.25">
      <c r="A568" s="75" t="str">
        <f>IF(ISBLANK(B568),"", MAX(A$1:A567)+1)</f>
        <v/>
      </c>
    </row>
    <row r="569" spans="1:1" x14ac:dyDescent="0.25">
      <c r="A569" s="75" t="str">
        <f>IF(ISBLANK(B569),"", MAX(A$1:A568)+1)</f>
        <v/>
      </c>
    </row>
    <row r="570" spans="1:1" x14ac:dyDescent="0.25">
      <c r="A570" s="75" t="str">
        <f>IF(ISBLANK(B570),"", MAX(A$1:A569)+1)</f>
        <v/>
      </c>
    </row>
    <row r="571" spans="1:1" x14ac:dyDescent="0.25">
      <c r="A571" s="75" t="str">
        <f>IF(ISBLANK(B571),"", MAX(A$1:A570)+1)</f>
        <v/>
      </c>
    </row>
    <row r="572" spans="1:1" x14ac:dyDescent="0.25">
      <c r="A572" s="75" t="str">
        <f>IF(ISBLANK(B572),"", MAX(A$1:A571)+1)</f>
        <v/>
      </c>
    </row>
    <row r="573" spans="1:1" x14ac:dyDescent="0.25">
      <c r="A573" s="75" t="str">
        <f>IF(ISBLANK(B573),"", MAX(A$1:A572)+1)</f>
        <v/>
      </c>
    </row>
    <row r="574" spans="1:1" x14ac:dyDescent="0.25">
      <c r="A574" s="75" t="str">
        <f>IF(ISBLANK(B574),"", MAX(A$1:A573)+1)</f>
        <v/>
      </c>
    </row>
    <row r="575" spans="1:1" x14ac:dyDescent="0.25">
      <c r="A575" s="75" t="str">
        <f>IF(ISBLANK(B575),"", MAX(A$1:A574)+1)</f>
        <v/>
      </c>
    </row>
    <row r="576" spans="1:1" x14ac:dyDescent="0.25">
      <c r="A576" s="75" t="str">
        <f>IF(ISBLANK(B576),"", MAX(A$1:A575)+1)</f>
        <v/>
      </c>
    </row>
    <row r="577" spans="1:1" x14ac:dyDescent="0.25">
      <c r="A577" s="75" t="str">
        <f>IF(ISBLANK(B577),"", MAX(A$1:A576)+1)</f>
        <v/>
      </c>
    </row>
    <row r="578" spans="1:1" x14ac:dyDescent="0.25">
      <c r="A578" s="75" t="str">
        <f>IF(ISBLANK(B578),"", MAX(A$1:A577)+1)</f>
        <v/>
      </c>
    </row>
    <row r="579" spans="1:1" x14ac:dyDescent="0.25">
      <c r="A579" s="75" t="str">
        <f>IF(ISBLANK(B579),"", MAX(A$1:A578)+1)</f>
        <v/>
      </c>
    </row>
    <row r="580" spans="1:1" x14ac:dyDescent="0.25">
      <c r="A580" s="75" t="str">
        <f>IF(ISBLANK(B580),"", MAX(A$1:A579)+1)</f>
        <v/>
      </c>
    </row>
    <row r="581" spans="1:1" x14ac:dyDescent="0.25">
      <c r="A581" s="75" t="str">
        <f>IF(ISBLANK(B581),"", MAX(A$1:A580)+1)</f>
        <v/>
      </c>
    </row>
    <row r="582" spans="1:1" x14ac:dyDescent="0.25">
      <c r="A582" s="75" t="str">
        <f>IF(ISBLANK(B582),"", MAX(A$1:A581)+1)</f>
        <v/>
      </c>
    </row>
    <row r="583" spans="1:1" x14ac:dyDescent="0.25">
      <c r="A583" s="75" t="str">
        <f>IF(ISBLANK(B583),"", MAX(A$1:A582)+1)</f>
        <v/>
      </c>
    </row>
    <row r="584" spans="1:1" x14ac:dyDescent="0.25">
      <c r="A584" s="75" t="str">
        <f>IF(ISBLANK(B584),"", MAX(A$1:A583)+1)</f>
        <v/>
      </c>
    </row>
    <row r="585" spans="1:1" x14ac:dyDescent="0.25">
      <c r="A585" s="75" t="str">
        <f>IF(ISBLANK(B585),"", MAX(A$1:A584)+1)</f>
        <v/>
      </c>
    </row>
    <row r="586" spans="1:1" x14ac:dyDescent="0.25">
      <c r="A586" s="75" t="str">
        <f>IF(ISBLANK(B586),"", MAX(A$1:A585)+1)</f>
        <v/>
      </c>
    </row>
    <row r="587" spans="1:1" x14ac:dyDescent="0.25">
      <c r="A587" s="75" t="str">
        <f>IF(ISBLANK(B587),"", MAX(A$1:A586)+1)</f>
        <v/>
      </c>
    </row>
    <row r="588" spans="1:1" x14ac:dyDescent="0.25">
      <c r="A588" s="75" t="str">
        <f>IF(ISBLANK(B588),"", MAX(A$1:A587)+1)</f>
        <v/>
      </c>
    </row>
    <row r="589" spans="1:1" x14ac:dyDescent="0.25">
      <c r="A589" s="75" t="str">
        <f>IF(ISBLANK(B589),"", MAX(A$1:A588)+1)</f>
        <v/>
      </c>
    </row>
    <row r="590" spans="1:1" x14ac:dyDescent="0.25">
      <c r="A590" s="75" t="str">
        <f>IF(ISBLANK(B590),"", MAX(A$1:A589)+1)</f>
        <v/>
      </c>
    </row>
    <row r="591" spans="1:1" x14ac:dyDescent="0.25">
      <c r="A591" s="75" t="str">
        <f>IF(ISBLANK(B591),"", MAX(A$1:A590)+1)</f>
        <v/>
      </c>
    </row>
    <row r="592" spans="1:1" x14ac:dyDescent="0.25">
      <c r="A592" s="75" t="str">
        <f>IF(ISBLANK(B592),"", MAX(A$1:A591)+1)</f>
        <v/>
      </c>
    </row>
    <row r="593" spans="1:1" x14ac:dyDescent="0.25">
      <c r="A593" s="75" t="str">
        <f>IF(ISBLANK(B593),"", MAX(A$1:A592)+1)</f>
        <v/>
      </c>
    </row>
    <row r="594" spans="1:1" x14ac:dyDescent="0.25">
      <c r="A594" s="75" t="str">
        <f>IF(ISBLANK(B594),"", MAX(A$1:A593)+1)</f>
        <v/>
      </c>
    </row>
    <row r="595" spans="1:1" x14ac:dyDescent="0.25">
      <c r="A595" s="75" t="str">
        <f>IF(ISBLANK(B595),"", MAX(A$1:A594)+1)</f>
        <v/>
      </c>
    </row>
    <row r="596" spans="1:1" x14ac:dyDescent="0.25">
      <c r="A596" s="75" t="str">
        <f>IF(ISBLANK(B596),"", MAX(A$1:A595)+1)</f>
        <v/>
      </c>
    </row>
    <row r="597" spans="1:1" x14ac:dyDescent="0.25">
      <c r="A597" s="75" t="str">
        <f>IF(ISBLANK(B597),"", MAX(A$1:A596)+1)</f>
        <v/>
      </c>
    </row>
    <row r="598" spans="1:1" x14ac:dyDescent="0.25">
      <c r="A598" s="75" t="str">
        <f>IF(ISBLANK(B598),"", MAX(A$1:A597)+1)</f>
        <v/>
      </c>
    </row>
    <row r="599" spans="1:1" x14ac:dyDescent="0.25">
      <c r="A599" s="75" t="str">
        <f>IF(ISBLANK(B599),"", MAX(A$1:A598)+1)</f>
        <v/>
      </c>
    </row>
    <row r="600" spans="1:1" x14ac:dyDescent="0.25">
      <c r="A600" s="75" t="str">
        <f>IF(ISBLANK(B600),"", MAX(A$1:A599)+1)</f>
        <v/>
      </c>
    </row>
    <row r="601" spans="1:1" x14ac:dyDescent="0.25">
      <c r="A601" s="75" t="str">
        <f>IF(ISBLANK(B601),"", MAX(A$1:A600)+1)</f>
        <v/>
      </c>
    </row>
    <row r="602" spans="1:1" x14ac:dyDescent="0.25">
      <c r="A602" s="75" t="str">
        <f>IF(ISBLANK(B602),"", MAX(A$1:A601)+1)</f>
        <v/>
      </c>
    </row>
    <row r="603" spans="1:1" x14ac:dyDescent="0.25">
      <c r="A603" s="75" t="str">
        <f>IF(ISBLANK(B603),"", MAX(A$1:A602)+1)</f>
        <v/>
      </c>
    </row>
    <row r="604" spans="1:1" x14ac:dyDescent="0.25">
      <c r="A604" s="75" t="str">
        <f>IF(ISBLANK(B604),"", MAX(A$1:A603)+1)</f>
        <v/>
      </c>
    </row>
    <row r="605" spans="1:1" x14ac:dyDescent="0.25">
      <c r="A605" s="75" t="str">
        <f>IF(ISBLANK(B605),"", MAX(A$1:A604)+1)</f>
        <v/>
      </c>
    </row>
    <row r="606" spans="1:1" x14ac:dyDescent="0.25">
      <c r="A606" s="75" t="str">
        <f>IF(ISBLANK(B606),"", MAX(A$1:A605)+1)</f>
        <v/>
      </c>
    </row>
    <row r="607" spans="1:1" x14ac:dyDescent="0.25">
      <c r="A607" s="75" t="str">
        <f>IF(ISBLANK(B607),"", MAX(A$1:A606)+1)</f>
        <v/>
      </c>
    </row>
    <row r="608" spans="1:1" x14ac:dyDescent="0.25">
      <c r="A608" s="75" t="str">
        <f>IF(ISBLANK(B608),"", MAX(A$1:A607)+1)</f>
        <v/>
      </c>
    </row>
    <row r="609" spans="1:1" x14ac:dyDescent="0.25">
      <c r="A609" s="75" t="str">
        <f>IF(ISBLANK(B609),"", MAX(A$1:A608)+1)</f>
        <v/>
      </c>
    </row>
    <row r="610" spans="1:1" x14ac:dyDescent="0.25">
      <c r="A610" s="75" t="str">
        <f>IF(ISBLANK(B610),"", MAX(A$1:A609)+1)</f>
        <v/>
      </c>
    </row>
    <row r="611" spans="1:1" x14ac:dyDescent="0.25">
      <c r="A611" s="75" t="str">
        <f>IF(ISBLANK(B611),"", MAX(A$1:A610)+1)</f>
        <v/>
      </c>
    </row>
    <row r="612" spans="1:1" x14ac:dyDescent="0.25">
      <c r="A612" s="75" t="str">
        <f>IF(ISBLANK(B612),"", MAX(A$1:A611)+1)</f>
        <v/>
      </c>
    </row>
    <row r="613" spans="1:1" x14ac:dyDescent="0.25">
      <c r="A613" s="75" t="str">
        <f>IF(ISBLANK(B613),"", MAX(A$1:A612)+1)</f>
        <v/>
      </c>
    </row>
    <row r="614" spans="1:1" x14ac:dyDescent="0.25">
      <c r="A614" s="75" t="str">
        <f>IF(ISBLANK(B614),"", MAX(A$1:A613)+1)</f>
        <v/>
      </c>
    </row>
    <row r="615" spans="1:1" x14ac:dyDescent="0.25">
      <c r="A615" s="75" t="str">
        <f>IF(ISBLANK(B615),"", MAX(A$1:A614)+1)</f>
        <v/>
      </c>
    </row>
    <row r="616" spans="1:1" x14ac:dyDescent="0.25">
      <c r="A616" s="75" t="str">
        <f>IF(ISBLANK(B616),"", MAX(A$1:A615)+1)</f>
        <v/>
      </c>
    </row>
    <row r="617" spans="1:1" x14ac:dyDescent="0.25">
      <c r="A617" s="75" t="str">
        <f>IF(ISBLANK(B617),"", MAX(A$1:A616)+1)</f>
        <v/>
      </c>
    </row>
    <row r="618" spans="1:1" x14ac:dyDescent="0.25">
      <c r="A618" s="75" t="str">
        <f>IF(ISBLANK(B618),"", MAX(A$1:A617)+1)</f>
        <v/>
      </c>
    </row>
    <row r="619" spans="1:1" x14ac:dyDescent="0.25">
      <c r="A619" s="75" t="str">
        <f>IF(ISBLANK(B619),"", MAX(A$1:A618)+1)</f>
        <v/>
      </c>
    </row>
    <row r="620" spans="1:1" x14ac:dyDescent="0.25">
      <c r="A620" s="75" t="str">
        <f>IF(ISBLANK(B620),"", MAX(A$1:A619)+1)</f>
        <v/>
      </c>
    </row>
    <row r="621" spans="1:1" x14ac:dyDescent="0.25">
      <c r="A621" s="75" t="str">
        <f>IF(ISBLANK(B621),"", MAX(A$1:A620)+1)</f>
        <v/>
      </c>
    </row>
    <row r="622" spans="1:1" x14ac:dyDescent="0.25">
      <c r="A622" s="75" t="str">
        <f>IF(ISBLANK(B622),"", MAX(A$1:A621)+1)</f>
        <v/>
      </c>
    </row>
    <row r="623" spans="1:1" x14ac:dyDescent="0.25">
      <c r="A623" s="75" t="str">
        <f>IF(ISBLANK(B623),"", MAX(A$1:A622)+1)</f>
        <v/>
      </c>
    </row>
    <row r="624" spans="1:1" x14ac:dyDescent="0.25">
      <c r="A624" s="75" t="str">
        <f>IF(ISBLANK(B624),"", MAX(A$1:A623)+1)</f>
        <v/>
      </c>
    </row>
    <row r="625" spans="1:1" x14ac:dyDescent="0.25">
      <c r="A625" s="75" t="str">
        <f>IF(ISBLANK(B625),"", MAX(A$1:A624)+1)</f>
        <v/>
      </c>
    </row>
    <row r="626" spans="1:1" x14ac:dyDescent="0.25">
      <c r="A626" s="75" t="str">
        <f>IF(ISBLANK(B626),"", MAX(A$1:A625)+1)</f>
        <v/>
      </c>
    </row>
    <row r="627" spans="1:1" x14ac:dyDescent="0.25">
      <c r="A627" s="75" t="str">
        <f>IF(ISBLANK(B627),"", MAX(A$1:A626)+1)</f>
        <v/>
      </c>
    </row>
    <row r="628" spans="1:1" x14ac:dyDescent="0.25">
      <c r="A628" s="75" t="str">
        <f>IF(ISBLANK(B628),"", MAX(A$1:A627)+1)</f>
        <v/>
      </c>
    </row>
    <row r="629" spans="1:1" x14ac:dyDescent="0.25">
      <c r="A629" s="75" t="str">
        <f>IF(ISBLANK(B629),"", MAX(A$1:A628)+1)</f>
        <v/>
      </c>
    </row>
    <row r="630" spans="1:1" x14ac:dyDescent="0.25">
      <c r="A630" s="75" t="str">
        <f>IF(ISBLANK(B630),"", MAX(A$1:A629)+1)</f>
        <v/>
      </c>
    </row>
    <row r="631" spans="1:1" x14ac:dyDescent="0.25">
      <c r="A631" s="75" t="str">
        <f>IF(ISBLANK(B631),"", MAX(A$1:A630)+1)</f>
        <v/>
      </c>
    </row>
    <row r="632" spans="1:1" x14ac:dyDescent="0.25">
      <c r="A632" s="75" t="str">
        <f>IF(ISBLANK(B632),"", MAX(A$1:A631)+1)</f>
        <v/>
      </c>
    </row>
    <row r="633" spans="1:1" x14ac:dyDescent="0.25">
      <c r="A633" s="75" t="str">
        <f>IF(ISBLANK(B633),"", MAX(A$1:A632)+1)</f>
        <v/>
      </c>
    </row>
    <row r="634" spans="1:1" x14ac:dyDescent="0.25">
      <c r="A634" s="75" t="str">
        <f>IF(ISBLANK(B634),"", MAX(A$1:A633)+1)</f>
        <v/>
      </c>
    </row>
    <row r="635" spans="1:1" x14ac:dyDescent="0.25">
      <c r="A635" s="75" t="str">
        <f>IF(ISBLANK(B635),"", MAX(A$1:A634)+1)</f>
        <v/>
      </c>
    </row>
    <row r="636" spans="1:1" x14ac:dyDescent="0.25">
      <c r="A636" s="75" t="str">
        <f>IF(ISBLANK(B636),"", MAX(A$1:A635)+1)</f>
        <v/>
      </c>
    </row>
    <row r="637" spans="1:1" x14ac:dyDescent="0.25">
      <c r="A637" s="75" t="str">
        <f>IF(ISBLANK(B637),"", MAX(A$1:A636)+1)</f>
        <v/>
      </c>
    </row>
    <row r="638" spans="1:1" x14ac:dyDescent="0.25">
      <c r="A638" s="75" t="str">
        <f>IF(ISBLANK(B638),"", MAX(A$1:A637)+1)</f>
        <v/>
      </c>
    </row>
    <row r="639" spans="1:1" x14ac:dyDescent="0.25">
      <c r="A639" s="75" t="str">
        <f>IF(ISBLANK(B639),"", MAX(A$1:A638)+1)</f>
        <v/>
      </c>
    </row>
    <row r="640" spans="1:1" x14ac:dyDescent="0.25">
      <c r="A640" s="75" t="str">
        <f>IF(ISBLANK(B640),"", MAX(A$1:A639)+1)</f>
        <v/>
      </c>
    </row>
    <row r="641" spans="1:1" x14ac:dyDescent="0.25">
      <c r="A641" s="75" t="str">
        <f>IF(ISBLANK(B641),"", MAX(A$1:A640)+1)</f>
        <v/>
      </c>
    </row>
    <row r="642" spans="1:1" x14ac:dyDescent="0.25">
      <c r="A642" s="75" t="str">
        <f>IF(ISBLANK(B642),"", MAX(A$1:A641)+1)</f>
        <v/>
      </c>
    </row>
    <row r="643" spans="1:1" x14ac:dyDescent="0.25">
      <c r="A643" s="75" t="str">
        <f>IF(ISBLANK(B643),"", MAX(A$1:A642)+1)</f>
        <v/>
      </c>
    </row>
    <row r="644" spans="1:1" x14ac:dyDescent="0.25">
      <c r="A644" s="75" t="str">
        <f>IF(ISBLANK(B644),"", MAX(A$1:A643)+1)</f>
        <v/>
      </c>
    </row>
    <row r="645" spans="1:1" x14ac:dyDescent="0.25">
      <c r="A645" s="75" t="str">
        <f>IF(ISBLANK(B645),"", MAX(A$1:A644)+1)</f>
        <v/>
      </c>
    </row>
    <row r="646" spans="1:1" x14ac:dyDescent="0.25">
      <c r="A646" s="75" t="str">
        <f>IF(ISBLANK(B646),"", MAX(A$1:A645)+1)</f>
        <v/>
      </c>
    </row>
    <row r="647" spans="1:1" x14ac:dyDescent="0.25">
      <c r="A647" s="75" t="str">
        <f>IF(ISBLANK(B647),"", MAX(A$1:A646)+1)</f>
        <v/>
      </c>
    </row>
    <row r="648" spans="1:1" x14ac:dyDescent="0.25">
      <c r="A648" s="75" t="str">
        <f>IF(ISBLANK(B648),"", MAX(A$1:A647)+1)</f>
        <v/>
      </c>
    </row>
    <row r="649" spans="1:1" x14ac:dyDescent="0.25">
      <c r="A649" s="75" t="str">
        <f>IF(ISBLANK(B649),"", MAX(A$1:A648)+1)</f>
        <v/>
      </c>
    </row>
    <row r="650" spans="1:1" x14ac:dyDescent="0.25">
      <c r="A650" s="75" t="str">
        <f>IF(ISBLANK(B650),"", MAX(A$1:A649)+1)</f>
        <v/>
      </c>
    </row>
    <row r="651" spans="1:1" x14ac:dyDescent="0.25">
      <c r="A651" s="75" t="str">
        <f>IF(ISBLANK(B651),"", MAX(A$1:A650)+1)</f>
        <v/>
      </c>
    </row>
    <row r="652" spans="1:1" x14ac:dyDescent="0.25">
      <c r="A652" s="75" t="str">
        <f>IF(ISBLANK(B652),"", MAX(A$1:A651)+1)</f>
        <v/>
      </c>
    </row>
    <row r="653" spans="1:1" x14ac:dyDescent="0.25">
      <c r="A653" s="75" t="str">
        <f>IF(ISBLANK(B653),"", MAX(A$1:A652)+1)</f>
        <v/>
      </c>
    </row>
    <row r="654" spans="1:1" x14ac:dyDescent="0.25">
      <c r="A654" s="75" t="str">
        <f>IF(ISBLANK(B654),"", MAX(A$1:A653)+1)</f>
        <v/>
      </c>
    </row>
    <row r="655" spans="1:1" x14ac:dyDescent="0.25">
      <c r="A655" s="75" t="str">
        <f>IF(ISBLANK(B655),"", MAX(A$1:A654)+1)</f>
        <v/>
      </c>
    </row>
    <row r="656" spans="1:1" x14ac:dyDescent="0.25">
      <c r="A656" s="75" t="str">
        <f>IF(ISBLANK(B656),"", MAX(A$1:A655)+1)</f>
        <v/>
      </c>
    </row>
    <row r="657" spans="1:1" x14ac:dyDescent="0.25">
      <c r="A657" s="75" t="str">
        <f>IF(ISBLANK(B657),"", MAX(A$1:A656)+1)</f>
        <v/>
      </c>
    </row>
    <row r="658" spans="1:1" x14ac:dyDescent="0.25">
      <c r="A658" s="75" t="str">
        <f>IF(ISBLANK(B658),"", MAX(A$1:A657)+1)</f>
        <v/>
      </c>
    </row>
    <row r="659" spans="1:1" x14ac:dyDescent="0.25">
      <c r="A659" s="75" t="str">
        <f>IF(ISBLANK(B659),"", MAX(A$1:A658)+1)</f>
        <v/>
      </c>
    </row>
    <row r="660" spans="1:1" x14ac:dyDescent="0.25">
      <c r="A660" s="75" t="str">
        <f>IF(ISBLANK(B660),"", MAX(A$1:A659)+1)</f>
        <v/>
      </c>
    </row>
    <row r="661" spans="1:1" x14ac:dyDescent="0.25">
      <c r="A661" s="75" t="str">
        <f>IF(ISBLANK(B661),"", MAX(A$1:A660)+1)</f>
        <v/>
      </c>
    </row>
    <row r="662" spans="1:1" x14ac:dyDescent="0.25">
      <c r="A662" s="75" t="str">
        <f>IF(ISBLANK(B662),"", MAX(A$1:A661)+1)</f>
        <v/>
      </c>
    </row>
    <row r="663" spans="1:1" x14ac:dyDescent="0.25">
      <c r="A663" s="75" t="str">
        <f>IF(ISBLANK(B663),"", MAX(A$1:A662)+1)</f>
        <v/>
      </c>
    </row>
    <row r="664" spans="1:1" x14ac:dyDescent="0.25">
      <c r="A664" s="75" t="str">
        <f>IF(ISBLANK(B664),"", MAX(A$1:A663)+1)</f>
        <v/>
      </c>
    </row>
    <row r="665" spans="1:1" x14ac:dyDescent="0.25">
      <c r="A665" s="75" t="str">
        <f>IF(ISBLANK(B665),"", MAX(A$1:A664)+1)</f>
        <v/>
      </c>
    </row>
    <row r="666" spans="1:1" x14ac:dyDescent="0.25">
      <c r="A666" s="75" t="str">
        <f>IF(ISBLANK(B666),"", MAX(A$1:A665)+1)</f>
        <v/>
      </c>
    </row>
    <row r="667" spans="1:1" x14ac:dyDescent="0.25">
      <c r="A667" s="75" t="str">
        <f>IF(ISBLANK(B667),"", MAX(A$1:A666)+1)</f>
        <v/>
      </c>
    </row>
    <row r="668" spans="1:1" x14ac:dyDescent="0.25">
      <c r="A668" s="75" t="str">
        <f>IF(ISBLANK(B668),"", MAX(A$1:A667)+1)</f>
        <v/>
      </c>
    </row>
    <row r="669" spans="1:1" x14ac:dyDescent="0.25">
      <c r="A669" s="75" t="str">
        <f>IF(ISBLANK(B669),"", MAX(A$1:A668)+1)</f>
        <v/>
      </c>
    </row>
    <row r="670" spans="1:1" x14ac:dyDescent="0.25">
      <c r="A670" s="75" t="str">
        <f>IF(ISBLANK(B670),"", MAX(A$1:A669)+1)</f>
        <v/>
      </c>
    </row>
    <row r="671" spans="1:1" x14ac:dyDescent="0.25">
      <c r="A671" s="75" t="str">
        <f>IF(ISBLANK(B671),"", MAX(A$1:A670)+1)</f>
        <v/>
      </c>
    </row>
    <row r="672" spans="1:1" x14ac:dyDescent="0.25">
      <c r="A672" s="75" t="str">
        <f>IF(ISBLANK(B672),"", MAX(A$1:A671)+1)</f>
        <v/>
      </c>
    </row>
    <row r="673" spans="1:1" x14ac:dyDescent="0.25">
      <c r="A673" s="75" t="str">
        <f>IF(ISBLANK(B673),"", MAX(A$1:A672)+1)</f>
        <v/>
      </c>
    </row>
    <row r="674" spans="1:1" x14ac:dyDescent="0.25">
      <c r="A674" s="75" t="str">
        <f>IF(ISBLANK(B674),"", MAX(A$1:A673)+1)</f>
        <v/>
      </c>
    </row>
    <row r="675" spans="1:1" x14ac:dyDescent="0.25">
      <c r="A675" s="75" t="str">
        <f>IF(ISBLANK(B675),"", MAX(A$1:A674)+1)</f>
        <v/>
      </c>
    </row>
    <row r="676" spans="1:1" x14ac:dyDescent="0.25">
      <c r="A676" s="75" t="str">
        <f>IF(ISBLANK(B676),"", MAX(A$1:A675)+1)</f>
        <v/>
      </c>
    </row>
    <row r="677" spans="1:1" x14ac:dyDescent="0.25">
      <c r="A677" s="75" t="str">
        <f>IF(ISBLANK(B677),"", MAX(A$1:A676)+1)</f>
        <v/>
      </c>
    </row>
    <row r="678" spans="1:1" x14ac:dyDescent="0.25">
      <c r="A678" s="75" t="str">
        <f>IF(ISBLANK(B678),"", MAX(A$1:A677)+1)</f>
        <v/>
      </c>
    </row>
    <row r="679" spans="1:1" x14ac:dyDescent="0.25">
      <c r="A679" s="75" t="str">
        <f>IF(ISBLANK(B679),"", MAX(A$1:A678)+1)</f>
        <v/>
      </c>
    </row>
    <row r="680" spans="1:1" x14ac:dyDescent="0.25">
      <c r="A680" s="75" t="str">
        <f>IF(ISBLANK(B680),"", MAX(A$1:A679)+1)</f>
        <v/>
      </c>
    </row>
    <row r="681" spans="1:1" x14ac:dyDescent="0.25">
      <c r="A681" s="75" t="str">
        <f>IF(ISBLANK(B681),"", MAX(A$1:A680)+1)</f>
        <v/>
      </c>
    </row>
    <row r="682" spans="1:1" x14ac:dyDescent="0.25">
      <c r="A682" s="75" t="str">
        <f>IF(ISBLANK(B682),"", MAX(A$1:A681)+1)</f>
        <v/>
      </c>
    </row>
    <row r="683" spans="1:1" x14ac:dyDescent="0.25">
      <c r="A683" s="75" t="str">
        <f>IF(ISBLANK(B683),"", MAX(A$1:A682)+1)</f>
        <v/>
      </c>
    </row>
    <row r="684" spans="1:1" x14ac:dyDescent="0.25">
      <c r="A684" s="75" t="str">
        <f>IF(ISBLANK(B684),"", MAX(A$1:A683)+1)</f>
        <v/>
      </c>
    </row>
    <row r="685" spans="1:1" x14ac:dyDescent="0.25">
      <c r="A685" s="75" t="str">
        <f>IF(ISBLANK(B685),"", MAX(A$1:A684)+1)</f>
        <v/>
      </c>
    </row>
    <row r="686" spans="1:1" x14ac:dyDescent="0.25">
      <c r="A686" s="75" t="str">
        <f>IF(ISBLANK(B686),"", MAX(A$1:A685)+1)</f>
        <v/>
      </c>
    </row>
    <row r="687" spans="1:1" x14ac:dyDescent="0.25">
      <c r="A687" s="75" t="str">
        <f>IF(ISBLANK(B687),"", MAX(A$1:A686)+1)</f>
        <v/>
      </c>
    </row>
    <row r="688" spans="1:1" x14ac:dyDescent="0.25">
      <c r="A688" s="75" t="str">
        <f>IF(ISBLANK(B688),"", MAX(A$1:A687)+1)</f>
        <v/>
      </c>
    </row>
    <row r="689" spans="1:1" x14ac:dyDescent="0.25">
      <c r="A689" s="75" t="str">
        <f>IF(ISBLANK(B689),"", MAX(A$1:A688)+1)</f>
        <v/>
      </c>
    </row>
    <row r="690" spans="1:1" x14ac:dyDescent="0.25">
      <c r="A690" s="75" t="str">
        <f>IF(ISBLANK(B690),"", MAX(A$1:A689)+1)</f>
        <v/>
      </c>
    </row>
    <row r="691" spans="1:1" x14ac:dyDescent="0.25">
      <c r="A691" s="75" t="str">
        <f>IF(ISBLANK(B691),"", MAX(A$1:A690)+1)</f>
        <v/>
      </c>
    </row>
    <row r="692" spans="1:1" x14ac:dyDescent="0.25">
      <c r="A692" s="75" t="str">
        <f>IF(ISBLANK(B692),"", MAX(A$1:A691)+1)</f>
        <v/>
      </c>
    </row>
    <row r="693" spans="1:1" x14ac:dyDescent="0.25">
      <c r="A693" s="75" t="str">
        <f>IF(ISBLANK(B693),"", MAX(A$1:A692)+1)</f>
        <v/>
      </c>
    </row>
    <row r="694" spans="1:1" x14ac:dyDescent="0.25">
      <c r="A694" s="75" t="str">
        <f>IF(ISBLANK(B694),"", MAX(A$1:A693)+1)</f>
        <v/>
      </c>
    </row>
    <row r="695" spans="1:1" x14ac:dyDescent="0.25">
      <c r="A695" s="75" t="str">
        <f>IF(ISBLANK(B695),"", MAX(A$1:A694)+1)</f>
        <v/>
      </c>
    </row>
    <row r="696" spans="1:1" x14ac:dyDescent="0.25">
      <c r="A696" s="75" t="str">
        <f>IF(ISBLANK(B696),"", MAX(A$1:A695)+1)</f>
        <v/>
      </c>
    </row>
    <row r="697" spans="1:1" x14ac:dyDescent="0.25">
      <c r="A697" s="75" t="str">
        <f>IF(ISBLANK(B697),"", MAX(A$1:A696)+1)</f>
        <v/>
      </c>
    </row>
    <row r="698" spans="1:1" x14ac:dyDescent="0.25">
      <c r="A698" s="75" t="str">
        <f>IF(ISBLANK(B698),"", MAX(A$1:A697)+1)</f>
        <v/>
      </c>
    </row>
    <row r="699" spans="1:1" x14ac:dyDescent="0.25">
      <c r="A699" s="75" t="str">
        <f>IF(ISBLANK(B699),"", MAX(A$1:A698)+1)</f>
        <v/>
      </c>
    </row>
    <row r="700" spans="1:1" x14ac:dyDescent="0.25">
      <c r="A700" s="75" t="str">
        <f>IF(ISBLANK(B700),"", MAX(A$1:A699)+1)</f>
        <v/>
      </c>
    </row>
    <row r="701" spans="1:1" x14ac:dyDescent="0.25">
      <c r="A701" s="75" t="str">
        <f>IF(ISBLANK(B701),"", MAX(A$1:A700)+1)</f>
        <v/>
      </c>
    </row>
    <row r="702" spans="1:1" x14ac:dyDescent="0.25">
      <c r="A702" s="75" t="str">
        <f>IF(ISBLANK(B702),"", MAX(A$1:A701)+1)</f>
        <v/>
      </c>
    </row>
    <row r="703" spans="1:1" x14ac:dyDescent="0.25">
      <c r="A703" s="75" t="str">
        <f>IF(ISBLANK(B703),"", MAX(A$1:A702)+1)</f>
        <v/>
      </c>
    </row>
    <row r="704" spans="1:1" x14ac:dyDescent="0.25">
      <c r="A704" s="75" t="str">
        <f>IF(ISBLANK(B704),"", MAX(A$1:A703)+1)</f>
        <v/>
      </c>
    </row>
    <row r="705" spans="1:1" x14ac:dyDescent="0.25">
      <c r="A705" s="75" t="str">
        <f>IF(ISBLANK(B705),"", MAX(A$1:A704)+1)</f>
        <v/>
      </c>
    </row>
    <row r="706" spans="1:1" x14ac:dyDescent="0.25">
      <c r="A706" s="75" t="str">
        <f>IF(ISBLANK(B706),"", MAX(A$1:A705)+1)</f>
        <v/>
      </c>
    </row>
    <row r="707" spans="1:1" x14ac:dyDescent="0.25">
      <c r="A707" s="75" t="str">
        <f>IF(ISBLANK(B707),"", MAX(A$1:A706)+1)</f>
        <v/>
      </c>
    </row>
    <row r="708" spans="1:1" x14ac:dyDescent="0.25">
      <c r="A708" s="75" t="str">
        <f>IF(ISBLANK(B708),"", MAX(A$1:A707)+1)</f>
        <v/>
      </c>
    </row>
    <row r="709" spans="1:1" x14ac:dyDescent="0.25">
      <c r="A709" s="75" t="str">
        <f>IF(ISBLANK(B709),"", MAX(A$1:A708)+1)</f>
        <v/>
      </c>
    </row>
    <row r="710" spans="1:1" x14ac:dyDescent="0.25">
      <c r="A710" s="75" t="str">
        <f>IF(ISBLANK(B710),"", MAX(A$1:A709)+1)</f>
        <v/>
      </c>
    </row>
    <row r="711" spans="1:1" x14ac:dyDescent="0.25">
      <c r="A711" s="75" t="str">
        <f>IF(ISBLANK(B711),"", MAX(A$1:A710)+1)</f>
        <v/>
      </c>
    </row>
    <row r="712" spans="1:1" x14ac:dyDescent="0.25">
      <c r="A712" s="75" t="str">
        <f>IF(ISBLANK(B712),"", MAX(A$1:A711)+1)</f>
        <v/>
      </c>
    </row>
    <row r="713" spans="1:1" x14ac:dyDescent="0.25">
      <c r="A713" s="75" t="str">
        <f>IF(ISBLANK(B713),"", MAX(A$1:A712)+1)</f>
        <v/>
      </c>
    </row>
    <row r="714" spans="1:1" x14ac:dyDescent="0.25">
      <c r="A714" s="75" t="str">
        <f>IF(ISBLANK(B714),"", MAX(A$1:A713)+1)</f>
        <v/>
      </c>
    </row>
    <row r="715" spans="1:1" x14ac:dyDescent="0.25">
      <c r="A715" s="75" t="str">
        <f>IF(ISBLANK(B715),"", MAX(A$1:A714)+1)</f>
        <v/>
      </c>
    </row>
    <row r="716" spans="1:1" x14ac:dyDescent="0.25">
      <c r="A716" s="75" t="str">
        <f>IF(ISBLANK(B716),"", MAX(A$1:A715)+1)</f>
        <v/>
      </c>
    </row>
    <row r="717" spans="1:1" x14ac:dyDescent="0.25">
      <c r="A717" s="75" t="str">
        <f>IF(ISBLANK(B717),"", MAX(A$1:A716)+1)</f>
        <v/>
      </c>
    </row>
    <row r="718" spans="1:1" x14ac:dyDescent="0.25">
      <c r="A718" s="75" t="str">
        <f>IF(ISBLANK(B718),"", MAX(A$1:A717)+1)</f>
        <v/>
      </c>
    </row>
    <row r="719" spans="1:1" x14ac:dyDescent="0.25">
      <c r="A719" s="75" t="str">
        <f>IF(ISBLANK(B719),"", MAX(A$1:A718)+1)</f>
        <v/>
      </c>
    </row>
    <row r="720" spans="1:1" x14ac:dyDescent="0.25">
      <c r="A720" s="75" t="str">
        <f>IF(ISBLANK(B720),"", MAX(A$1:A719)+1)</f>
        <v/>
      </c>
    </row>
    <row r="721" spans="1:1" x14ac:dyDescent="0.25">
      <c r="A721" s="75" t="str">
        <f>IF(ISBLANK(B721),"", MAX(A$1:A720)+1)</f>
        <v/>
      </c>
    </row>
    <row r="722" spans="1:1" x14ac:dyDescent="0.25">
      <c r="A722" s="75" t="str">
        <f>IF(ISBLANK(B722),"", MAX(A$1:A721)+1)</f>
        <v/>
      </c>
    </row>
    <row r="723" spans="1:1" x14ac:dyDescent="0.25">
      <c r="A723" s="75" t="str">
        <f>IF(ISBLANK(B723),"", MAX(A$1:A722)+1)</f>
        <v/>
      </c>
    </row>
    <row r="724" spans="1:1" x14ac:dyDescent="0.25">
      <c r="A724" s="75" t="str">
        <f>IF(ISBLANK(B724),"", MAX(A$1:A723)+1)</f>
        <v/>
      </c>
    </row>
    <row r="725" spans="1:1" x14ac:dyDescent="0.25">
      <c r="A725" s="75" t="str">
        <f>IF(ISBLANK(B725),"", MAX(A$1:A724)+1)</f>
        <v/>
      </c>
    </row>
    <row r="726" spans="1:1" x14ac:dyDescent="0.25">
      <c r="A726" s="75" t="str">
        <f>IF(ISBLANK(B726),"", MAX(A$1:A725)+1)</f>
        <v/>
      </c>
    </row>
    <row r="727" spans="1:1" x14ac:dyDescent="0.25">
      <c r="A727" s="75" t="str">
        <f>IF(ISBLANK(B727),"", MAX(A$1:A726)+1)</f>
        <v/>
      </c>
    </row>
    <row r="728" spans="1:1" x14ac:dyDescent="0.25">
      <c r="A728" s="75" t="str">
        <f>IF(ISBLANK(B728),"", MAX(A$1:A727)+1)</f>
        <v/>
      </c>
    </row>
    <row r="729" spans="1:1" x14ac:dyDescent="0.25">
      <c r="A729" s="75" t="str">
        <f>IF(ISBLANK(B729),"", MAX(A$1:A728)+1)</f>
        <v/>
      </c>
    </row>
    <row r="730" spans="1:1" x14ac:dyDescent="0.25">
      <c r="A730" s="75" t="str">
        <f>IF(ISBLANK(B730),"", MAX(A$1:A729)+1)</f>
        <v/>
      </c>
    </row>
    <row r="731" spans="1:1" x14ac:dyDescent="0.25">
      <c r="A731" s="75" t="str">
        <f>IF(ISBLANK(B731),"", MAX(A$1:A730)+1)</f>
        <v/>
      </c>
    </row>
    <row r="732" spans="1:1" x14ac:dyDescent="0.25">
      <c r="A732" s="75" t="str">
        <f>IF(ISBLANK(B732),"", MAX(A$1:A731)+1)</f>
        <v/>
      </c>
    </row>
    <row r="733" spans="1:1" x14ac:dyDescent="0.25">
      <c r="A733" s="75" t="str">
        <f>IF(ISBLANK(B733),"", MAX(A$1:A732)+1)</f>
        <v/>
      </c>
    </row>
    <row r="734" spans="1:1" x14ac:dyDescent="0.25">
      <c r="A734" s="75" t="str">
        <f>IF(ISBLANK(B734),"", MAX(A$1:A733)+1)</f>
        <v/>
      </c>
    </row>
    <row r="735" spans="1:1" x14ac:dyDescent="0.25">
      <c r="A735" s="75" t="str">
        <f>IF(ISBLANK(B735),"", MAX(A$1:A734)+1)</f>
        <v/>
      </c>
    </row>
    <row r="736" spans="1:1" x14ac:dyDescent="0.25">
      <c r="A736" s="75" t="str">
        <f>IF(ISBLANK(B736),"", MAX(A$1:A735)+1)</f>
        <v/>
      </c>
    </row>
    <row r="737" spans="1:1" x14ac:dyDescent="0.25">
      <c r="A737" s="75" t="str">
        <f>IF(ISBLANK(B737),"", MAX(A$1:A736)+1)</f>
        <v/>
      </c>
    </row>
    <row r="738" spans="1:1" x14ac:dyDescent="0.25">
      <c r="A738" s="75" t="str">
        <f>IF(ISBLANK(B738),"", MAX(A$1:A737)+1)</f>
        <v/>
      </c>
    </row>
    <row r="739" spans="1:1" x14ac:dyDescent="0.25">
      <c r="A739" s="75" t="str">
        <f>IF(ISBLANK(B739),"", MAX(A$1:A738)+1)</f>
        <v/>
      </c>
    </row>
    <row r="740" spans="1:1" x14ac:dyDescent="0.25">
      <c r="A740" s="75" t="str">
        <f>IF(ISBLANK(B740),"", MAX(A$1:A739)+1)</f>
        <v/>
      </c>
    </row>
    <row r="741" spans="1:1" x14ac:dyDescent="0.25">
      <c r="A741" s="75" t="str">
        <f>IF(ISBLANK(B741),"", MAX(A$1:A740)+1)</f>
        <v/>
      </c>
    </row>
    <row r="742" spans="1:1" x14ac:dyDescent="0.25">
      <c r="A742" s="75" t="str">
        <f>IF(ISBLANK(B742),"", MAX(A$1:A741)+1)</f>
        <v/>
      </c>
    </row>
    <row r="743" spans="1:1" x14ac:dyDescent="0.25">
      <c r="A743" s="75" t="str">
        <f>IF(ISBLANK(B743),"", MAX(A$1:A742)+1)</f>
        <v/>
      </c>
    </row>
    <row r="744" spans="1:1" x14ac:dyDescent="0.25">
      <c r="A744" s="75" t="str">
        <f>IF(ISBLANK(B744),"", MAX(A$1:A743)+1)</f>
        <v/>
      </c>
    </row>
    <row r="745" spans="1:1" x14ac:dyDescent="0.25">
      <c r="A745" s="75" t="str">
        <f>IF(ISBLANK(B745),"", MAX(A$1:A744)+1)</f>
        <v/>
      </c>
    </row>
    <row r="746" spans="1:1" x14ac:dyDescent="0.25">
      <c r="A746" s="75" t="str">
        <f>IF(ISBLANK(B746),"", MAX(A$1:A745)+1)</f>
        <v/>
      </c>
    </row>
    <row r="747" spans="1:1" x14ac:dyDescent="0.25">
      <c r="A747" s="75" t="str">
        <f>IF(ISBLANK(B747),"", MAX(A$1:A746)+1)</f>
        <v/>
      </c>
    </row>
    <row r="748" spans="1:1" x14ac:dyDescent="0.25">
      <c r="A748" s="75" t="str">
        <f>IF(ISBLANK(B748),"", MAX(A$1:A747)+1)</f>
        <v/>
      </c>
    </row>
    <row r="749" spans="1:1" x14ac:dyDescent="0.25">
      <c r="A749" s="75" t="str">
        <f>IF(ISBLANK(B749),"", MAX(A$1:A748)+1)</f>
        <v/>
      </c>
    </row>
    <row r="750" spans="1:1" x14ac:dyDescent="0.25">
      <c r="A750" s="75" t="str">
        <f>IF(ISBLANK(B750),"", MAX(A$1:A749)+1)</f>
        <v/>
      </c>
    </row>
    <row r="751" spans="1:1" x14ac:dyDescent="0.25">
      <c r="A751" s="75" t="str">
        <f>IF(ISBLANK(B751),"", MAX(A$1:A750)+1)</f>
        <v/>
      </c>
    </row>
    <row r="752" spans="1:1" x14ac:dyDescent="0.25">
      <c r="A752" s="75" t="str">
        <f>IF(ISBLANK(B752),"", MAX(A$1:A751)+1)</f>
        <v/>
      </c>
    </row>
    <row r="753" spans="1:1" x14ac:dyDescent="0.25">
      <c r="A753" s="75" t="str">
        <f>IF(ISBLANK(B753),"", MAX(A$1:A752)+1)</f>
        <v/>
      </c>
    </row>
    <row r="754" spans="1:1" x14ac:dyDescent="0.25">
      <c r="A754" s="75" t="str">
        <f>IF(ISBLANK(B754),"", MAX(A$1:A753)+1)</f>
        <v/>
      </c>
    </row>
    <row r="755" spans="1:1" x14ac:dyDescent="0.25">
      <c r="A755" s="75" t="str">
        <f>IF(ISBLANK(B755),"", MAX(A$1:A754)+1)</f>
        <v/>
      </c>
    </row>
    <row r="756" spans="1:1" x14ac:dyDescent="0.25">
      <c r="A756" s="75" t="str">
        <f>IF(ISBLANK(B756),"", MAX(A$1:A755)+1)</f>
        <v/>
      </c>
    </row>
    <row r="757" spans="1:1" x14ac:dyDescent="0.25">
      <c r="A757" s="75" t="str">
        <f>IF(ISBLANK(B757),"", MAX(A$1:A756)+1)</f>
        <v/>
      </c>
    </row>
    <row r="758" spans="1:1" x14ac:dyDescent="0.25">
      <c r="A758" s="75" t="str">
        <f>IF(ISBLANK(B758),"", MAX(A$1:A757)+1)</f>
        <v/>
      </c>
    </row>
    <row r="759" spans="1:1" x14ac:dyDescent="0.25">
      <c r="A759" s="75" t="str">
        <f>IF(ISBLANK(B759),"", MAX(A$1:A758)+1)</f>
        <v/>
      </c>
    </row>
    <row r="760" spans="1:1" x14ac:dyDescent="0.25">
      <c r="A760" s="75" t="str">
        <f>IF(ISBLANK(B760),"", MAX(A$1:A759)+1)</f>
        <v/>
      </c>
    </row>
    <row r="761" spans="1:1" x14ac:dyDescent="0.25">
      <c r="A761" s="75" t="str">
        <f>IF(ISBLANK(B761),"", MAX(A$1:A760)+1)</f>
        <v/>
      </c>
    </row>
    <row r="762" spans="1:1" x14ac:dyDescent="0.25">
      <c r="A762" s="75" t="str">
        <f>IF(ISBLANK(B762),"", MAX(A$1:A761)+1)</f>
        <v/>
      </c>
    </row>
    <row r="763" spans="1:1" x14ac:dyDescent="0.25">
      <c r="A763" s="75" t="str">
        <f>IF(ISBLANK(B763),"", MAX(A$1:A762)+1)</f>
        <v/>
      </c>
    </row>
    <row r="764" spans="1:1" x14ac:dyDescent="0.25">
      <c r="A764" s="75" t="str">
        <f>IF(ISBLANK(B764),"", MAX(A$1:A763)+1)</f>
        <v/>
      </c>
    </row>
    <row r="765" spans="1:1" x14ac:dyDescent="0.25">
      <c r="A765" s="75" t="str">
        <f>IF(ISBLANK(B765),"", MAX(A$1:A764)+1)</f>
        <v/>
      </c>
    </row>
    <row r="766" spans="1:1" x14ac:dyDescent="0.25">
      <c r="A766" s="75" t="str">
        <f>IF(ISBLANK(B766),"", MAX(A$1:A765)+1)</f>
        <v/>
      </c>
    </row>
    <row r="767" spans="1:1" x14ac:dyDescent="0.25">
      <c r="A767" s="75" t="str">
        <f>IF(ISBLANK(B767),"", MAX(A$1:A766)+1)</f>
        <v/>
      </c>
    </row>
    <row r="768" spans="1:1" x14ac:dyDescent="0.25">
      <c r="A768" s="75" t="str">
        <f>IF(ISBLANK(B768),"", MAX(A$1:A767)+1)</f>
        <v/>
      </c>
    </row>
    <row r="769" spans="1:1" x14ac:dyDescent="0.25">
      <c r="A769" s="75" t="str">
        <f>IF(ISBLANK(B769),"", MAX(A$1:A768)+1)</f>
        <v/>
      </c>
    </row>
    <row r="770" spans="1:1" x14ac:dyDescent="0.25">
      <c r="A770" s="75" t="str">
        <f>IF(ISBLANK(B770),"", MAX(A$1:A769)+1)</f>
        <v/>
      </c>
    </row>
    <row r="771" spans="1:1" x14ac:dyDescent="0.25">
      <c r="A771" s="75" t="str">
        <f>IF(ISBLANK(B771),"", MAX(A$1:A770)+1)</f>
        <v/>
      </c>
    </row>
    <row r="772" spans="1:1" x14ac:dyDescent="0.25">
      <c r="A772" s="75" t="str">
        <f>IF(ISBLANK(B772),"", MAX(A$1:A771)+1)</f>
        <v/>
      </c>
    </row>
    <row r="773" spans="1:1" x14ac:dyDescent="0.25">
      <c r="A773" s="75" t="str">
        <f>IF(ISBLANK(B773),"", MAX(A$1:A772)+1)</f>
        <v/>
      </c>
    </row>
    <row r="774" spans="1:1" x14ac:dyDescent="0.25">
      <c r="A774" s="75" t="str">
        <f>IF(ISBLANK(B774),"", MAX(A$1:A773)+1)</f>
        <v/>
      </c>
    </row>
    <row r="775" spans="1:1" x14ac:dyDescent="0.25">
      <c r="A775" s="75" t="str">
        <f>IF(ISBLANK(B775),"", MAX(A$1:A774)+1)</f>
        <v/>
      </c>
    </row>
    <row r="776" spans="1:1" x14ac:dyDescent="0.25">
      <c r="A776" s="75" t="str">
        <f>IF(ISBLANK(B776),"", MAX(A$1:A775)+1)</f>
        <v/>
      </c>
    </row>
    <row r="777" spans="1:1" x14ac:dyDescent="0.25">
      <c r="A777" s="75" t="str">
        <f>IF(ISBLANK(B777),"", MAX(A$1:A776)+1)</f>
        <v/>
      </c>
    </row>
    <row r="778" spans="1:1" x14ac:dyDescent="0.25">
      <c r="A778" s="75" t="str">
        <f>IF(ISBLANK(B778),"", MAX(A$1:A777)+1)</f>
        <v/>
      </c>
    </row>
    <row r="779" spans="1:1" x14ac:dyDescent="0.25">
      <c r="A779" s="75" t="str">
        <f>IF(ISBLANK(B779),"", MAX(A$1:A778)+1)</f>
        <v/>
      </c>
    </row>
    <row r="780" spans="1:1" x14ac:dyDescent="0.25">
      <c r="A780" s="75" t="str">
        <f>IF(ISBLANK(B780),"", MAX(A$1:A779)+1)</f>
        <v/>
      </c>
    </row>
    <row r="781" spans="1:1" x14ac:dyDescent="0.25">
      <c r="A781" s="75" t="str">
        <f>IF(ISBLANK(B781),"", MAX(A$1:A780)+1)</f>
        <v/>
      </c>
    </row>
    <row r="782" spans="1:1" x14ac:dyDescent="0.25">
      <c r="A782" s="75" t="str">
        <f>IF(ISBLANK(B782),"", MAX(A$1:A781)+1)</f>
        <v/>
      </c>
    </row>
    <row r="783" spans="1:1" x14ac:dyDescent="0.25">
      <c r="A783" s="75" t="str">
        <f>IF(ISBLANK(B783),"", MAX(A$1:A782)+1)</f>
        <v/>
      </c>
    </row>
    <row r="784" spans="1:1" x14ac:dyDescent="0.25">
      <c r="A784" s="75" t="str">
        <f>IF(ISBLANK(B784),"", MAX(A$1:A783)+1)</f>
        <v/>
      </c>
    </row>
    <row r="785" spans="1:1" x14ac:dyDescent="0.25">
      <c r="A785" s="75" t="str">
        <f>IF(ISBLANK(B785),"", MAX(A$1:A784)+1)</f>
        <v/>
      </c>
    </row>
    <row r="786" spans="1:1" x14ac:dyDescent="0.25">
      <c r="A786" s="75" t="str">
        <f>IF(ISBLANK(B786),"", MAX(A$1:A785)+1)</f>
        <v/>
      </c>
    </row>
    <row r="787" spans="1:1" x14ac:dyDescent="0.25">
      <c r="A787" s="75" t="str">
        <f>IF(ISBLANK(B787),"", MAX(A$1:A786)+1)</f>
        <v/>
      </c>
    </row>
    <row r="788" spans="1:1" x14ac:dyDescent="0.25">
      <c r="A788" s="75" t="str">
        <f>IF(ISBLANK(B788),"", MAX(A$1:A787)+1)</f>
        <v/>
      </c>
    </row>
    <row r="789" spans="1:1" x14ac:dyDescent="0.25">
      <c r="A789" s="75" t="str">
        <f>IF(ISBLANK(B789),"", MAX(A$1:A788)+1)</f>
        <v/>
      </c>
    </row>
    <row r="790" spans="1:1" x14ac:dyDescent="0.25">
      <c r="A790" s="75" t="str">
        <f>IF(ISBLANK(B790),"", MAX(A$1:A789)+1)</f>
        <v/>
      </c>
    </row>
    <row r="791" spans="1:1" x14ac:dyDescent="0.25">
      <c r="A791" s="75" t="str">
        <f>IF(ISBLANK(B791),"", MAX(A$1:A790)+1)</f>
        <v/>
      </c>
    </row>
    <row r="792" spans="1:1" x14ac:dyDescent="0.25">
      <c r="A792" s="75" t="str">
        <f>IF(ISBLANK(B792),"", MAX(A$1:A791)+1)</f>
        <v/>
      </c>
    </row>
    <row r="793" spans="1:1" x14ac:dyDescent="0.25">
      <c r="A793" s="75" t="str">
        <f>IF(ISBLANK(B793),"", MAX(A$1:A792)+1)</f>
        <v/>
      </c>
    </row>
    <row r="794" spans="1:1" x14ac:dyDescent="0.25">
      <c r="A794" s="75" t="str">
        <f>IF(ISBLANK(B794),"", MAX(A$1:A793)+1)</f>
        <v/>
      </c>
    </row>
    <row r="795" spans="1:1" x14ac:dyDescent="0.25">
      <c r="A795" s="75" t="str">
        <f>IF(ISBLANK(B795),"", MAX(A$1:A794)+1)</f>
        <v/>
      </c>
    </row>
    <row r="796" spans="1:1" x14ac:dyDescent="0.25">
      <c r="A796" s="75" t="str">
        <f>IF(ISBLANK(B796),"", MAX(A$1:A795)+1)</f>
        <v/>
      </c>
    </row>
    <row r="797" spans="1:1" x14ac:dyDescent="0.25">
      <c r="A797" s="75" t="str">
        <f>IF(ISBLANK(B797),"", MAX(A$1:A796)+1)</f>
        <v/>
      </c>
    </row>
    <row r="798" spans="1:1" x14ac:dyDescent="0.25">
      <c r="A798" s="75" t="str">
        <f>IF(ISBLANK(B798),"", MAX(A$1:A797)+1)</f>
        <v/>
      </c>
    </row>
    <row r="799" spans="1:1" x14ac:dyDescent="0.25">
      <c r="A799" s="75" t="str">
        <f>IF(ISBLANK(B799),"", MAX(A$1:A798)+1)</f>
        <v/>
      </c>
    </row>
    <row r="800" spans="1:1" x14ac:dyDescent="0.25">
      <c r="A800" s="75" t="str">
        <f>IF(ISBLANK(B800),"", MAX(A$1:A799)+1)</f>
        <v/>
      </c>
    </row>
    <row r="801" spans="1:1" x14ac:dyDescent="0.25">
      <c r="A801" s="75" t="str">
        <f>IF(ISBLANK(B801),"", MAX(A$1:A800)+1)</f>
        <v/>
      </c>
    </row>
    <row r="802" spans="1:1" x14ac:dyDescent="0.25">
      <c r="A802" s="75" t="str">
        <f>IF(ISBLANK(B802),"", MAX(A$1:A801)+1)</f>
        <v/>
      </c>
    </row>
    <row r="803" spans="1:1" x14ac:dyDescent="0.25">
      <c r="A803" s="75" t="str">
        <f>IF(ISBLANK(B803),"", MAX(A$1:A802)+1)</f>
        <v/>
      </c>
    </row>
    <row r="804" spans="1:1" x14ac:dyDescent="0.25">
      <c r="A804" s="75" t="str">
        <f>IF(ISBLANK(B804),"", MAX(A$1:A803)+1)</f>
        <v/>
      </c>
    </row>
    <row r="805" spans="1:1" x14ac:dyDescent="0.25">
      <c r="A805" s="75" t="str">
        <f>IF(ISBLANK(B805),"", MAX(A$1:A804)+1)</f>
        <v/>
      </c>
    </row>
    <row r="806" spans="1:1" x14ac:dyDescent="0.25">
      <c r="A806" s="75" t="str">
        <f>IF(ISBLANK(B806),"", MAX(A$1:A805)+1)</f>
        <v/>
      </c>
    </row>
    <row r="807" spans="1:1" x14ac:dyDescent="0.25">
      <c r="A807" s="75" t="str">
        <f>IF(ISBLANK(B807),"", MAX(A$1:A806)+1)</f>
        <v/>
      </c>
    </row>
    <row r="808" spans="1:1" x14ac:dyDescent="0.25">
      <c r="A808" s="75" t="str">
        <f>IF(ISBLANK(B808),"", MAX(A$1:A807)+1)</f>
        <v/>
      </c>
    </row>
    <row r="809" spans="1:1" x14ac:dyDescent="0.25">
      <c r="A809" s="75" t="str">
        <f>IF(ISBLANK(B809),"", MAX(A$1:A808)+1)</f>
        <v/>
      </c>
    </row>
    <row r="810" spans="1:1" x14ac:dyDescent="0.25">
      <c r="A810" s="75" t="str">
        <f>IF(ISBLANK(B810),"", MAX(A$1:A809)+1)</f>
        <v/>
      </c>
    </row>
    <row r="811" spans="1:1" x14ac:dyDescent="0.25">
      <c r="A811" s="75" t="str">
        <f>IF(ISBLANK(B811),"", MAX(A$1:A810)+1)</f>
        <v/>
      </c>
    </row>
    <row r="812" spans="1:1" x14ac:dyDescent="0.25">
      <c r="A812" s="75" t="str">
        <f>IF(ISBLANK(B812),"", MAX(A$1:A811)+1)</f>
        <v/>
      </c>
    </row>
    <row r="813" spans="1:1" x14ac:dyDescent="0.25">
      <c r="A813" s="75" t="str">
        <f>IF(ISBLANK(B813),"", MAX(A$1:A812)+1)</f>
        <v/>
      </c>
    </row>
    <row r="814" spans="1:1" x14ac:dyDescent="0.25">
      <c r="A814" s="75" t="str">
        <f>IF(ISBLANK(B814),"", MAX(A$1:A813)+1)</f>
        <v/>
      </c>
    </row>
    <row r="815" spans="1:1" x14ac:dyDescent="0.25">
      <c r="A815" s="75" t="str">
        <f>IF(ISBLANK(B815),"", MAX(A$1:A814)+1)</f>
        <v/>
      </c>
    </row>
    <row r="816" spans="1:1" x14ac:dyDescent="0.25">
      <c r="A816" s="75" t="str">
        <f>IF(ISBLANK(B816),"", MAX(A$1:A815)+1)</f>
        <v/>
      </c>
    </row>
    <row r="817" spans="1:1" x14ac:dyDescent="0.25">
      <c r="A817" s="75" t="str">
        <f>IF(ISBLANK(B817),"", MAX(A$1:A816)+1)</f>
        <v/>
      </c>
    </row>
    <row r="818" spans="1:1" x14ac:dyDescent="0.25">
      <c r="A818" s="75" t="str">
        <f>IF(ISBLANK(B818),"", MAX(A$1:A817)+1)</f>
        <v/>
      </c>
    </row>
    <row r="819" spans="1:1" x14ac:dyDescent="0.25">
      <c r="A819" s="75" t="str">
        <f>IF(ISBLANK(B819),"", MAX(A$1:A818)+1)</f>
        <v/>
      </c>
    </row>
    <row r="820" spans="1:1" x14ac:dyDescent="0.25">
      <c r="A820" s="75" t="str">
        <f>IF(ISBLANK(B820),"", MAX(A$1:A819)+1)</f>
        <v/>
      </c>
    </row>
    <row r="821" spans="1:1" x14ac:dyDescent="0.25">
      <c r="A821" s="75" t="str">
        <f>IF(ISBLANK(B821),"", MAX(A$1:A820)+1)</f>
        <v/>
      </c>
    </row>
    <row r="822" spans="1:1" x14ac:dyDescent="0.25">
      <c r="A822" s="75" t="str">
        <f>IF(ISBLANK(B822),"", MAX(A$1:A821)+1)</f>
        <v/>
      </c>
    </row>
    <row r="823" spans="1:1" x14ac:dyDescent="0.25">
      <c r="A823" s="75" t="str">
        <f>IF(ISBLANK(B823),"", MAX(A$1:A822)+1)</f>
        <v/>
      </c>
    </row>
    <row r="824" spans="1:1" x14ac:dyDescent="0.25">
      <c r="A824" s="75" t="str">
        <f>IF(ISBLANK(B824),"", MAX(A$1:A823)+1)</f>
        <v/>
      </c>
    </row>
    <row r="825" spans="1:1" x14ac:dyDescent="0.25">
      <c r="A825" s="75" t="str">
        <f>IF(ISBLANK(B825),"", MAX(A$1:A824)+1)</f>
        <v/>
      </c>
    </row>
    <row r="826" spans="1:1" x14ac:dyDescent="0.25">
      <c r="A826" s="75" t="str">
        <f>IF(ISBLANK(B826),"", MAX(A$1:A825)+1)</f>
        <v/>
      </c>
    </row>
    <row r="827" spans="1:1" x14ac:dyDescent="0.25">
      <c r="A827" s="75" t="str">
        <f>IF(ISBLANK(B827),"", MAX(A$1:A826)+1)</f>
        <v/>
      </c>
    </row>
    <row r="828" spans="1:1" x14ac:dyDescent="0.25">
      <c r="A828" s="75" t="str">
        <f>IF(ISBLANK(B828),"", MAX(A$1:A827)+1)</f>
        <v/>
      </c>
    </row>
    <row r="829" spans="1:1" x14ac:dyDescent="0.25">
      <c r="A829" s="75" t="str">
        <f>IF(ISBLANK(B829),"", MAX(A$1:A828)+1)</f>
        <v/>
      </c>
    </row>
    <row r="830" spans="1:1" x14ac:dyDescent="0.25">
      <c r="A830" s="75" t="str">
        <f>IF(ISBLANK(B830),"", MAX(A$1:A829)+1)</f>
        <v/>
      </c>
    </row>
    <row r="831" spans="1:1" x14ac:dyDescent="0.25">
      <c r="A831" s="75" t="str">
        <f>IF(ISBLANK(B831),"", MAX(A$1:A830)+1)</f>
        <v/>
      </c>
    </row>
    <row r="832" spans="1:1" x14ac:dyDescent="0.25">
      <c r="A832" s="75" t="str">
        <f>IF(ISBLANK(B832),"", MAX(A$1:A831)+1)</f>
        <v/>
      </c>
    </row>
    <row r="833" spans="1:1" x14ac:dyDescent="0.25">
      <c r="A833" s="75" t="str">
        <f>IF(ISBLANK(B833),"", MAX(A$1:A832)+1)</f>
        <v/>
      </c>
    </row>
    <row r="834" spans="1:1" x14ac:dyDescent="0.25">
      <c r="A834" s="75" t="str">
        <f>IF(ISBLANK(B834),"", MAX(A$1:A833)+1)</f>
        <v/>
      </c>
    </row>
    <row r="835" spans="1:1" x14ac:dyDescent="0.25">
      <c r="A835" s="75" t="str">
        <f>IF(ISBLANK(B835),"", MAX(A$1:A834)+1)</f>
        <v/>
      </c>
    </row>
    <row r="836" spans="1:1" x14ac:dyDescent="0.25">
      <c r="A836" s="75" t="str">
        <f>IF(ISBLANK(B836),"", MAX(A$1:A835)+1)</f>
        <v/>
      </c>
    </row>
    <row r="837" spans="1:1" x14ac:dyDescent="0.25">
      <c r="A837" s="75" t="str">
        <f>IF(ISBLANK(B837),"", MAX(A$1:A836)+1)</f>
        <v/>
      </c>
    </row>
    <row r="838" spans="1:1" x14ac:dyDescent="0.25">
      <c r="A838" s="75" t="str">
        <f>IF(ISBLANK(B838),"", MAX(A$1:A837)+1)</f>
        <v/>
      </c>
    </row>
    <row r="839" spans="1:1" x14ac:dyDescent="0.25">
      <c r="A839" s="75" t="str">
        <f>IF(ISBLANK(B839),"", MAX(A$1:A838)+1)</f>
        <v/>
      </c>
    </row>
    <row r="840" spans="1:1" x14ac:dyDescent="0.25">
      <c r="A840" s="75" t="str">
        <f>IF(ISBLANK(B840),"", MAX(A$1:A839)+1)</f>
        <v/>
      </c>
    </row>
    <row r="841" spans="1:1" x14ac:dyDescent="0.25">
      <c r="A841" s="75" t="str">
        <f>IF(ISBLANK(B841),"", MAX(A$1:A840)+1)</f>
        <v/>
      </c>
    </row>
    <row r="842" spans="1:1" x14ac:dyDescent="0.25">
      <c r="A842" s="75" t="str">
        <f>IF(ISBLANK(B842),"", MAX(A$1:A841)+1)</f>
        <v/>
      </c>
    </row>
    <row r="843" spans="1:1" x14ac:dyDescent="0.25">
      <c r="A843" s="75" t="str">
        <f>IF(ISBLANK(B843),"", MAX(A$1:A842)+1)</f>
        <v/>
      </c>
    </row>
    <row r="844" spans="1:1" x14ac:dyDescent="0.25">
      <c r="A844" s="75" t="str">
        <f>IF(ISBLANK(B844),"", MAX(A$1:A843)+1)</f>
        <v/>
      </c>
    </row>
    <row r="845" spans="1:1" x14ac:dyDescent="0.25">
      <c r="A845" s="75" t="str">
        <f>IF(ISBLANK(B845),"", MAX(A$1:A844)+1)</f>
        <v/>
      </c>
    </row>
    <row r="846" spans="1:1" x14ac:dyDescent="0.25">
      <c r="A846" s="75" t="str">
        <f>IF(ISBLANK(B846),"", MAX(A$1:A845)+1)</f>
        <v/>
      </c>
    </row>
    <row r="847" spans="1:1" x14ac:dyDescent="0.25">
      <c r="A847" s="75" t="str">
        <f>IF(ISBLANK(B847),"", MAX(A$1:A846)+1)</f>
        <v/>
      </c>
    </row>
    <row r="848" spans="1:1" x14ac:dyDescent="0.25">
      <c r="A848" s="75" t="str">
        <f>IF(ISBLANK(B848),"", MAX(A$1:A847)+1)</f>
        <v/>
      </c>
    </row>
    <row r="849" spans="1:1" x14ac:dyDescent="0.25">
      <c r="A849" s="75" t="str">
        <f>IF(ISBLANK(B849),"", MAX(A$1:A848)+1)</f>
        <v/>
      </c>
    </row>
    <row r="850" spans="1:1" x14ac:dyDescent="0.25">
      <c r="A850" s="75" t="str">
        <f>IF(ISBLANK(B850),"", MAX(A$1:A849)+1)</f>
        <v/>
      </c>
    </row>
    <row r="851" spans="1:1" x14ac:dyDescent="0.25">
      <c r="A851" s="75" t="str">
        <f>IF(ISBLANK(B851),"", MAX(A$1:A850)+1)</f>
        <v/>
      </c>
    </row>
    <row r="852" spans="1:1" x14ac:dyDescent="0.25">
      <c r="A852" s="75" t="str">
        <f>IF(ISBLANK(B852),"", MAX(A$1:A851)+1)</f>
        <v/>
      </c>
    </row>
    <row r="853" spans="1:1" x14ac:dyDescent="0.25">
      <c r="A853" s="75" t="str">
        <f>IF(ISBLANK(B853),"", MAX(A$1:A852)+1)</f>
        <v/>
      </c>
    </row>
    <row r="854" spans="1:1" x14ac:dyDescent="0.25">
      <c r="A854" s="75" t="str">
        <f>IF(ISBLANK(B854),"", MAX(A$1:A853)+1)</f>
        <v/>
      </c>
    </row>
    <row r="855" spans="1:1" x14ac:dyDescent="0.25">
      <c r="A855" s="75" t="str">
        <f>IF(ISBLANK(B855),"", MAX(A$1:A854)+1)</f>
        <v/>
      </c>
    </row>
    <row r="856" spans="1:1" x14ac:dyDescent="0.25">
      <c r="A856" s="75" t="str">
        <f>IF(ISBLANK(B856),"", MAX(A$1:A855)+1)</f>
        <v/>
      </c>
    </row>
    <row r="857" spans="1:1" x14ac:dyDescent="0.25">
      <c r="A857" s="75" t="str">
        <f>IF(ISBLANK(B857),"", MAX(A$1:A856)+1)</f>
        <v/>
      </c>
    </row>
    <row r="858" spans="1:1" x14ac:dyDescent="0.25">
      <c r="A858" s="75" t="str">
        <f>IF(ISBLANK(B858),"", MAX(A$1:A857)+1)</f>
        <v/>
      </c>
    </row>
    <row r="859" spans="1:1" x14ac:dyDescent="0.25">
      <c r="A859" s="75" t="str">
        <f>IF(ISBLANK(B859),"", MAX(A$1:A858)+1)</f>
        <v/>
      </c>
    </row>
    <row r="860" spans="1:1" x14ac:dyDescent="0.25">
      <c r="A860" s="75" t="str">
        <f>IF(ISBLANK(B860),"", MAX(A$1:A859)+1)</f>
        <v/>
      </c>
    </row>
    <row r="861" spans="1:1" x14ac:dyDescent="0.25">
      <c r="A861" s="75" t="str">
        <f>IF(ISBLANK(B861),"", MAX(A$1:A860)+1)</f>
        <v/>
      </c>
    </row>
    <row r="862" spans="1:1" x14ac:dyDescent="0.25">
      <c r="A862" s="75" t="str">
        <f>IF(ISBLANK(B862),"", MAX(A$1:A861)+1)</f>
        <v/>
      </c>
    </row>
    <row r="863" spans="1:1" x14ac:dyDescent="0.25">
      <c r="A863" s="75" t="str">
        <f>IF(ISBLANK(B863),"", MAX(A$1:A862)+1)</f>
        <v/>
      </c>
    </row>
    <row r="864" spans="1:1" x14ac:dyDescent="0.25">
      <c r="A864" s="75" t="str">
        <f>IF(ISBLANK(B864),"", MAX(A$1:A863)+1)</f>
        <v/>
      </c>
    </row>
    <row r="865" spans="1:1" x14ac:dyDescent="0.25">
      <c r="A865" s="75" t="str">
        <f>IF(ISBLANK(B865),"", MAX(A$1:A864)+1)</f>
        <v/>
      </c>
    </row>
    <row r="866" spans="1:1" x14ac:dyDescent="0.25">
      <c r="A866" s="75" t="str">
        <f>IF(ISBLANK(B866),"", MAX(A$1:A865)+1)</f>
        <v/>
      </c>
    </row>
    <row r="867" spans="1:1" x14ac:dyDescent="0.25">
      <c r="A867" s="75" t="str">
        <f>IF(ISBLANK(B867),"", MAX(A$1:A866)+1)</f>
        <v/>
      </c>
    </row>
    <row r="868" spans="1:1" x14ac:dyDescent="0.25">
      <c r="A868" s="75" t="str">
        <f>IF(ISBLANK(B868),"", MAX(A$1:A867)+1)</f>
        <v/>
      </c>
    </row>
    <row r="869" spans="1:1" x14ac:dyDescent="0.25">
      <c r="A869" s="75" t="str">
        <f>IF(ISBLANK(B869),"", MAX(A$1:A868)+1)</f>
        <v/>
      </c>
    </row>
    <row r="870" spans="1:1" x14ac:dyDescent="0.25">
      <c r="A870" s="75" t="str">
        <f>IF(ISBLANK(B870),"", MAX(A$1:A869)+1)</f>
        <v/>
      </c>
    </row>
    <row r="871" spans="1:1" x14ac:dyDescent="0.25">
      <c r="A871" s="75" t="str">
        <f>IF(ISBLANK(B871),"", MAX(A$1:A870)+1)</f>
        <v/>
      </c>
    </row>
    <row r="872" spans="1:1" x14ac:dyDescent="0.25">
      <c r="A872" s="75" t="str">
        <f>IF(ISBLANK(B872),"", MAX(A$1:A871)+1)</f>
        <v/>
      </c>
    </row>
    <row r="873" spans="1:1" x14ac:dyDescent="0.25">
      <c r="A873" s="75" t="str">
        <f>IF(ISBLANK(B873),"", MAX(A$1:A872)+1)</f>
        <v/>
      </c>
    </row>
    <row r="874" spans="1:1" x14ac:dyDescent="0.25">
      <c r="A874" s="75" t="str">
        <f>IF(ISBLANK(B874),"", MAX(A$1:A873)+1)</f>
        <v/>
      </c>
    </row>
    <row r="875" spans="1:1" x14ac:dyDescent="0.25">
      <c r="A875" s="75" t="str">
        <f>IF(ISBLANK(B875),"", MAX(A$1:A874)+1)</f>
        <v/>
      </c>
    </row>
    <row r="876" spans="1:1" x14ac:dyDescent="0.25">
      <c r="A876" s="75" t="str">
        <f>IF(ISBLANK(B876),"", MAX(A$1:A875)+1)</f>
        <v/>
      </c>
    </row>
    <row r="877" spans="1:1" x14ac:dyDescent="0.25">
      <c r="A877" s="75" t="str">
        <f>IF(ISBLANK(B877),"", MAX(A$1:A876)+1)</f>
        <v/>
      </c>
    </row>
    <row r="878" spans="1:1" x14ac:dyDescent="0.25">
      <c r="A878" s="75" t="str">
        <f>IF(ISBLANK(B878),"", MAX(A$1:A877)+1)</f>
        <v/>
      </c>
    </row>
    <row r="879" spans="1:1" x14ac:dyDescent="0.25">
      <c r="A879" s="75" t="str">
        <f>IF(ISBLANK(B879),"", MAX(A$1:A878)+1)</f>
        <v/>
      </c>
    </row>
    <row r="880" spans="1:1" x14ac:dyDescent="0.25">
      <c r="A880" s="75" t="str">
        <f>IF(ISBLANK(B880),"", MAX(A$1:A879)+1)</f>
        <v/>
      </c>
    </row>
    <row r="881" spans="1:1" x14ac:dyDescent="0.25">
      <c r="A881" s="75" t="str">
        <f>IF(ISBLANK(B881),"", MAX(A$1:A880)+1)</f>
        <v/>
      </c>
    </row>
    <row r="882" spans="1:1" x14ac:dyDescent="0.25">
      <c r="A882" s="75" t="str">
        <f>IF(ISBLANK(B882),"", MAX(A$1:A881)+1)</f>
        <v/>
      </c>
    </row>
    <row r="883" spans="1:1" x14ac:dyDescent="0.25">
      <c r="A883" s="75" t="str">
        <f>IF(ISBLANK(B883),"", MAX(A$1:A882)+1)</f>
        <v/>
      </c>
    </row>
    <row r="884" spans="1:1" x14ac:dyDescent="0.25">
      <c r="A884" s="75" t="str">
        <f>IF(ISBLANK(B884),"", MAX(A$1:A883)+1)</f>
        <v/>
      </c>
    </row>
    <row r="885" spans="1:1" x14ac:dyDescent="0.25">
      <c r="A885" s="75" t="str">
        <f>IF(ISBLANK(B885),"", MAX(A$1:A884)+1)</f>
        <v/>
      </c>
    </row>
    <row r="886" spans="1:1" x14ac:dyDescent="0.25">
      <c r="A886" s="75" t="str">
        <f>IF(ISBLANK(B886),"", MAX(A$1:A885)+1)</f>
        <v/>
      </c>
    </row>
    <row r="887" spans="1:1" x14ac:dyDescent="0.25">
      <c r="A887" s="75" t="str">
        <f>IF(ISBLANK(B887),"", MAX(A$1:A886)+1)</f>
        <v/>
      </c>
    </row>
    <row r="888" spans="1:1" x14ac:dyDescent="0.25">
      <c r="A888" s="75" t="str">
        <f>IF(ISBLANK(B888),"", MAX(A$1:A887)+1)</f>
        <v/>
      </c>
    </row>
    <row r="889" spans="1:1" x14ac:dyDescent="0.25">
      <c r="A889" s="75" t="str">
        <f>IF(ISBLANK(B889),"", MAX(A$1:A888)+1)</f>
        <v/>
      </c>
    </row>
    <row r="890" spans="1:1" x14ac:dyDescent="0.25">
      <c r="A890" s="75" t="str">
        <f>IF(ISBLANK(B890),"", MAX(A$1:A889)+1)</f>
        <v/>
      </c>
    </row>
    <row r="891" spans="1:1" x14ac:dyDescent="0.25">
      <c r="A891" s="75" t="str">
        <f>IF(ISBLANK(B891),"", MAX(A$1:A890)+1)</f>
        <v/>
      </c>
    </row>
    <row r="892" spans="1:1" x14ac:dyDescent="0.25">
      <c r="A892" s="75" t="str">
        <f>IF(ISBLANK(B892),"", MAX(A$1:A891)+1)</f>
        <v/>
      </c>
    </row>
    <row r="893" spans="1:1" x14ac:dyDescent="0.25">
      <c r="A893" s="75" t="str">
        <f>IF(ISBLANK(B893),"", MAX(A$1:A892)+1)</f>
        <v/>
      </c>
    </row>
    <row r="894" spans="1:1" x14ac:dyDescent="0.25">
      <c r="A894" s="75" t="str">
        <f>IF(ISBLANK(B894),"", MAX(A$1:A893)+1)</f>
        <v/>
      </c>
    </row>
    <row r="895" spans="1:1" x14ac:dyDescent="0.25">
      <c r="A895" s="75" t="str">
        <f>IF(ISBLANK(B895),"", MAX(A$1:A894)+1)</f>
        <v/>
      </c>
    </row>
    <row r="896" spans="1:1" x14ac:dyDescent="0.25">
      <c r="A896" s="75" t="str">
        <f>IF(ISBLANK(B896),"", MAX(A$1:A895)+1)</f>
        <v/>
      </c>
    </row>
    <row r="897" spans="1:1" x14ac:dyDescent="0.25">
      <c r="A897" s="75" t="str">
        <f>IF(ISBLANK(B897),"", MAX(A$1:A896)+1)</f>
        <v/>
      </c>
    </row>
    <row r="898" spans="1:1" x14ac:dyDescent="0.25">
      <c r="A898" s="75" t="str">
        <f>IF(ISBLANK(B898),"", MAX(A$1:A897)+1)</f>
        <v/>
      </c>
    </row>
    <row r="899" spans="1:1" x14ac:dyDescent="0.25">
      <c r="A899" s="75" t="str">
        <f>IF(ISBLANK(B899),"", MAX(A$1:A898)+1)</f>
        <v/>
      </c>
    </row>
    <row r="900" spans="1:1" x14ac:dyDescent="0.25">
      <c r="A900" s="75" t="str">
        <f>IF(ISBLANK(B900),"", MAX(A$1:A899)+1)</f>
        <v/>
      </c>
    </row>
    <row r="901" spans="1:1" x14ac:dyDescent="0.25">
      <c r="A901" s="75" t="str">
        <f>IF(ISBLANK(B901),"", MAX(A$1:A900)+1)</f>
        <v/>
      </c>
    </row>
    <row r="902" spans="1:1" x14ac:dyDescent="0.25">
      <c r="A902" s="75" t="str">
        <f>IF(ISBLANK(B902),"", MAX(A$1:A901)+1)</f>
        <v/>
      </c>
    </row>
    <row r="903" spans="1:1" x14ac:dyDescent="0.25">
      <c r="A903" s="75" t="str">
        <f>IF(ISBLANK(B903),"", MAX(A$1:A902)+1)</f>
        <v/>
      </c>
    </row>
    <row r="904" spans="1:1" x14ac:dyDescent="0.25">
      <c r="A904" s="75" t="str">
        <f>IF(ISBLANK(B904),"", MAX(A$1:A903)+1)</f>
        <v/>
      </c>
    </row>
    <row r="905" spans="1:1" x14ac:dyDescent="0.25">
      <c r="A905" s="75" t="str">
        <f>IF(ISBLANK(B905),"", MAX(A$1:A904)+1)</f>
        <v/>
      </c>
    </row>
    <row r="906" spans="1:1" x14ac:dyDescent="0.25">
      <c r="A906" s="75" t="str">
        <f>IF(ISBLANK(B906),"", MAX(A$1:A905)+1)</f>
        <v/>
      </c>
    </row>
    <row r="907" spans="1:1" x14ac:dyDescent="0.25">
      <c r="A907" s="75" t="str">
        <f>IF(ISBLANK(B907),"", MAX(A$1:A906)+1)</f>
        <v/>
      </c>
    </row>
    <row r="908" spans="1:1" x14ac:dyDescent="0.25">
      <c r="A908" s="75" t="str">
        <f>IF(ISBLANK(B908),"", MAX(A$1:A907)+1)</f>
        <v/>
      </c>
    </row>
    <row r="909" spans="1:1" x14ac:dyDescent="0.25">
      <c r="A909" s="75" t="str">
        <f>IF(ISBLANK(B909),"", MAX(A$1:A908)+1)</f>
        <v/>
      </c>
    </row>
    <row r="910" spans="1:1" x14ac:dyDescent="0.25">
      <c r="A910" s="75" t="str">
        <f>IF(ISBLANK(B910),"", MAX(A$1:A909)+1)</f>
        <v/>
      </c>
    </row>
    <row r="911" spans="1:1" x14ac:dyDescent="0.25">
      <c r="A911" s="75" t="str">
        <f>IF(ISBLANK(B911),"", MAX(A$1:A910)+1)</f>
        <v/>
      </c>
    </row>
    <row r="912" spans="1:1" x14ac:dyDescent="0.25">
      <c r="A912" s="75" t="str">
        <f>IF(ISBLANK(B912),"", MAX(A$1:A911)+1)</f>
        <v/>
      </c>
    </row>
    <row r="913" spans="1:1" x14ac:dyDescent="0.25">
      <c r="A913" s="75" t="str">
        <f>IF(ISBLANK(B913),"", MAX(A$1:A912)+1)</f>
        <v/>
      </c>
    </row>
    <row r="914" spans="1:1" x14ac:dyDescent="0.25">
      <c r="A914" s="75" t="str">
        <f>IF(ISBLANK(B914),"", MAX(A$1:A913)+1)</f>
        <v/>
      </c>
    </row>
    <row r="915" spans="1:1" x14ac:dyDescent="0.25">
      <c r="A915" s="75" t="str">
        <f>IF(ISBLANK(B915),"", MAX(A$1:A914)+1)</f>
        <v/>
      </c>
    </row>
    <row r="916" spans="1:1" x14ac:dyDescent="0.25">
      <c r="A916" s="75" t="str">
        <f>IF(ISBLANK(B916),"", MAX(A$1:A915)+1)</f>
        <v/>
      </c>
    </row>
    <row r="917" spans="1:1" x14ac:dyDescent="0.25">
      <c r="A917" s="75" t="str">
        <f>IF(ISBLANK(B917),"", MAX(A$1:A916)+1)</f>
        <v/>
      </c>
    </row>
    <row r="918" spans="1:1" x14ac:dyDescent="0.25">
      <c r="A918" s="75" t="str">
        <f>IF(ISBLANK(B918),"", MAX(A$1:A917)+1)</f>
        <v/>
      </c>
    </row>
    <row r="919" spans="1:1" x14ac:dyDescent="0.25">
      <c r="A919" s="75" t="str">
        <f>IF(ISBLANK(B919),"", MAX(A$1:A918)+1)</f>
        <v/>
      </c>
    </row>
    <row r="920" spans="1:1" x14ac:dyDescent="0.25">
      <c r="A920" s="75" t="str">
        <f>IF(ISBLANK(B920),"", MAX(A$1:A919)+1)</f>
        <v/>
      </c>
    </row>
    <row r="921" spans="1:1" x14ac:dyDescent="0.25">
      <c r="A921" s="75" t="str">
        <f>IF(ISBLANK(B921),"", MAX(A$1:A920)+1)</f>
        <v/>
      </c>
    </row>
    <row r="922" spans="1:1" x14ac:dyDescent="0.25">
      <c r="A922" s="75" t="str">
        <f>IF(ISBLANK(B922),"", MAX(A$1:A921)+1)</f>
        <v/>
      </c>
    </row>
    <row r="923" spans="1:1" x14ac:dyDescent="0.25">
      <c r="A923" s="75" t="str">
        <f>IF(ISBLANK(B923),"", MAX(A$1:A922)+1)</f>
        <v/>
      </c>
    </row>
    <row r="924" spans="1:1" x14ac:dyDescent="0.25">
      <c r="A924" s="75" t="str">
        <f>IF(ISBLANK(B924),"", MAX(A$1:A923)+1)</f>
        <v/>
      </c>
    </row>
    <row r="925" spans="1:1" x14ac:dyDescent="0.25">
      <c r="A925" s="75" t="str">
        <f>IF(ISBLANK(B925),"", MAX(A$1:A924)+1)</f>
        <v/>
      </c>
    </row>
    <row r="926" spans="1:1" x14ac:dyDescent="0.25">
      <c r="A926" s="75" t="str">
        <f>IF(ISBLANK(B926),"", MAX(A$1:A925)+1)</f>
        <v/>
      </c>
    </row>
    <row r="927" spans="1:1" x14ac:dyDescent="0.25">
      <c r="A927" s="75" t="str">
        <f>IF(ISBLANK(B927),"", MAX(A$1:A926)+1)</f>
        <v/>
      </c>
    </row>
    <row r="928" spans="1:1" x14ac:dyDescent="0.25">
      <c r="A928" s="75" t="str">
        <f>IF(ISBLANK(B928),"", MAX(A$1:A927)+1)</f>
        <v/>
      </c>
    </row>
    <row r="929" spans="1:1" x14ac:dyDescent="0.25">
      <c r="A929" s="75" t="str">
        <f>IF(ISBLANK(B929),"", MAX(A$1:A928)+1)</f>
        <v/>
      </c>
    </row>
    <row r="930" spans="1:1" x14ac:dyDescent="0.25">
      <c r="A930" s="75" t="str">
        <f>IF(ISBLANK(B930),"", MAX(A$1:A929)+1)</f>
        <v/>
      </c>
    </row>
    <row r="931" spans="1:1" x14ac:dyDescent="0.25">
      <c r="A931" s="75" t="str">
        <f>IF(ISBLANK(B931),"", MAX(A$1:A930)+1)</f>
        <v/>
      </c>
    </row>
    <row r="932" spans="1:1" x14ac:dyDescent="0.25">
      <c r="A932" s="75" t="str">
        <f>IF(ISBLANK(B932),"", MAX(A$1:A931)+1)</f>
        <v/>
      </c>
    </row>
    <row r="933" spans="1:1" x14ac:dyDescent="0.25">
      <c r="A933" s="75" t="str">
        <f>IF(ISBLANK(B933),"", MAX(A$1:A932)+1)</f>
        <v/>
      </c>
    </row>
    <row r="934" spans="1:1" x14ac:dyDescent="0.25">
      <c r="A934" s="75" t="str">
        <f>IF(ISBLANK(B934),"", MAX(A$1:A933)+1)</f>
        <v/>
      </c>
    </row>
    <row r="935" spans="1:1" x14ac:dyDescent="0.25">
      <c r="A935" s="75" t="str">
        <f>IF(ISBLANK(B935),"", MAX(A$1:A934)+1)</f>
        <v/>
      </c>
    </row>
    <row r="936" spans="1:1" x14ac:dyDescent="0.25">
      <c r="A936" s="75" t="str">
        <f>IF(ISBLANK(B936),"", MAX(A$1:A935)+1)</f>
        <v/>
      </c>
    </row>
    <row r="937" spans="1:1" x14ac:dyDescent="0.25">
      <c r="A937" s="75" t="str">
        <f>IF(ISBLANK(B937),"", MAX(A$1:A936)+1)</f>
        <v/>
      </c>
    </row>
    <row r="938" spans="1:1" x14ac:dyDescent="0.25">
      <c r="A938" s="75" t="str">
        <f>IF(ISBLANK(B938),"", MAX(A$1:A937)+1)</f>
        <v/>
      </c>
    </row>
    <row r="939" spans="1:1" x14ac:dyDescent="0.25">
      <c r="A939" s="75" t="str">
        <f>IF(ISBLANK(B939),"", MAX(A$1:A938)+1)</f>
        <v/>
      </c>
    </row>
    <row r="940" spans="1:1" x14ac:dyDescent="0.25">
      <c r="A940" s="75" t="str">
        <f>IF(ISBLANK(B940),"", MAX(A$1:A939)+1)</f>
        <v/>
      </c>
    </row>
    <row r="941" spans="1:1" x14ac:dyDescent="0.25">
      <c r="A941" s="75" t="str">
        <f>IF(ISBLANK(B941),"", MAX(A$1:A940)+1)</f>
        <v/>
      </c>
    </row>
    <row r="942" spans="1:1" x14ac:dyDescent="0.25">
      <c r="A942" s="75" t="str">
        <f>IF(ISBLANK(B942),"", MAX(A$1:A941)+1)</f>
        <v/>
      </c>
    </row>
    <row r="943" spans="1:1" x14ac:dyDescent="0.25">
      <c r="A943" s="75" t="str">
        <f>IF(ISBLANK(B943),"", MAX(A$1:A942)+1)</f>
        <v/>
      </c>
    </row>
    <row r="944" spans="1:1" x14ac:dyDescent="0.25">
      <c r="A944" s="75" t="str">
        <f>IF(ISBLANK(B944),"", MAX(A$1:A943)+1)</f>
        <v/>
      </c>
    </row>
    <row r="945" spans="1:1" x14ac:dyDescent="0.25">
      <c r="A945" s="75" t="str">
        <f>IF(ISBLANK(B945),"", MAX(A$1:A944)+1)</f>
        <v/>
      </c>
    </row>
    <row r="946" spans="1:1" x14ac:dyDescent="0.25">
      <c r="A946" s="75" t="str">
        <f>IF(ISBLANK(B946),"", MAX(A$1:A945)+1)</f>
        <v/>
      </c>
    </row>
    <row r="947" spans="1:1" x14ac:dyDescent="0.25">
      <c r="A947" s="75" t="str">
        <f>IF(ISBLANK(B947),"", MAX(A$1:A946)+1)</f>
        <v/>
      </c>
    </row>
    <row r="948" spans="1:1" x14ac:dyDescent="0.25">
      <c r="A948" s="75" t="str">
        <f>IF(ISBLANK(B948),"", MAX(A$1:A947)+1)</f>
        <v/>
      </c>
    </row>
    <row r="949" spans="1:1" x14ac:dyDescent="0.25">
      <c r="A949" s="75" t="str">
        <f>IF(ISBLANK(B949),"", MAX(A$1:A948)+1)</f>
        <v/>
      </c>
    </row>
    <row r="950" spans="1:1" x14ac:dyDescent="0.25">
      <c r="A950" s="75" t="str">
        <f>IF(ISBLANK(B950),"", MAX(A$1:A949)+1)</f>
        <v/>
      </c>
    </row>
    <row r="951" spans="1:1" x14ac:dyDescent="0.25">
      <c r="A951" s="75" t="str">
        <f>IF(ISBLANK(B951),"", MAX(A$1:A950)+1)</f>
        <v/>
      </c>
    </row>
    <row r="952" spans="1:1" x14ac:dyDescent="0.25">
      <c r="A952" s="75" t="str">
        <f>IF(ISBLANK(B952),"", MAX(A$1:A951)+1)</f>
        <v/>
      </c>
    </row>
    <row r="953" spans="1:1" x14ac:dyDescent="0.25">
      <c r="A953" s="75" t="str">
        <f>IF(ISBLANK(B953),"", MAX(A$1:A952)+1)</f>
        <v/>
      </c>
    </row>
    <row r="954" spans="1:1" x14ac:dyDescent="0.25">
      <c r="A954" s="75" t="str">
        <f>IF(ISBLANK(B954),"", MAX(A$1:A953)+1)</f>
        <v/>
      </c>
    </row>
    <row r="955" spans="1:1" x14ac:dyDescent="0.25">
      <c r="A955" s="75" t="str">
        <f>IF(ISBLANK(B955),"", MAX(A$1:A954)+1)</f>
        <v/>
      </c>
    </row>
    <row r="956" spans="1:1" x14ac:dyDescent="0.25">
      <c r="A956" s="75" t="str">
        <f>IF(ISBLANK(B956),"", MAX(A$1:A955)+1)</f>
        <v/>
      </c>
    </row>
    <row r="957" spans="1:1" x14ac:dyDescent="0.25">
      <c r="A957" s="75" t="str">
        <f>IF(ISBLANK(B957),"", MAX(A$1:A956)+1)</f>
        <v/>
      </c>
    </row>
    <row r="958" spans="1:1" x14ac:dyDescent="0.25">
      <c r="A958" s="75" t="str">
        <f>IF(ISBLANK(B958),"", MAX(A$1:A957)+1)</f>
        <v/>
      </c>
    </row>
    <row r="959" spans="1:1" x14ac:dyDescent="0.25">
      <c r="A959" s="75" t="str">
        <f>IF(ISBLANK(B959),"", MAX(A$1:A958)+1)</f>
        <v/>
      </c>
    </row>
    <row r="960" spans="1:1" x14ac:dyDescent="0.25">
      <c r="A960" s="75" t="str">
        <f>IF(ISBLANK(B960),"", MAX(A$1:A959)+1)</f>
        <v/>
      </c>
    </row>
    <row r="961" spans="1:1" x14ac:dyDescent="0.25">
      <c r="A961" s="75" t="str">
        <f>IF(ISBLANK(B961),"", MAX(A$1:A960)+1)</f>
        <v/>
      </c>
    </row>
    <row r="962" spans="1:1" x14ac:dyDescent="0.25">
      <c r="A962" s="75" t="str">
        <f>IF(ISBLANK(B962),"", MAX(A$1:A961)+1)</f>
        <v/>
      </c>
    </row>
    <row r="963" spans="1:1" x14ac:dyDescent="0.25">
      <c r="A963" s="75" t="str">
        <f>IF(ISBLANK(B963),"", MAX(A$1:A962)+1)</f>
        <v/>
      </c>
    </row>
    <row r="964" spans="1:1" x14ac:dyDescent="0.25">
      <c r="A964" s="75" t="str">
        <f>IF(ISBLANK(B964),"", MAX(A$1:A963)+1)</f>
        <v/>
      </c>
    </row>
    <row r="965" spans="1:1" x14ac:dyDescent="0.25">
      <c r="A965" s="75" t="str">
        <f>IF(ISBLANK(B965),"", MAX(A$1:A964)+1)</f>
        <v/>
      </c>
    </row>
    <row r="966" spans="1:1" x14ac:dyDescent="0.25">
      <c r="A966" s="75" t="str">
        <f>IF(ISBLANK(B966),"", MAX(A$1:A965)+1)</f>
        <v/>
      </c>
    </row>
    <row r="967" spans="1:1" x14ac:dyDescent="0.25">
      <c r="A967" s="75" t="str">
        <f>IF(ISBLANK(B967),"", MAX(A$1:A966)+1)</f>
        <v/>
      </c>
    </row>
    <row r="968" spans="1:1" x14ac:dyDescent="0.25">
      <c r="A968" s="75" t="str">
        <f>IF(ISBLANK(B968),"", MAX(A$1:A967)+1)</f>
        <v/>
      </c>
    </row>
    <row r="969" spans="1:1" x14ac:dyDescent="0.25">
      <c r="A969" s="75" t="str">
        <f>IF(ISBLANK(B969),"", MAX(A$1:A968)+1)</f>
        <v/>
      </c>
    </row>
    <row r="970" spans="1:1" x14ac:dyDescent="0.25">
      <c r="A970" s="75" t="str">
        <f>IF(ISBLANK(B970),"", MAX(A$1:A969)+1)</f>
        <v/>
      </c>
    </row>
    <row r="971" spans="1:1" x14ac:dyDescent="0.25">
      <c r="A971" s="75" t="str">
        <f>IF(ISBLANK(B971),"", MAX(A$1:A970)+1)</f>
        <v/>
      </c>
    </row>
    <row r="972" spans="1:1" x14ac:dyDescent="0.25">
      <c r="A972" s="75" t="str">
        <f>IF(ISBLANK(B972),"", MAX(A$1:A971)+1)</f>
        <v/>
      </c>
    </row>
    <row r="973" spans="1:1" x14ac:dyDescent="0.25">
      <c r="A973" s="75" t="str">
        <f>IF(ISBLANK(B973),"", MAX(A$1:A972)+1)</f>
        <v/>
      </c>
    </row>
    <row r="974" spans="1:1" x14ac:dyDescent="0.25">
      <c r="A974" s="75" t="str">
        <f>IF(ISBLANK(B974),"", MAX(A$1:A973)+1)</f>
        <v/>
      </c>
    </row>
    <row r="975" spans="1:1" x14ac:dyDescent="0.25">
      <c r="A975" s="75" t="str">
        <f>IF(ISBLANK(B975),"", MAX(A$1:A974)+1)</f>
        <v/>
      </c>
    </row>
    <row r="976" spans="1:1" x14ac:dyDescent="0.25">
      <c r="A976" s="75" t="str">
        <f>IF(ISBLANK(B976),"", MAX(A$1:A975)+1)</f>
        <v/>
      </c>
    </row>
    <row r="977" spans="1:1" x14ac:dyDescent="0.25">
      <c r="A977" s="75" t="str">
        <f>IF(ISBLANK(B977),"", MAX(A$1:A976)+1)</f>
        <v/>
      </c>
    </row>
    <row r="978" spans="1:1" x14ac:dyDescent="0.25">
      <c r="A978" s="75" t="str">
        <f>IF(ISBLANK(B978),"", MAX(A$1:A977)+1)</f>
        <v/>
      </c>
    </row>
    <row r="979" spans="1:1" x14ac:dyDescent="0.25">
      <c r="A979" s="75" t="str">
        <f>IF(ISBLANK(B979),"", MAX(A$1:A978)+1)</f>
        <v/>
      </c>
    </row>
    <row r="980" spans="1:1" x14ac:dyDescent="0.25">
      <c r="A980" s="75" t="str">
        <f>IF(ISBLANK(B980),"", MAX(A$1:A979)+1)</f>
        <v/>
      </c>
    </row>
    <row r="981" spans="1:1" x14ac:dyDescent="0.25">
      <c r="A981" s="75" t="str">
        <f>IF(ISBLANK(B981),"", MAX(A$1:A980)+1)</f>
        <v/>
      </c>
    </row>
    <row r="982" spans="1:1" x14ac:dyDescent="0.25">
      <c r="A982" s="75" t="str">
        <f>IF(ISBLANK(B982),"", MAX(A$1:A981)+1)</f>
        <v/>
      </c>
    </row>
    <row r="983" spans="1:1" x14ac:dyDescent="0.25">
      <c r="A983" s="75" t="str">
        <f>IF(ISBLANK(B983),"", MAX(A$1:A982)+1)</f>
        <v/>
      </c>
    </row>
    <row r="984" spans="1:1" x14ac:dyDescent="0.25">
      <c r="A984" s="75" t="str">
        <f>IF(ISBLANK(B984),"", MAX(A$1:A983)+1)</f>
        <v/>
      </c>
    </row>
    <row r="985" spans="1:1" x14ac:dyDescent="0.25">
      <c r="A985" s="75" t="str">
        <f>IF(ISBLANK(B985),"", MAX(A$1:A984)+1)</f>
        <v/>
      </c>
    </row>
    <row r="986" spans="1:1" x14ac:dyDescent="0.25">
      <c r="A986" s="75" t="str">
        <f>IF(ISBLANK(B986),"", MAX(A$1:A985)+1)</f>
        <v/>
      </c>
    </row>
    <row r="987" spans="1:1" x14ac:dyDescent="0.25">
      <c r="A987" s="75" t="str">
        <f>IF(ISBLANK(B987),"", MAX(A$1:A986)+1)</f>
        <v/>
      </c>
    </row>
    <row r="988" spans="1:1" x14ac:dyDescent="0.25">
      <c r="A988" s="75" t="str">
        <f>IF(ISBLANK(B988),"", MAX(A$1:A987)+1)</f>
        <v/>
      </c>
    </row>
    <row r="989" spans="1:1" x14ac:dyDescent="0.25">
      <c r="A989" s="75" t="str">
        <f>IF(ISBLANK(B989),"", MAX(A$1:A988)+1)</f>
        <v/>
      </c>
    </row>
    <row r="990" spans="1:1" x14ac:dyDescent="0.25">
      <c r="A990" s="75" t="str">
        <f>IF(ISBLANK(B990),"", MAX(A$1:A989)+1)</f>
        <v/>
      </c>
    </row>
    <row r="991" spans="1:1" x14ac:dyDescent="0.25">
      <c r="A991" s="75" t="str">
        <f>IF(ISBLANK(B991),"", MAX(A$1:A990)+1)</f>
        <v/>
      </c>
    </row>
    <row r="992" spans="1:1" x14ac:dyDescent="0.25">
      <c r="A992" s="75" t="str">
        <f>IF(ISBLANK(B992),"", MAX(A$1:A991)+1)</f>
        <v/>
      </c>
    </row>
    <row r="993" spans="1:1" x14ac:dyDescent="0.25">
      <c r="A993" s="75" t="str">
        <f>IF(ISBLANK(B993),"", MAX(A$1:A992)+1)</f>
        <v/>
      </c>
    </row>
    <row r="994" spans="1:1" x14ac:dyDescent="0.25">
      <c r="A994" s="75" t="str">
        <f>IF(ISBLANK(B994),"", MAX(A$1:A993)+1)</f>
        <v/>
      </c>
    </row>
    <row r="995" spans="1:1" x14ac:dyDescent="0.25">
      <c r="A995" s="75" t="str">
        <f>IF(ISBLANK(B995),"", MAX(A$1:A994)+1)</f>
        <v/>
      </c>
    </row>
    <row r="996" spans="1:1" x14ac:dyDescent="0.25">
      <c r="A996" s="75" t="str">
        <f>IF(ISBLANK(B996),"", MAX(A$1:A995)+1)</f>
        <v/>
      </c>
    </row>
    <row r="997" spans="1:1" x14ac:dyDescent="0.25">
      <c r="A997" s="75" t="str">
        <f>IF(ISBLANK(B997),"", MAX(A$1:A996)+1)</f>
        <v/>
      </c>
    </row>
    <row r="998" spans="1:1" x14ac:dyDescent="0.25">
      <c r="A998" s="75" t="str">
        <f>IF(ISBLANK(B998),"", MAX(A$1:A997)+1)</f>
        <v/>
      </c>
    </row>
    <row r="999" spans="1:1" x14ac:dyDescent="0.25">
      <c r="A999" s="75" t="str">
        <f>IF(ISBLANK(B999),"", MAX(A$1:A998)+1)</f>
        <v/>
      </c>
    </row>
    <row r="1000" spans="1:1" x14ac:dyDescent="0.25">
      <c r="A1000" s="75" t="str">
        <f>IF(ISBLANK(B1000),"", MAX(A$1:A999)+1)</f>
        <v/>
      </c>
    </row>
    <row r="1001" spans="1:1" x14ac:dyDescent="0.25">
      <c r="A1001" s="75" t="str">
        <f>IF(ISBLANK(B1001),"", MAX(A$1:A1000)+1)</f>
        <v/>
      </c>
    </row>
    <row r="1002" spans="1:1" x14ac:dyDescent="0.25">
      <c r="A1002" s="75" t="str">
        <f>IF(ISBLANK(B1002),"", MAX(A$1:A1001)+1)</f>
        <v/>
      </c>
    </row>
    <row r="1003" spans="1:1" x14ac:dyDescent="0.25">
      <c r="A1003" s="75" t="str">
        <f>IF(ISBLANK(B1003),"", MAX(A$1:A1002)+1)</f>
        <v/>
      </c>
    </row>
    <row r="1004" spans="1:1" x14ac:dyDescent="0.25">
      <c r="A1004" s="75" t="str">
        <f>IF(ISBLANK(B1004),"", MAX(A$1:A1003)+1)</f>
        <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Reporting</vt:lpstr>
      <vt:lpstr>Existing</vt:lpstr>
      <vt:lpstr>Monitoring</vt:lpstr>
      <vt:lpstr>Orders</vt:lpstr>
      <vt:lpstr>Forex</vt:lpstr>
      <vt:lpstr>Data</vt:lpstr>
      <vt:lpstr>Config</vt:lpstr>
      <vt:lpstr>Usage</vt:lpstr>
      <vt:lpstr>Notes</vt:lpstr>
      <vt:lpstr>AlgoTester</vt:lpstr>
      <vt:lpstr>Tranche Size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2017-07-16T12:57:07Z</dcterms:modified>
</cp:coreProperties>
</file>