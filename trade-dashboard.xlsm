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activeTab="1"/>
  </bookViews>
  <sheets>
    <sheet name="Reporting" sheetId="2" r:id="rId1"/>
    <sheet name="Existing" sheetId="10" r:id="rId2"/>
    <sheet name="Monitoring" sheetId="3" state="hidden" r:id="rId3"/>
    <sheet name="Orders" sheetId="7" r:id="rId4"/>
    <sheet name="Forex" sheetId="6" r:id="rId5"/>
    <sheet name="Data" sheetId="5" r:id="rId6"/>
    <sheet name="Config" sheetId="4" r:id="rId7"/>
    <sheet name="Usage" sheetId="8" r:id="rId8"/>
    <sheet name="Notes" sheetId="9" r:id="rId9"/>
    <sheet name="AlgoTester" sheetId="12" r:id="rId10"/>
    <sheet name="Tranche Size" sheetId="11" state="hidden" r:id="rId11"/>
  </sheets>
  <functionGroups builtInGroupCount="18">
    <functionGroup name="OpenApi Add-In"/>
  </functionGroups>
  <definedNames>
    <definedName name="LastPrice">VLOOKUP(Existing!XEV1, Data!XFA1048576:XFD50, 2,FALSE)</definedName>
    <definedName name="PctFromPrevRep">LastPrice/PrevRep-1</definedName>
    <definedName name="PrevRep">VLOOKUP(Existing!XEV1,Data!G1:M51, 7, FALSE)</definedName>
  </definedName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Y4" i="10" l="1"/>
  <c r="Y5" i="10"/>
  <c r="Y6" i="10"/>
  <c r="Y7" i="10"/>
  <c r="Y8" i="10"/>
  <c r="Y9" i="10"/>
  <c r="Y10" i="10"/>
  <c r="Y11" i="10"/>
  <c r="Y12" i="10"/>
  <c r="Y48" i="10"/>
  <c r="Y49" i="10"/>
  <c r="Y50" i="10"/>
  <c r="Y51" i="10"/>
  <c r="Y52" i="10"/>
  <c r="Y53" i="10"/>
  <c r="Q47" i="10" a="1"/>
  <c r="Q46" i="10" a="1"/>
  <c r="Q45" i="10" a="1"/>
  <c r="Q44" i="10" a="1"/>
  <c r="Q43" i="10" a="1"/>
  <c r="Q42" i="10" a="1"/>
  <c r="Q41" i="10" a="1"/>
  <c r="Q40" i="10" a="1"/>
  <c r="Q39" i="10" a="1"/>
  <c r="Q38" i="10" a="1"/>
  <c r="Q37" i="10" a="1"/>
  <c r="Q36" i="10" a="1"/>
  <c r="Q35" i="10" a="1"/>
  <c r="B3" i="7" a="1"/>
  <c r="B2" i="7"/>
  <c r="Q34" i="10" a="1"/>
  <c r="Q33" i="10" a="1"/>
  <c r="Q32" i="10" a="1"/>
  <c r="Q31" i="10" a="1"/>
  <c r="Q30" i="10" a="1"/>
  <c r="Q29" i="10" a="1"/>
  <c r="Q28" i="10" a="1"/>
  <c r="Q27" i="10" a="1"/>
  <c r="Q26" i="10" a="1"/>
  <c r="Q25" i="10" a="1"/>
  <c r="Q24" i="10" a="1"/>
  <c r="Q23" i="10" a="1"/>
  <c r="Q22" i="10" a="1"/>
  <c r="Q21" i="10" a="1"/>
  <c r="Q20" i="10" a="1"/>
  <c r="Q19" i="10" a="1"/>
  <c r="Q18" i="10" a="1"/>
  <c r="Q17" i="10" a="1"/>
  <c r="Q16" i="10" a="1"/>
  <c r="Q15" i="10" a="1"/>
  <c r="Q14" i="10" a="1"/>
  <c r="Q13" i="10" a="1"/>
  <c r="Q12" i="10" a="1"/>
  <c r="Q11" i="10" a="1"/>
  <c r="Q10" i="10" a="1"/>
  <c r="Q9" i="10" a="1"/>
  <c r="Q8" i="10" a="1"/>
  <c r="Q7" i="10" a="1"/>
  <c r="Q6" i="10" a="1"/>
  <c r="Q5" i="10" a="1"/>
  <c r="Q4" i="10" a="1"/>
  <c r="Q3" i="10" a="1"/>
  <c r="Q2" i="10"/>
  <c r="C5" i="10" a="1"/>
  <c r="C4" i="10" a="1"/>
  <c r="C3" i="10" a="1"/>
  <c r="B109" i="12"/>
  <c r="D110" i="12"/>
  <c r="C109" i="12"/>
  <c r="C110" i="12"/>
  <c r="G110" i="12"/>
  <c r="D109" i="12"/>
  <c r="B110" i="12"/>
  <c r="I110" i="12"/>
  <c r="E109" i="12"/>
  <c r="F110" i="12"/>
  <c r="F109" i="12"/>
  <c r="G109" i="12"/>
  <c r="E110" i="12"/>
  <c r="H109" i="12"/>
  <c r="I109" i="12"/>
  <c r="H110" i="12"/>
  <c r="I108" i="12"/>
  <c r="I106" i="12"/>
  <c r="I104" i="12"/>
  <c r="I102" i="12"/>
  <c r="I100" i="12"/>
  <c r="I98" i="12"/>
  <c r="I96" i="12"/>
  <c r="I94" i="12"/>
  <c r="I92" i="12"/>
  <c r="I90" i="12"/>
  <c r="I88" i="12"/>
  <c r="I86" i="12"/>
  <c r="I84" i="12"/>
  <c r="I82" i="12"/>
  <c r="I80" i="12"/>
  <c r="I78" i="12"/>
  <c r="I76" i="12"/>
  <c r="I74" i="12"/>
  <c r="I72" i="12"/>
  <c r="I70" i="12"/>
  <c r="I68" i="12"/>
  <c r="I66" i="12"/>
  <c r="I64" i="12"/>
  <c r="I62" i="12"/>
  <c r="I60" i="12"/>
  <c r="I58" i="12"/>
  <c r="I56" i="12"/>
  <c r="I54" i="12"/>
  <c r="I52" i="12"/>
  <c r="I50" i="12"/>
  <c r="I48" i="12"/>
  <c r="I46" i="12"/>
  <c r="I44" i="12"/>
  <c r="I42" i="12"/>
  <c r="I40" i="12"/>
  <c r="I38" i="12"/>
  <c r="I36" i="12"/>
  <c r="I34" i="12"/>
  <c r="I32" i="12"/>
  <c r="I30" i="12"/>
  <c r="I28" i="12"/>
  <c r="I26" i="12"/>
  <c r="I24" i="12"/>
  <c r="I22" i="12"/>
  <c r="I20" i="12"/>
  <c r="I18" i="12"/>
  <c r="I16" i="12"/>
  <c r="I14" i="12"/>
  <c r="I12" i="12"/>
  <c r="I10" i="12"/>
  <c r="I8" i="12"/>
  <c r="I6" i="12"/>
  <c r="G7" i="12"/>
  <c r="B89" i="12"/>
  <c r="B61" i="12"/>
  <c r="B31" i="12"/>
  <c r="H108" i="12"/>
  <c r="H106" i="12"/>
  <c r="H104" i="12"/>
  <c r="H102" i="12"/>
  <c r="H100" i="12"/>
  <c r="H98" i="12"/>
  <c r="H96" i="12"/>
  <c r="H94" i="12"/>
  <c r="H92" i="12"/>
  <c r="H90" i="12"/>
  <c r="H88" i="12"/>
  <c r="H86" i="12"/>
  <c r="H84" i="12"/>
  <c r="H82" i="12"/>
  <c r="H80" i="12"/>
  <c r="H78" i="12"/>
  <c r="H76" i="12"/>
  <c r="H74" i="12"/>
  <c r="H72" i="12"/>
  <c r="H70" i="12"/>
  <c r="H68" i="12"/>
  <c r="H66" i="12"/>
  <c r="H64" i="12"/>
  <c r="H62" i="12"/>
  <c r="H60" i="12"/>
  <c r="H58" i="12"/>
  <c r="H56" i="12"/>
  <c r="H54" i="12"/>
  <c r="H52" i="12"/>
  <c r="H50" i="12"/>
  <c r="H48" i="12"/>
  <c r="H46" i="12"/>
  <c r="H44" i="12"/>
  <c r="H42" i="12"/>
  <c r="H40" i="12"/>
  <c r="H38" i="12"/>
  <c r="H36" i="12"/>
  <c r="H34" i="12"/>
  <c r="H32" i="12"/>
  <c r="H30" i="12"/>
  <c r="H28" i="12"/>
  <c r="H26" i="12"/>
  <c r="H24" i="12"/>
  <c r="H22" i="12"/>
  <c r="H20" i="12"/>
  <c r="H18" i="12"/>
  <c r="H16" i="12"/>
  <c r="H14" i="12"/>
  <c r="H12" i="12"/>
  <c r="H10" i="12"/>
  <c r="H8" i="12"/>
  <c r="H6" i="12"/>
  <c r="C8" i="12"/>
  <c r="B91" i="12"/>
  <c r="B75" i="12"/>
  <c r="B47" i="12"/>
  <c r="B25" i="12"/>
  <c r="G108" i="12"/>
  <c r="G106" i="12"/>
  <c r="G104" i="12"/>
  <c r="G102" i="12"/>
  <c r="G100" i="12"/>
  <c r="G98" i="12"/>
  <c r="G96" i="12"/>
  <c r="G94" i="12"/>
  <c r="G92" i="12"/>
  <c r="G90" i="12"/>
  <c r="G88" i="12"/>
  <c r="G86" i="12"/>
  <c r="G84" i="12"/>
  <c r="G82" i="12"/>
  <c r="G80" i="12"/>
  <c r="G78" i="12"/>
  <c r="G76" i="12"/>
  <c r="G74" i="12"/>
  <c r="G72" i="12"/>
  <c r="G70" i="12"/>
  <c r="G68" i="12"/>
  <c r="G66" i="12"/>
  <c r="G64" i="12"/>
  <c r="G62" i="12"/>
  <c r="G60" i="12"/>
  <c r="G58" i="12"/>
  <c r="G56" i="12"/>
  <c r="G54" i="12"/>
  <c r="G52" i="12"/>
  <c r="G50" i="12"/>
  <c r="G48" i="12"/>
  <c r="G46" i="12"/>
  <c r="G44" i="12"/>
  <c r="G42" i="12"/>
  <c r="G40" i="12"/>
  <c r="G38" i="12"/>
  <c r="G36" i="12"/>
  <c r="G34" i="12"/>
  <c r="G32" i="12"/>
  <c r="G30" i="12"/>
  <c r="G28" i="12"/>
  <c r="G26" i="12"/>
  <c r="G24" i="12"/>
  <c r="G22" i="12"/>
  <c r="G20" i="12"/>
  <c r="G18" i="12"/>
  <c r="G16" i="12"/>
  <c r="G14" i="12"/>
  <c r="G12" i="12"/>
  <c r="G10" i="12"/>
  <c r="G8" i="12"/>
  <c r="G6" i="12"/>
  <c r="C6" i="12"/>
  <c r="B95" i="12"/>
  <c r="B57" i="12"/>
  <c r="B17" i="12"/>
  <c r="F108" i="12"/>
  <c r="F106" i="12"/>
  <c r="F104" i="12"/>
  <c r="F102" i="12"/>
  <c r="F100" i="12"/>
  <c r="F98" i="12"/>
  <c r="F96" i="12"/>
  <c r="F94" i="12"/>
  <c r="F92" i="12"/>
  <c r="F90" i="12"/>
  <c r="F88" i="12"/>
  <c r="F86" i="12"/>
  <c r="F84" i="12"/>
  <c r="F82" i="12"/>
  <c r="F80" i="12"/>
  <c r="F78" i="12"/>
  <c r="F76" i="12"/>
  <c r="F74" i="12"/>
  <c r="F72" i="12"/>
  <c r="F70" i="12"/>
  <c r="F68" i="12"/>
  <c r="F66" i="12"/>
  <c r="F64" i="12"/>
  <c r="F62" i="12"/>
  <c r="F60" i="12"/>
  <c r="F58" i="12"/>
  <c r="F56" i="12"/>
  <c r="F54" i="12"/>
  <c r="F52" i="12"/>
  <c r="F50" i="12"/>
  <c r="F48" i="12"/>
  <c r="F46" i="12"/>
  <c r="F44" i="12"/>
  <c r="F42" i="12"/>
  <c r="F40" i="12"/>
  <c r="F38" i="12"/>
  <c r="F36" i="12"/>
  <c r="F34" i="12"/>
  <c r="F32" i="12"/>
  <c r="F30" i="12"/>
  <c r="F28" i="12"/>
  <c r="F26" i="12"/>
  <c r="F24" i="12"/>
  <c r="F22" i="12"/>
  <c r="F20" i="12"/>
  <c r="F18" i="12"/>
  <c r="F16" i="12"/>
  <c r="F14" i="12"/>
  <c r="F12" i="12"/>
  <c r="F10" i="12"/>
  <c r="F8" i="12"/>
  <c r="F6" i="12"/>
  <c r="B97" i="12"/>
  <c r="B51" i="12"/>
  <c r="B13" i="12"/>
  <c r="E108" i="12"/>
  <c r="E106" i="12"/>
  <c r="E104" i="12"/>
  <c r="E102" i="12"/>
  <c r="E100" i="12"/>
  <c r="E98" i="12"/>
  <c r="E96" i="12"/>
  <c r="E94" i="12"/>
  <c r="E92" i="12"/>
  <c r="E90" i="12"/>
  <c r="E88" i="12"/>
  <c r="E86" i="12"/>
  <c r="E84" i="12"/>
  <c r="E82" i="12"/>
  <c r="E80" i="12"/>
  <c r="E78" i="12"/>
  <c r="E76" i="12"/>
  <c r="E74" i="12"/>
  <c r="E72" i="12"/>
  <c r="E70" i="12"/>
  <c r="E68" i="12"/>
  <c r="E66" i="12"/>
  <c r="E64" i="12"/>
  <c r="E62" i="12"/>
  <c r="E60" i="12"/>
  <c r="E58" i="12"/>
  <c r="E56" i="12"/>
  <c r="E54" i="12"/>
  <c r="E52" i="12"/>
  <c r="E50" i="12"/>
  <c r="E48" i="12"/>
  <c r="E46" i="12"/>
  <c r="E44" i="12"/>
  <c r="E42" i="12"/>
  <c r="E40" i="12"/>
  <c r="E38" i="12"/>
  <c r="E36" i="12"/>
  <c r="E34" i="12"/>
  <c r="E32" i="12"/>
  <c r="E30" i="12"/>
  <c r="E28" i="12"/>
  <c r="E26" i="12"/>
  <c r="E24" i="12"/>
  <c r="E22" i="12"/>
  <c r="E20" i="12"/>
  <c r="E18" i="12"/>
  <c r="E16" i="12"/>
  <c r="E14" i="12"/>
  <c r="E12" i="12"/>
  <c r="E10" i="12"/>
  <c r="E8" i="12"/>
  <c r="E6" i="12"/>
  <c r="B93" i="12"/>
  <c r="B55" i="12"/>
  <c r="B19" i="12"/>
  <c r="D108" i="12"/>
  <c r="D106" i="12"/>
  <c r="D104" i="12"/>
  <c r="D102" i="12"/>
  <c r="D100" i="12"/>
  <c r="D98" i="12"/>
  <c r="D96" i="12"/>
  <c r="D94" i="12"/>
  <c r="D92" i="12"/>
  <c r="D90" i="12"/>
  <c r="D88" i="12"/>
  <c r="D86" i="12"/>
  <c r="D84" i="12"/>
  <c r="D82" i="12"/>
  <c r="D80" i="12"/>
  <c r="D78" i="12"/>
  <c r="D76" i="12"/>
  <c r="D74" i="12"/>
  <c r="D72" i="12"/>
  <c r="D70" i="12"/>
  <c r="D68" i="12"/>
  <c r="D66" i="12"/>
  <c r="D64" i="12"/>
  <c r="D62" i="12"/>
  <c r="D60" i="12"/>
  <c r="D58" i="12"/>
  <c r="D56" i="12"/>
  <c r="D54" i="12"/>
  <c r="D52" i="12"/>
  <c r="D50" i="12"/>
  <c r="D48" i="12"/>
  <c r="D46" i="12"/>
  <c r="D44" i="12"/>
  <c r="D42" i="12"/>
  <c r="D40" i="12"/>
  <c r="D38" i="12"/>
  <c r="D36" i="12"/>
  <c r="D34" i="12"/>
  <c r="D32" i="12"/>
  <c r="D30" i="12"/>
  <c r="D28" i="12"/>
  <c r="D26" i="12"/>
  <c r="D24" i="12"/>
  <c r="D22" i="12"/>
  <c r="D20" i="12"/>
  <c r="D18" i="12"/>
  <c r="D16" i="12"/>
  <c r="D14" i="12"/>
  <c r="D12" i="12"/>
  <c r="D10" i="12"/>
  <c r="D8" i="12"/>
  <c r="D6" i="12"/>
  <c r="G11" i="12"/>
  <c r="B81" i="12"/>
  <c r="B71" i="12"/>
  <c r="B43" i="12"/>
  <c r="B11" i="12"/>
  <c r="C108" i="12"/>
  <c r="C106" i="12"/>
  <c r="C104" i="12"/>
  <c r="C102" i="12"/>
  <c r="C100" i="12"/>
  <c r="C98" i="12"/>
  <c r="C96" i="12"/>
  <c r="C94" i="12"/>
  <c r="C92" i="12"/>
  <c r="C90" i="12"/>
  <c r="C88" i="12"/>
  <c r="C86" i="12"/>
  <c r="C84" i="12"/>
  <c r="C82" i="12"/>
  <c r="C80" i="12"/>
  <c r="C78" i="12"/>
  <c r="C76" i="12"/>
  <c r="C74" i="12"/>
  <c r="C72" i="12"/>
  <c r="C70" i="12"/>
  <c r="C68" i="12"/>
  <c r="C66" i="12"/>
  <c r="C64" i="12"/>
  <c r="C62" i="12"/>
  <c r="C60" i="12"/>
  <c r="C58" i="12"/>
  <c r="C56" i="12"/>
  <c r="C54" i="12"/>
  <c r="C52" i="12"/>
  <c r="C50" i="12"/>
  <c r="C48" i="12"/>
  <c r="C46" i="12"/>
  <c r="C44" i="12"/>
  <c r="C42" i="12"/>
  <c r="C40" i="12"/>
  <c r="C38" i="12"/>
  <c r="C36" i="12"/>
  <c r="C34" i="12"/>
  <c r="C32" i="12"/>
  <c r="C30" i="12"/>
  <c r="C28" i="12"/>
  <c r="C26" i="12"/>
  <c r="C24" i="12"/>
  <c r="C22" i="12"/>
  <c r="C20" i="12"/>
  <c r="C18" i="12"/>
  <c r="C16" i="12"/>
  <c r="C14" i="12"/>
  <c r="C12" i="12"/>
  <c r="C10" i="12"/>
  <c r="B103" i="12"/>
  <c r="B67" i="12"/>
  <c r="B37" i="12"/>
  <c r="B108" i="12"/>
  <c r="B106" i="12"/>
  <c r="B104" i="12"/>
  <c r="B102" i="12"/>
  <c r="B100" i="12"/>
  <c r="B98" i="12"/>
  <c r="B96" i="12"/>
  <c r="B94" i="12"/>
  <c r="B92" i="12"/>
  <c r="B90" i="12"/>
  <c r="B88" i="12"/>
  <c r="B86" i="12"/>
  <c r="B84" i="12"/>
  <c r="B82" i="12"/>
  <c r="B80" i="12"/>
  <c r="B78" i="12"/>
  <c r="B76" i="12"/>
  <c r="B74" i="12"/>
  <c r="B72" i="12"/>
  <c r="B70" i="12"/>
  <c r="B68" i="12"/>
  <c r="B66" i="12"/>
  <c r="B64" i="12"/>
  <c r="B62" i="12"/>
  <c r="B60" i="12"/>
  <c r="B58" i="12"/>
  <c r="B56" i="12"/>
  <c r="B54" i="12"/>
  <c r="B52" i="12"/>
  <c r="B50" i="12"/>
  <c r="B48" i="12"/>
  <c r="B46" i="12"/>
  <c r="B44" i="12"/>
  <c r="B42" i="12"/>
  <c r="B40" i="12"/>
  <c r="B38" i="12"/>
  <c r="B36" i="12"/>
  <c r="B34" i="12"/>
  <c r="B32" i="12"/>
  <c r="B30" i="12"/>
  <c r="B28" i="12"/>
  <c r="B26" i="12"/>
  <c r="B24" i="12"/>
  <c r="B22" i="12"/>
  <c r="B20" i="12"/>
  <c r="B18" i="12"/>
  <c r="B16" i="12"/>
  <c r="B14" i="12"/>
  <c r="B12" i="12"/>
  <c r="B10" i="12"/>
  <c r="B8" i="12"/>
  <c r="B6" i="12"/>
  <c r="I7" i="12"/>
  <c r="G9" i="12"/>
  <c r="B87" i="12"/>
  <c r="B65" i="12"/>
  <c r="B41" i="12"/>
  <c r="B27" i="12"/>
  <c r="B9" i="12"/>
  <c r="I107" i="12"/>
  <c r="I105" i="12"/>
  <c r="I103" i="12"/>
  <c r="I101" i="12"/>
  <c r="I99" i="12"/>
  <c r="I97" i="12"/>
  <c r="I95" i="12"/>
  <c r="I93" i="12"/>
  <c r="I91" i="12"/>
  <c r="I89" i="12"/>
  <c r="I87" i="12"/>
  <c r="I85" i="12"/>
  <c r="I83" i="12"/>
  <c r="I81" i="12"/>
  <c r="I79" i="12"/>
  <c r="I77" i="12"/>
  <c r="I75" i="12"/>
  <c r="I73" i="12"/>
  <c r="I71" i="12"/>
  <c r="I69" i="12"/>
  <c r="I67" i="12"/>
  <c r="I65" i="12"/>
  <c r="I63" i="12"/>
  <c r="I61" i="12"/>
  <c r="I59" i="12"/>
  <c r="I57" i="12"/>
  <c r="I55" i="12"/>
  <c r="I53" i="12"/>
  <c r="I51" i="12"/>
  <c r="I49" i="12"/>
  <c r="I47" i="12"/>
  <c r="I45" i="12"/>
  <c r="I43" i="12"/>
  <c r="I41" i="12"/>
  <c r="I39" i="12"/>
  <c r="I37" i="12"/>
  <c r="I35" i="12"/>
  <c r="I33" i="12"/>
  <c r="I31" i="12"/>
  <c r="I29" i="12"/>
  <c r="I27" i="12"/>
  <c r="I25" i="12"/>
  <c r="I23" i="12"/>
  <c r="I21" i="12"/>
  <c r="I19" i="12"/>
  <c r="I17" i="12"/>
  <c r="I15" i="12"/>
  <c r="I13" i="12"/>
  <c r="I11" i="12"/>
  <c r="I9" i="12"/>
  <c r="G15" i="12"/>
  <c r="B85" i="12"/>
  <c r="B77" i="12"/>
  <c r="B45" i="12"/>
  <c r="B23" i="12"/>
  <c r="H107" i="12"/>
  <c r="H105" i="12"/>
  <c r="H103" i="12"/>
  <c r="H101" i="12"/>
  <c r="H99" i="12"/>
  <c r="H97" i="12"/>
  <c r="H95" i="12"/>
  <c r="H93" i="12"/>
  <c r="H91" i="12"/>
  <c r="H89" i="12"/>
  <c r="H87" i="12"/>
  <c r="H85" i="12"/>
  <c r="H83" i="12"/>
  <c r="H81" i="12"/>
  <c r="H79" i="12"/>
  <c r="H77" i="12"/>
  <c r="H75" i="12"/>
  <c r="H73" i="12"/>
  <c r="H71" i="12"/>
  <c r="H69" i="12"/>
  <c r="H67" i="12"/>
  <c r="H65" i="12"/>
  <c r="H63" i="12"/>
  <c r="H61" i="12"/>
  <c r="H59" i="12"/>
  <c r="H57" i="12"/>
  <c r="H55" i="12"/>
  <c r="H53" i="12"/>
  <c r="H51" i="12"/>
  <c r="H49" i="12"/>
  <c r="H47" i="12"/>
  <c r="H45" i="12"/>
  <c r="H43" i="12"/>
  <c r="H41" i="12"/>
  <c r="H39" i="12"/>
  <c r="H37" i="12"/>
  <c r="H35" i="12"/>
  <c r="H33" i="12"/>
  <c r="H31" i="12"/>
  <c r="H29" i="12"/>
  <c r="H27" i="12"/>
  <c r="H25" i="12"/>
  <c r="H23" i="12"/>
  <c r="H21" i="12"/>
  <c r="H19" i="12"/>
  <c r="H17" i="12"/>
  <c r="H15" i="12"/>
  <c r="H13" i="12"/>
  <c r="H11" i="12"/>
  <c r="H9" i="12"/>
  <c r="H7" i="12"/>
  <c r="G17" i="12"/>
  <c r="B79" i="12"/>
  <c r="B59" i="12"/>
  <c r="B29" i="12"/>
  <c r="G107" i="12"/>
  <c r="G105" i="12"/>
  <c r="G103" i="12"/>
  <c r="G101" i="12"/>
  <c r="G99" i="12"/>
  <c r="G97" i="12"/>
  <c r="G95" i="12"/>
  <c r="G93" i="12"/>
  <c r="G91" i="12"/>
  <c r="G89" i="12"/>
  <c r="G87" i="12"/>
  <c r="G85" i="12"/>
  <c r="G83" i="12"/>
  <c r="G81" i="12"/>
  <c r="G79" i="12"/>
  <c r="G77" i="12"/>
  <c r="G75" i="12"/>
  <c r="G73" i="12"/>
  <c r="G71" i="12"/>
  <c r="G69" i="12"/>
  <c r="G67" i="12"/>
  <c r="G65" i="12"/>
  <c r="G63" i="12"/>
  <c r="G61" i="12"/>
  <c r="G59" i="12"/>
  <c r="G57" i="12"/>
  <c r="G55" i="12"/>
  <c r="G53" i="12"/>
  <c r="G51" i="12"/>
  <c r="G49" i="12"/>
  <c r="G47" i="12"/>
  <c r="G45" i="12"/>
  <c r="G43" i="12"/>
  <c r="G41" i="12"/>
  <c r="G39" i="12"/>
  <c r="G37" i="12"/>
  <c r="G35" i="12"/>
  <c r="G33" i="12"/>
  <c r="G31" i="12"/>
  <c r="G29" i="12"/>
  <c r="G27" i="12"/>
  <c r="G25" i="12"/>
  <c r="G23" i="12"/>
  <c r="G21" i="12"/>
  <c r="G19" i="12"/>
  <c r="G13" i="12"/>
  <c r="B83" i="12"/>
  <c r="B63" i="12"/>
  <c r="B35" i="12"/>
  <c r="F107" i="12"/>
  <c r="F105" i="12"/>
  <c r="F103" i="12"/>
  <c r="F101" i="12"/>
  <c r="F99" i="12"/>
  <c r="F97" i="12"/>
  <c r="F95" i="12"/>
  <c r="F93" i="12"/>
  <c r="F91" i="12"/>
  <c r="F89" i="12"/>
  <c r="F87" i="12"/>
  <c r="F85" i="12"/>
  <c r="F83" i="12"/>
  <c r="F81" i="12"/>
  <c r="F79" i="12"/>
  <c r="F77" i="12"/>
  <c r="F75" i="12"/>
  <c r="F73" i="12"/>
  <c r="F71" i="12"/>
  <c r="F69" i="12"/>
  <c r="F67" i="12"/>
  <c r="F65" i="12"/>
  <c r="F63" i="12"/>
  <c r="F61" i="12"/>
  <c r="F59" i="12"/>
  <c r="F57" i="12"/>
  <c r="F55" i="12"/>
  <c r="F53" i="12"/>
  <c r="F51" i="12"/>
  <c r="F49" i="12"/>
  <c r="F47" i="12"/>
  <c r="F45" i="12"/>
  <c r="F43" i="12"/>
  <c r="F41" i="12"/>
  <c r="F39" i="12"/>
  <c r="F37" i="12"/>
  <c r="F35" i="12"/>
  <c r="F33" i="12"/>
  <c r="F31" i="12"/>
  <c r="F29" i="12"/>
  <c r="F27" i="12"/>
  <c r="F25" i="12"/>
  <c r="F23" i="12"/>
  <c r="F21" i="12"/>
  <c r="F19" i="12"/>
  <c r="F17" i="12"/>
  <c r="F15" i="12"/>
  <c r="F13" i="12"/>
  <c r="F11" i="12"/>
  <c r="F9" i="12"/>
  <c r="F7" i="12"/>
  <c r="C7" i="12"/>
  <c r="B101" i="12"/>
  <c r="B49" i="12"/>
  <c r="B15" i="12"/>
  <c r="E107" i="12"/>
  <c r="E105" i="12"/>
  <c r="E103" i="12"/>
  <c r="E101" i="12"/>
  <c r="E99" i="12"/>
  <c r="E97" i="12"/>
  <c r="E95" i="12"/>
  <c r="E93" i="12"/>
  <c r="E91" i="12"/>
  <c r="E89" i="12"/>
  <c r="E87" i="12"/>
  <c r="E85" i="12"/>
  <c r="E83" i="12"/>
  <c r="E81" i="12"/>
  <c r="E79" i="12"/>
  <c r="E77" i="12"/>
  <c r="E75" i="12"/>
  <c r="E73" i="12"/>
  <c r="E71" i="12"/>
  <c r="E69" i="12"/>
  <c r="E67" i="12"/>
  <c r="E65" i="12"/>
  <c r="E63" i="12"/>
  <c r="E61" i="12"/>
  <c r="E59" i="12"/>
  <c r="E57" i="12"/>
  <c r="E55" i="12"/>
  <c r="E53" i="12"/>
  <c r="E51" i="12"/>
  <c r="E49" i="12"/>
  <c r="E47" i="12"/>
  <c r="E45" i="12"/>
  <c r="E43" i="12"/>
  <c r="E41" i="12"/>
  <c r="E39" i="12"/>
  <c r="E37" i="12"/>
  <c r="E35" i="12"/>
  <c r="E33" i="12"/>
  <c r="E31" i="12"/>
  <c r="E29" i="12"/>
  <c r="E27" i="12"/>
  <c r="E25" i="12"/>
  <c r="E23" i="12"/>
  <c r="E21" i="12"/>
  <c r="E19" i="12"/>
  <c r="E17" i="12"/>
  <c r="E15" i="12"/>
  <c r="E13" i="12"/>
  <c r="E11" i="12"/>
  <c r="E9" i="12"/>
  <c r="E7" i="12"/>
  <c r="B99" i="12"/>
  <c r="B53" i="12"/>
  <c r="B21" i="12"/>
  <c r="D107" i="12"/>
  <c r="D105" i="12"/>
  <c r="D103" i="12"/>
  <c r="D101" i="12"/>
  <c r="D99" i="12"/>
  <c r="D97" i="12"/>
  <c r="D95" i="12"/>
  <c r="D93" i="12"/>
  <c r="D91" i="12"/>
  <c r="D89" i="12"/>
  <c r="D87" i="12"/>
  <c r="D85" i="12"/>
  <c r="D83" i="12"/>
  <c r="D81" i="12"/>
  <c r="D79" i="12"/>
  <c r="D77" i="12"/>
  <c r="D75" i="12"/>
  <c r="D73" i="12"/>
  <c r="D71" i="12"/>
  <c r="D69" i="12"/>
  <c r="D67" i="12"/>
  <c r="D65" i="12"/>
  <c r="D63" i="12"/>
  <c r="D61" i="12"/>
  <c r="D59" i="12"/>
  <c r="D57" i="12"/>
  <c r="D55" i="12"/>
  <c r="D53" i="12"/>
  <c r="D51" i="12"/>
  <c r="D49" i="12"/>
  <c r="D47" i="12"/>
  <c r="D45" i="12"/>
  <c r="D43" i="12"/>
  <c r="D41" i="12"/>
  <c r="D39" i="12"/>
  <c r="D37" i="12"/>
  <c r="D35" i="12"/>
  <c r="D33" i="12"/>
  <c r="D31" i="12"/>
  <c r="D29" i="12"/>
  <c r="D27" i="12"/>
  <c r="D25" i="12"/>
  <c r="D23" i="12"/>
  <c r="D21" i="12"/>
  <c r="D19" i="12"/>
  <c r="D17" i="12"/>
  <c r="D15" i="12"/>
  <c r="D13" i="12"/>
  <c r="D11" i="12"/>
  <c r="D9" i="12"/>
  <c r="D7" i="12"/>
  <c r="B105" i="12"/>
  <c r="B69" i="12"/>
  <c r="B33" i="12"/>
  <c r="C107" i="12"/>
  <c r="C105" i="12"/>
  <c r="C103" i="12"/>
  <c r="C101" i="12"/>
  <c r="C99" i="12"/>
  <c r="C97" i="12"/>
  <c r="C95" i="12"/>
  <c r="C93" i="12"/>
  <c r="C91" i="12"/>
  <c r="C89" i="12"/>
  <c r="C87" i="12"/>
  <c r="C85" i="12"/>
  <c r="C83" i="12"/>
  <c r="C81" i="12"/>
  <c r="C79" i="12"/>
  <c r="C77" i="12"/>
  <c r="C75" i="12"/>
  <c r="C73" i="12"/>
  <c r="C71" i="12"/>
  <c r="C69" i="12"/>
  <c r="C67" i="12"/>
  <c r="C65" i="12"/>
  <c r="C63" i="12"/>
  <c r="C61" i="12"/>
  <c r="C59" i="12"/>
  <c r="C57" i="12"/>
  <c r="C55" i="12"/>
  <c r="C53" i="12"/>
  <c r="C51" i="12"/>
  <c r="C49" i="12"/>
  <c r="C47" i="12"/>
  <c r="C45" i="12"/>
  <c r="C43" i="12"/>
  <c r="C41" i="12"/>
  <c r="C39" i="12"/>
  <c r="C37" i="12"/>
  <c r="C35" i="12"/>
  <c r="C33" i="12"/>
  <c r="C31" i="12"/>
  <c r="C29" i="12"/>
  <c r="C27" i="12"/>
  <c r="C25" i="12"/>
  <c r="C23" i="12"/>
  <c r="C21" i="12"/>
  <c r="C19" i="12"/>
  <c r="C17" i="12"/>
  <c r="C15" i="12"/>
  <c r="C13" i="12"/>
  <c r="C11" i="12"/>
  <c r="C9" i="12"/>
  <c r="B107" i="12"/>
  <c r="B73" i="12"/>
  <c r="B39" i="12"/>
  <c r="B7" i="12"/>
  <c r="U23" i="7"/>
  <c r="B11" i="4"/>
  <c r="C2" i="10"/>
  <c r="B10" i="4"/>
  <c r="K52" i="10" l="1"/>
  <c r="K53" i="10"/>
  <c r="Q47" i="10"/>
  <c r="V47" i="10"/>
  <c r="S47" i="10"/>
  <c r="U47" i="10"/>
  <c r="W47" i="10"/>
  <c r="R47" i="10"/>
  <c r="T47" i="10"/>
  <c r="Q46" i="10"/>
  <c r="V46" i="10"/>
  <c r="S46" i="10"/>
  <c r="W46" i="10"/>
  <c r="R46" i="10"/>
  <c r="T46" i="10"/>
  <c r="U46" i="10"/>
  <c r="Q45" i="10"/>
  <c r="T45" i="10"/>
  <c r="R45" i="10"/>
  <c r="S45" i="10"/>
  <c r="V45" i="10"/>
  <c r="W45" i="10"/>
  <c r="U45" i="10"/>
  <c r="Q44" i="10"/>
  <c r="T44" i="10"/>
  <c r="U44" i="10"/>
  <c r="V44" i="10"/>
  <c r="R44" i="10"/>
  <c r="S44" i="10"/>
  <c r="W44" i="10"/>
  <c r="V43" i="10"/>
  <c r="U43" i="10"/>
  <c r="T43" i="10"/>
  <c r="W43" i="10"/>
  <c r="S43" i="10"/>
  <c r="Q43" i="10"/>
  <c r="R43" i="10"/>
  <c r="Q42" i="10"/>
  <c r="W42" i="10"/>
  <c r="R42" i="10"/>
  <c r="U42" i="10"/>
  <c r="S42" i="10"/>
  <c r="T42" i="10"/>
  <c r="V42" i="10"/>
  <c r="U41" i="10"/>
  <c r="W41" i="10"/>
  <c r="R41" i="10"/>
  <c r="T41" i="10"/>
  <c r="Q41" i="10"/>
  <c r="S41" i="10"/>
  <c r="V41" i="10"/>
  <c r="U40" i="10"/>
  <c r="V40" i="10"/>
  <c r="T40" i="10"/>
  <c r="W40" i="10"/>
  <c r="S40" i="10"/>
  <c r="Q40" i="10"/>
  <c r="R40" i="10"/>
  <c r="Q39" i="10"/>
  <c r="T39" i="10"/>
  <c r="V39" i="10"/>
  <c r="W39" i="10"/>
  <c r="S39" i="10"/>
  <c r="U39" i="10"/>
  <c r="R39" i="10"/>
  <c r="Q38" i="10"/>
  <c r="V38" i="10"/>
  <c r="S38" i="10"/>
  <c r="T38" i="10"/>
  <c r="R38" i="10"/>
  <c r="U38" i="10"/>
  <c r="W38" i="10"/>
  <c r="U37" i="10"/>
  <c r="V37" i="10"/>
  <c r="W37" i="10"/>
  <c r="R37" i="10"/>
  <c r="S37" i="10"/>
  <c r="Q37" i="10"/>
  <c r="T37" i="10"/>
  <c r="S36" i="10"/>
  <c r="T36" i="10"/>
  <c r="V36" i="10"/>
  <c r="R36" i="10"/>
  <c r="U36" i="10"/>
  <c r="Q36" i="10"/>
  <c r="W36" i="10"/>
  <c r="Q35" i="10"/>
  <c r="S35" i="10"/>
  <c r="T35" i="10"/>
  <c r="W35" i="10"/>
  <c r="V35" i="10"/>
  <c r="R35" i="10"/>
  <c r="U35" i="10"/>
  <c r="Q3" i="7"/>
  <c r="D3" i="7"/>
  <c r="E3" i="7"/>
  <c r="H3" i="7"/>
  <c r="J3" i="7"/>
  <c r="G3" i="7"/>
  <c r="I3" i="7"/>
  <c r="N3" i="7"/>
  <c r="C3" i="7"/>
  <c r="P3" i="7"/>
  <c r="B3" i="7"/>
  <c r="O3" i="7"/>
  <c r="F3" i="7"/>
  <c r="K3" i="7"/>
  <c r="L3" i="7"/>
  <c r="M3" i="7"/>
  <c r="Q34" i="10"/>
  <c r="T34" i="10"/>
  <c r="W34" i="10"/>
  <c r="V34" i="10"/>
  <c r="U34" i="10"/>
  <c r="R34" i="10"/>
  <c r="S34" i="10"/>
  <c r="Q33" i="10"/>
  <c r="V33" i="10"/>
  <c r="S33" i="10"/>
  <c r="W33" i="10"/>
  <c r="R33" i="10"/>
  <c r="T33" i="10"/>
  <c r="U33" i="10"/>
  <c r="W32" i="10"/>
  <c r="V32" i="10"/>
  <c r="R32" i="10"/>
  <c r="U32" i="10"/>
  <c r="Q32" i="10"/>
  <c r="T32" i="10"/>
  <c r="S32" i="10"/>
  <c r="Q31" i="10"/>
  <c r="W31" i="10"/>
  <c r="R31" i="10"/>
  <c r="S31" i="10"/>
  <c r="T31" i="10"/>
  <c r="U31" i="10"/>
  <c r="V31" i="10"/>
  <c r="Q30" i="10"/>
  <c r="R30" i="10"/>
  <c r="S30" i="10"/>
  <c r="W30" i="10"/>
  <c r="U30" i="10"/>
  <c r="V30" i="10"/>
  <c r="T30" i="10"/>
  <c r="V29" i="10"/>
  <c r="U29" i="10"/>
  <c r="R29" i="10"/>
  <c r="W29" i="10"/>
  <c r="Q29" i="10"/>
  <c r="T29" i="10"/>
  <c r="S29" i="10"/>
  <c r="U28" i="10"/>
  <c r="T28" i="10"/>
  <c r="V28" i="10"/>
  <c r="W28" i="10"/>
  <c r="Q28" i="10"/>
  <c r="R28" i="10"/>
  <c r="S28" i="10"/>
  <c r="Q27" i="10"/>
  <c r="U27" i="10"/>
  <c r="S27" i="10"/>
  <c r="V27" i="10"/>
  <c r="T27" i="10"/>
  <c r="R27" i="10"/>
  <c r="W27" i="10"/>
  <c r="V26" i="10"/>
  <c r="R26" i="10"/>
  <c r="W26" i="10"/>
  <c r="Q26" i="10"/>
  <c r="T26" i="10"/>
  <c r="U26" i="10"/>
  <c r="S26" i="10"/>
  <c r="U25" i="10"/>
  <c r="Q25" i="10"/>
  <c r="R25" i="10"/>
  <c r="V25" i="10"/>
  <c r="W25" i="10"/>
  <c r="T25" i="10"/>
  <c r="S25" i="10"/>
  <c r="Q24" i="10"/>
  <c r="V24" i="10"/>
  <c r="S24" i="10"/>
  <c r="T24" i="10"/>
  <c r="R24" i="10"/>
  <c r="U24" i="10"/>
  <c r="W24" i="10"/>
  <c r="Q23" i="10"/>
  <c r="S23" i="10"/>
  <c r="W23" i="10"/>
  <c r="T23" i="10"/>
  <c r="R23" i="10"/>
  <c r="V23" i="10"/>
  <c r="U23" i="10"/>
  <c r="Q22" i="10"/>
  <c r="W22" i="10"/>
  <c r="V22" i="10"/>
  <c r="T22" i="10"/>
  <c r="R22" i="10"/>
  <c r="S22" i="10"/>
  <c r="U22" i="10"/>
  <c r="Q21" i="10"/>
  <c r="S21" i="10"/>
  <c r="U21" i="10"/>
  <c r="T21" i="10"/>
  <c r="V21" i="10"/>
  <c r="R21" i="10"/>
  <c r="W21" i="10"/>
  <c r="Q20" i="10"/>
  <c r="V20" i="10"/>
  <c r="S20" i="10"/>
  <c r="T20" i="10"/>
  <c r="W20" i="10"/>
  <c r="R20" i="10"/>
  <c r="U20" i="10"/>
  <c r="Q19" i="10"/>
  <c r="W19" i="10"/>
  <c r="S19" i="10"/>
  <c r="U19" i="10"/>
  <c r="R19" i="10"/>
  <c r="V19" i="10"/>
  <c r="T19" i="10"/>
  <c r="V18" i="10"/>
  <c r="R18" i="10"/>
  <c r="U18" i="10"/>
  <c r="T18" i="10"/>
  <c r="W18" i="10"/>
  <c r="Q18" i="10"/>
  <c r="S18" i="10"/>
  <c r="U17" i="10"/>
  <c r="W17" i="10"/>
  <c r="R17" i="10"/>
  <c r="S17" i="10"/>
  <c r="Q17" i="10"/>
  <c r="T17" i="10"/>
  <c r="V17" i="10"/>
  <c r="Q16" i="10"/>
  <c r="R16" i="10"/>
  <c r="S16" i="10"/>
  <c r="W16" i="10"/>
  <c r="T16" i="10"/>
  <c r="V16" i="10"/>
  <c r="U16" i="10"/>
  <c r="Q15" i="10"/>
  <c r="R15" i="10"/>
  <c r="W15" i="10"/>
  <c r="S15" i="10"/>
  <c r="U15" i="10"/>
  <c r="V15" i="10"/>
  <c r="T15" i="10"/>
  <c r="Q14" i="10"/>
  <c r="R14" i="10"/>
  <c r="U14" i="10"/>
  <c r="V14" i="10"/>
  <c r="W14" i="10"/>
  <c r="S14" i="10"/>
  <c r="T14" i="10"/>
  <c r="V13" i="10"/>
  <c r="S13" i="10"/>
  <c r="W13" i="10"/>
  <c r="T13" i="10"/>
  <c r="U13" i="10"/>
  <c r="Q13" i="10"/>
  <c r="R13" i="10"/>
  <c r="Q12" i="10"/>
  <c r="U12" i="10"/>
  <c r="V12" i="10"/>
  <c r="W12" i="10"/>
  <c r="S12" i="10"/>
  <c r="T12" i="10"/>
  <c r="R12" i="10"/>
  <c r="Q11" i="10"/>
  <c r="S11" i="10"/>
  <c r="T11" i="10"/>
  <c r="V11" i="10"/>
  <c r="R11" i="10"/>
  <c r="U11" i="10"/>
  <c r="W11" i="10"/>
  <c r="Q10" i="10"/>
  <c r="U10" i="10"/>
  <c r="W10" i="10"/>
  <c r="V10" i="10"/>
  <c r="S10" i="10"/>
  <c r="T10" i="10"/>
  <c r="R10" i="10"/>
  <c r="Q9" i="10"/>
  <c r="T9" i="10"/>
  <c r="U9" i="10"/>
  <c r="W9" i="10"/>
  <c r="R9" i="10"/>
  <c r="S9" i="10"/>
  <c r="V9" i="10"/>
  <c r="Q8" i="10"/>
  <c r="U8" i="10"/>
  <c r="V8" i="10"/>
  <c r="W8" i="10"/>
  <c r="S8" i="10"/>
  <c r="T8" i="10"/>
  <c r="R8" i="10"/>
  <c r="Q7" i="10"/>
  <c r="T7" i="10"/>
  <c r="S7" i="10"/>
  <c r="U7" i="10"/>
  <c r="R7" i="10"/>
  <c r="V7" i="10"/>
  <c r="W7" i="10"/>
  <c r="Q6" i="10"/>
  <c r="T6" i="10"/>
  <c r="U6" i="10"/>
  <c r="R6" i="10"/>
  <c r="V6" i="10"/>
  <c r="S6" i="10"/>
  <c r="W6" i="10"/>
  <c r="Q5" i="10"/>
  <c r="S5" i="10"/>
  <c r="U5" i="10"/>
  <c r="V5" i="10"/>
  <c r="R5" i="10"/>
  <c r="T5" i="10"/>
  <c r="W5" i="10"/>
  <c r="R4" i="10"/>
  <c r="T4" i="10"/>
  <c r="U4" i="10"/>
  <c r="V4" i="10"/>
  <c r="W4" i="10"/>
  <c r="Q4" i="10"/>
  <c r="S4" i="10"/>
  <c r="Q3" i="10"/>
  <c r="U3" i="10"/>
  <c r="V3" i="10"/>
  <c r="R3" i="10"/>
  <c r="S3" i="10"/>
  <c r="T3" i="10"/>
  <c r="W3" i="10"/>
  <c r="C5" i="10"/>
  <c r="E5" i="10"/>
  <c r="F5" i="10"/>
  <c r="D5" i="10"/>
  <c r="C4" i="10"/>
  <c r="D4" i="10"/>
  <c r="F4" i="10"/>
  <c r="E4" i="10"/>
  <c r="C3" i="10"/>
  <c r="E3" i="10"/>
  <c r="D3" i="10"/>
  <c r="F3" i="10"/>
  <c r="U13" i="7"/>
  <c r="A4" i="7" l="1"/>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G5" i="5"/>
  <c r="G6" i="5"/>
  <c r="G7" i="5"/>
  <c r="G8" i="5"/>
  <c r="G9" i="5"/>
  <c r="G10" i="5"/>
  <c r="G11" i="5"/>
  <c r="G12" i="5"/>
  <c r="G13" i="5"/>
  <c r="G14" i="5"/>
  <c r="G15" i="5"/>
  <c r="G16" i="5"/>
  <c r="G17" i="5"/>
  <c r="K18" i="10" s="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K50" i="10" s="1"/>
  <c r="G50" i="5"/>
  <c r="K51" i="10" s="1"/>
  <c r="G3" i="5"/>
  <c r="H4" i="5"/>
  <c r="K20" i="10" l="1"/>
  <c r="K19" i="10"/>
  <c r="K36" i="10"/>
  <c r="K17" i="10"/>
  <c r="K35" i="10"/>
  <c r="K16" i="10"/>
  <c r="K31" i="10"/>
  <c r="K15" i="10"/>
  <c r="K30" i="10"/>
  <c r="K14" i="10"/>
  <c r="K47" i="10"/>
  <c r="K29" i="10"/>
  <c r="K13" i="10"/>
  <c r="K48" i="10"/>
  <c r="K28" i="10"/>
  <c r="K12" i="10"/>
  <c r="K43" i="10"/>
  <c r="K11" i="10"/>
  <c r="K49" i="10"/>
  <c r="K42" i="10"/>
  <c r="K10" i="10"/>
  <c r="K34" i="10"/>
  <c r="K27" i="10"/>
  <c r="K41" i="10"/>
  <c r="K25" i="10"/>
  <c r="K9" i="10"/>
  <c r="K33" i="10"/>
  <c r="K44" i="10"/>
  <c r="K40" i="10"/>
  <c r="K24" i="10"/>
  <c r="K8" i="10"/>
  <c r="K32" i="10"/>
  <c r="K26" i="10"/>
  <c r="K39" i="10"/>
  <c r="K23" i="10"/>
  <c r="K7" i="10"/>
  <c r="K45" i="10"/>
  <c r="K38" i="10"/>
  <c r="K22" i="10"/>
  <c r="K6" i="10"/>
  <c r="K46" i="10"/>
  <c r="K37" i="10"/>
  <c r="K21" i="10"/>
  <c r="A3" i="7"/>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X53" i="10"/>
  <c r="X52" i="10"/>
  <c r="X51" i="10"/>
  <c r="X50" i="10"/>
  <c r="X49" i="10"/>
  <c r="X48" i="10"/>
  <c r="X47" i="10"/>
  <c r="Y47" i="10" s="1"/>
  <c r="X46" i="10"/>
  <c r="Y46" i="10" s="1"/>
  <c r="X45" i="10"/>
  <c r="Y45" i="10" s="1"/>
  <c r="X44" i="10"/>
  <c r="Y44" i="10" s="1"/>
  <c r="X43" i="10"/>
  <c r="Y43" i="10" s="1"/>
  <c r="X42" i="10"/>
  <c r="Y42" i="10" s="1"/>
  <c r="X41" i="10"/>
  <c r="Y41" i="10" s="1"/>
  <c r="X40" i="10"/>
  <c r="Y40" i="10" s="1"/>
  <c r="X39" i="10"/>
  <c r="Y39" i="10" s="1"/>
  <c r="X38" i="10"/>
  <c r="Y38" i="10" s="1"/>
  <c r="X37" i="10"/>
  <c r="Y37" i="10" s="1"/>
  <c r="X36" i="10"/>
  <c r="Y36" i="10" s="1"/>
  <c r="X35" i="10"/>
  <c r="Y35" i="10" s="1"/>
  <c r="X34" i="10"/>
  <c r="Y34" i="10" s="1"/>
  <c r="X33" i="10"/>
  <c r="Y33" i="10" s="1"/>
  <c r="X32" i="10"/>
  <c r="Y32" i="10" s="1"/>
  <c r="X31" i="10"/>
  <c r="Y31" i="10" s="1"/>
  <c r="X30" i="10"/>
  <c r="Y30" i="10" s="1"/>
  <c r="X29" i="10"/>
  <c r="Y29" i="10" s="1"/>
  <c r="X28" i="10"/>
  <c r="Y28" i="10" s="1"/>
  <c r="X27" i="10"/>
  <c r="Y27" i="10" s="1"/>
  <c r="X26" i="10"/>
  <c r="Y26" i="10" s="1"/>
  <c r="X25" i="10"/>
  <c r="Y25" i="10" s="1"/>
  <c r="X24" i="10"/>
  <c r="Y24" i="10" s="1"/>
  <c r="X23" i="10"/>
  <c r="Y23" i="10" s="1"/>
  <c r="X22" i="10"/>
  <c r="Y22" i="10" s="1"/>
  <c r="X21" i="10"/>
  <c r="Y21" i="10" s="1"/>
  <c r="X20" i="10"/>
  <c r="Y20" i="10" s="1"/>
  <c r="X19" i="10"/>
  <c r="Y19" i="10" s="1"/>
  <c r="X18" i="10"/>
  <c r="Y18" i="10" s="1"/>
  <c r="X17" i="10"/>
  <c r="Y17" i="10" s="1"/>
  <c r="X16" i="10"/>
  <c r="Y16" i="10" s="1"/>
  <c r="X15" i="10"/>
  <c r="Y15" i="10" s="1"/>
  <c r="X14" i="10"/>
  <c r="Y14" i="10" s="1"/>
  <c r="X13" i="10"/>
  <c r="Y13" i="10" s="1"/>
  <c r="X12" i="10"/>
  <c r="X11" i="10"/>
  <c r="X10" i="10"/>
  <c r="X9" i="10"/>
  <c r="X8" i="10"/>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X7" i="10" l="1"/>
  <c r="X6" i="10"/>
  <c r="X5" i="10"/>
  <c r="G4" i="10"/>
  <c r="H4" i="10" s="1"/>
  <c r="X4" i="10"/>
  <c r="A5" i="11"/>
  <c r="D1" i="2"/>
  <c r="B10" i="5"/>
  <c r="H3" i="5"/>
  <c r="A6" i="11" l="1"/>
  <c r="A7" i="11" s="1"/>
  <c r="P3"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10" i="5"/>
  <c r="P4" i="10" l="1"/>
  <c r="P5" i="10" s="1"/>
  <c r="A8" i="11"/>
  <c r="X3" i="10"/>
  <c r="Y3" i="10" s="1"/>
  <c r="G3" i="10"/>
  <c r="H3" i="10" s="1"/>
  <c r="B11" i="5"/>
  <c r="P6" i="10" l="1"/>
  <c r="P7" i="10" s="1"/>
  <c r="P8" i="10" s="1"/>
  <c r="P9" i="10" s="1"/>
  <c r="A9" i="11"/>
  <c r="A3" i="10"/>
  <c r="A4" i="10" s="1"/>
  <c r="A5" i="10" s="1"/>
  <c r="B12" i="5"/>
  <c r="D12" i="5"/>
  <c r="E12" i="5"/>
  <c r="C12" i="5"/>
  <c r="X3" i="5"/>
  <c r="P10" i="10" l="1"/>
  <c r="P11" i="10" s="1"/>
  <c r="A10" i="11"/>
  <c r="AC1" i="5"/>
  <c r="Z140" i="5"/>
  <c r="Z145" i="5"/>
  <c r="Z3" i="5"/>
  <c r="AD3" i="5"/>
  <c r="P12" i="10" l="1"/>
  <c r="P13" i="10" s="1"/>
  <c r="A11" i="11"/>
  <c r="A12" i="11" s="1"/>
  <c r="P14" i="10" l="1"/>
  <c r="P15" i="10" s="1"/>
  <c r="P16" i="10" s="1"/>
  <c r="P17" i="10" s="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W4" i="5"/>
  <c r="AC3" i="5"/>
  <c r="A14" i="11" l="1"/>
  <c r="A15" i="11" s="1"/>
  <c r="E4" i="6"/>
  <c r="A16" i="11" l="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17" i="11" l="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9" i="11" l="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s="1"/>
  <c r="A22" i="11" s="1"/>
  <c r="A23" i="11" s="1"/>
  <c r="A24" i="11" s="1"/>
  <c r="A25" i="11" s="1"/>
  <c r="A26" i="11" s="1"/>
  <c r="A27" i="11" s="1"/>
  <c r="A28" i="11" s="1"/>
  <c r="E8" i="6"/>
  <c r="A5" i="6"/>
  <c r="A6" i="6" s="1"/>
  <c r="A7" i="6" s="1"/>
  <c r="P6" i="5"/>
  <c r="Z75" i="5"/>
  <c r="Z136" i="5"/>
  <c r="AA5" i="5"/>
  <c r="AA132" i="5"/>
  <c r="AA146" i="5"/>
  <c r="AB67" i="5"/>
  <c r="Z102" i="5"/>
  <c r="AB28" i="5"/>
  <c r="AD150" i="5"/>
  <c r="AA141" i="5"/>
  <c r="AB5" i="5"/>
  <c r="AB59" i="5"/>
  <c r="Z142" i="5"/>
  <c r="Z141" i="5"/>
  <c r="AD109" i="5"/>
  <c r="AC45" i="5"/>
  <c r="Z80" i="5"/>
  <c r="AA67" i="5"/>
  <c r="Z105" i="5"/>
  <c r="Z61" i="5"/>
  <c r="Z96" i="5"/>
  <c r="AC97" i="5"/>
  <c r="AB24" i="5"/>
  <c r="AA70" i="5"/>
  <c r="AB4" i="5"/>
  <c r="AA47" i="5"/>
  <c r="AB43" i="5"/>
  <c r="AC23" i="5"/>
  <c r="AB84" i="5"/>
  <c r="Z134" i="5"/>
  <c r="AA46" i="5"/>
  <c r="AD22" i="5"/>
  <c r="AC39" i="5"/>
  <c r="AD68" i="5"/>
  <c r="Z131" i="5"/>
  <c r="AD6" i="5"/>
  <c r="AD95" i="5"/>
  <c r="AB63" i="5"/>
  <c r="AA106" i="5"/>
  <c r="AB20" i="5"/>
  <c r="AA139" i="5"/>
  <c r="AA44" i="5"/>
  <c r="AC108" i="5"/>
  <c r="Z42" i="5"/>
  <c r="AA6" i="5"/>
  <c r="AA33" i="5"/>
  <c r="AC118" i="5"/>
  <c r="AC64" i="5"/>
  <c r="AA124" i="5"/>
  <c r="AD143" i="5"/>
  <c r="AD23" i="5"/>
  <c r="AC134" i="5"/>
  <c r="AA48" i="5"/>
  <c r="AC109" i="5"/>
  <c r="AD142" i="5"/>
  <c r="AA55" i="5"/>
  <c r="AC26" i="5"/>
  <c r="AC6" i="5"/>
  <c r="AD102" i="5"/>
  <c r="Z81" i="5"/>
  <c r="AB42" i="5"/>
  <c r="AC48" i="5"/>
  <c r="AA45" i="5"/>
  <c r="AB114" i="5"/>
  <c r="AD145" i="5"/>
  <c r="AA120" i="5"/>
  <c r="AA64" i="5"/>
  <c r="Z106" i="5"/>
  <c r="Z73" i="5"/>
  <c r="AA95" i="5"/>
  <c r="AB60" i="5"/>
  <c r="AC14" i="5"/>
  <c r="AD82" i="5"/>
  <c r="AB121" i="5"/>
  <c r="AA122" i="5"/>
  <c r="AA116" i="5"/>
  <c r="AC131" i="5"/>
  <c r="Z25" i="5"/>
  <c r="AA72" i="5"/>
  <c r="AA129" i="5"/>
  <c r="AD62" i="5"/>
  <c r="AD79" i="5"/>
  <c r="Z16" i="5"/>
  <c r="AD74" i="5"/>
  <c r="AB52" i="5"/>
  <c r="AB35" i="5"/>
  <c r="AD15" i="5"/>
  <c r="AC47" i="5"/>
  <c r="AC25" i="5"/>
  <c r="AA16" i="5"/>
  <c r="AC126" i="5"/>
  <c r="AB36" i="5"/>
  <c r="AC136" i="5"/>
  <c r="AB92" i="5"/>
  <c r="AB56" i="5"/>
  <c r="AA86" i="5"/>
  <c r="Z143" i="5"/>
  <c r="Z63" i="5"/>
  <c r="Z22" i="5"/>
  <c r="AA60" i="5"/>
  <c r="Z51" i="5"/>
  <c r="Z34" i="5"/>
  <c r="Z19" i="5"/>
  <c r="AB152" i="5"/>
  <c r="AC153" i="5"/>
  <c r="AD71" i="5"/>
  <c r="AC67" i="5"/>
  <c r="AC18" i="5"/>
  <c r="Z109" i="5"/>
  <c r="Z35" i="5"/>
  <c r="AB111" i="5"/>
  <c r="Z52" i="5"/>
  <c r="AA112" i="5"/>
  <c r="AA84" i="5"/>
  <c r="Z148" i="5"/>
  <c r="AD55" i="5"/>
  <c r="AD89" i="5"/>
  <c r="AC94" i="5"/>
  <c r="AB90" i="5"/>
  <c r="AA115" i="5"/>
  <c r="Z31" i="5"/>
  <c r="AD115" i="5"/>
  <c r="AC4" i="5"/>
  <c r="Z99" i="5"/>
  <c r="AD98" i="5"/>
  <c r="AA85" i="5"/>
  <c r="Z121" i="5"/>
  <c r="AA34" i="5"/>
  <c r="AD135" i="5"/>
  <c r="AA65" i="5"/>
  <c r="AB27" i="5"/>
  <c r="AC86" i="5"/>
  <c r="AB44" i="5"/>
  <c r="AB37" i="5"/>
  <c r="AB147" i="5"/>
  <c r="AC43" i="5"/>
  <c r="AA50" i="5"/>
  <c r="AB58" i="5"/>
  <c r="AC112" i="5"/>
  <c r="AB6" i="5"/>
  <c r="AA80" i="5"/>
  <c r="AD9" i="5"/>
  <c r="AC29" i="5"/>
  <c r="AB76" i="5"/>
  <c r="Z38" i="5"/>
  <c r="AA17" i="5"/>
  <c r="AC55" i="5"/>
  <c r="Z66" i="5"/>
  <c r="Z85" i="5"/>
  <c r="AA59" i="5"/>
  <c r="AA71" i="5"/>
  <c r="Z82" i="5"/>
  <c r="AC32" i="5"/>
  <c r="AC46" i="5"/>
  <c r="AD100" i="5"/>
  <c r="AD11" i="5"/>
  <c r="AB21" i="5"/>
  <c r="AB75" i="5"/>
  <c r="AB146" i="5"/>
  <c r="AD118" i="5"/>
  <c r="AA7" i="5"/>
  <c r="AB13" i="5"/>
  <c r="AA35" i="5"/>
  <c r="AD138" i="5"/>
  <c r="AB31" i="5"/>
  <c r="AD59" i="5"/>
  <c r="Z4" i="5"/>
  <c r="Z153" i="5"/>
  <c r="AA13" i="5"/>
  <c r="AA138" i="5"/>
  <c r="AC66" i="5"/>
  <c r="AC81" i="5"/>
  <c r="AC13" i="5"/>
  <c r="AC33" i="5"/>
  <c r="Z56" i="5"/>
  <c r="AD13" i="5"/>
  <c r="AD152" i="5"/>
  <c r="AD70" i="5"/>
  <c r="AA69" i="5"/>
  <c r="Z46" i="5"/>
  <c r="AA43" i="5"/>
  <c r="AB110" i="5"/>
  <c r="Z70" i="5"/>
  <c r="AD21" i="5"/>
  <c r="AC37" i="5"/>
  <c r="AB78" i="5"/>
  <c r="AC84" i="5"/>
  <c r="AC102" i="5"/>
  <c r="AA148" i="5"/>
  <c r="AB99" i="5"/>
  <c r="AC65" i="5"/>
  <c r="Z103" i="5"/>
  <c r="Z50" i="5"/>
  <c r="Z67" i="5"/>
  <c r="Z39" i="5"/>
  <c r="AC106" i="5"/>
  <c r="AA82" i="5"/>
  <c r="Z116" i="5"/>
  <c r="AC128" i="5"/>
  <c r="AD148" i="5"/>
  <c r="AA137" i="5"/>
  <c r="AB9" i="5"/>
  <c r="AC78" i="5"/>
  <c r="AD20" i="5"/>
  <c r="AB118" i="5"/>
  <c r="AC88" i="5"/>
  <c r="Z150" i="5"/>
  <c r="AA28" i="5"/>
  <c r="AB104" i="5"/>
  <c r="AC41" i="5"/>
  <c r="AB125" i="5"/>
  <c r="Z20" i="5"/>
  <c r="AB112" i="5"/>
  <c r="AA109" i="5"/>
  <c r="Z149" i="5"/>
  <c r="AB130" i="5"/>
  <c r="Z146" i="5"/>
  <c r="AD67" i="5"/>
  <c r="AB34" i="5"/>
  <c r="Z118" i="5"/>
  <c r="AA104" i="5"/>
  <c r="AD90" i="5"/>
  <c r="AA102" i="5"/>
  <c r="AB113" i="5"/>
  <c r="AB68" i="5"/>
  <c r="AC117" i="5"/>
  <c r="AD75" i="5"/>
  <c r="Z137" i="5"/>
  <c r="AD78" i="5"/>
  <c r="AA4" i="5"/>
  <c r="Z40" i="5"/>
  <c r="Z15" i="5"/>
  <c r="AC77" i="5"/>
  <c r="AD87" i="5"/>
  <c r="AB153" i="5"/>
  <c r="AB109" i="5"/>
  <c r="AA11" i="5"/>
  <c r="AC113" i="5"/>
  <c r="AC8" i="5"/>
  <c r="Z76" i="5"/>
  <c r="AC139" i="5"/>
  <c r="AC122" i="5"/>
  <c r="Z128" i="5"/>
  <c r="Z45" i="5"/>
  <c r="AA117" i="5"/>
  <c r="AD92" i="5"/>
  <c r="AA36" i="5"/>
  <c r="AB105" i="5"/>
  <c r="AA30" i="5"/>
  <c r="AD112" i="5"/>
  <c r="AD131" i="5"/>
  <c r="AC15" i="5"/>
  <c r="AA93" i="5"/>
  <c r="AC28" i="5"/>
  <c r="AD88" i="5"/>
  <c r="AC30" i="5"/>
  <c r="AD133" i="5"/>
  <c r="Z120" i="5"/>
  <c r="Z48" i="5"/>
  <c r="AC5" i="5"/>
  <c r="AC19" i="5"/>
  <c r="AB51" i="5"/>
  <c r="AA52" i="5"/>
  <c r="AD58" i="5"/>
  <c r="AB7" i="5"/>
  <c r="AD114" i="5"/>
  <c r="Z71" i="5"/>
  <c r="AC56" i="5"/>
  <c r="AA75" i="5"/>
  <c r="AD63" i="5"/>
  <c r="AC79" i="5"/>
  <c r="AA37" i="5"/>
  <c r="AB145" i="5"/>
  <c r="AA32" i="5"/>
  <c r="AB46" i="5"/>
  <c r="AD101" i="5"/>
  <c r="AD121" i="5"/>
  <c r="AB103" i="5"/>
  <c r="AB86" i="5"/>
  <c r="AA111" i="5"/>
  <c r="AD119" i="5"/>
  <c r="AA87" i="5"/>
  <c r="AB149" i="5"/>
  <c r="AC44" i="5"/>
  <c r="Z5" i="5"/>
  <c r="AB73" i="5"/>
  <c r="AB119" i="5"/>
  <c r="Z119" i="5"/>
  <c r="AC9" i="5"/>
  <c r="AC105" i="5"/>
  <c r="AA21" i="5"/>
  <c r="AB45" i="5"/>
  <c r="AC76" i="5"/>
  <c r="AA49" i="5"/>
  <c r="AB49" i="5"/>
  <c r="AA57" i="5"/>
  <c r="AB25" i="5"/>
  <c r="Z23" i="5"/>
  <c r="AC42" i="5"/>
  <c r="AC11" i="5"/>
  <c r="Z111" i="5"/>
  <c r="AA136" i="5"/>
  <c r="AD32" i="5"/>
  <c r="AB128" i="5"/>
  <c r="Z11" i="5"/>
  <c r="AD34" i="5"/>
  <c r="AD146" i="5"/>
  <c r="AC95" i="5"/>
  <c r="AA150" i="5"/>
  <c r="AA152" i="5"/>
  <c r="AB91" i="5"/>
  <c r="AD144" i="5"/>
  <c r="AD108" i="5"/>
  <c r="AB82" i="5"/>
  <c r="AC125" i="5"/>
  <c r="AC127" i="5"/>
  <c r="AD125" i="5"/>
  <c r="AB50" i="5"/>
  <c r="AB69" i="5"/>
  <c r="Z135" i="5"/>
  <c r="AA29" i="5"/>
  <c r="AD128" i="5"/>
  <c r="AD60" i="5"/>
  <c r="AC116" i="5"/>
  <c r="AC51" i="5"/>
  <c r="AA96" i="5"/>
  <c r="Z95" i="5"/>
  <c r="AD120" i="5"/>
  <c r="AD14" i="5"/>
  <c r="AB61" i="5"/>
  <c r="AA78" i="5"/>
  <c r="Z60" i="5"/>
  <c r="Z133" i="5"/>
  <c r="AC143" i="5"/>
  <c r="AC130" i="5"/>
  <c r="Z91" i="5"/>
  <c r="AC73" i="5"/>
  <c r="AA126" i="5"/>
  <c r="AA12" i="5"/>
  <c r="Z115" i="5"/>
  <c r="Z55" i="5"/>
  <c r="Z84" i="5"/>
  <c r="AB89" i="5"/>
  <c r="AB131" i="5"/>
  <c r="Z87" i="5"/>
  <c r="AC123" i="5"/>
  <c r="AA63" i="5"/>
  <c r="Z86" i="5"/>
  <c r="Z58" i="5"/>
  <c r="AB80" i="5"/>
  <c r="AC115" i="5"/>
  <c r="AD30" i="5"/>
  <c r="AB132" i="5"/>
  <c r="AB65" i="5"/>
  <c r="AD31" i="5"/>
  <c r="Z124" i="5"/>
  <c r="AC142" i="5"/>
  <c r="AB11" i="5"/>
  <c r="AD40" i="5"/>
  <c r="AA114" i="5"/>
  <c r="Z123" i="5"/>
  <c r="Z94" i="5"/>
  <c r="AC121" i="5"/>
  <c r="Z47" i="5"/>
  <c r="Z9" i="5"/>
  <c r="AB124" i="5"/>
  <c r="AB101" i="5"/>
  <c r="AA40" i="5"/>
  <c r="AC103" i="5"/>
  <c r="AA62" i="5"/>
  <c r="Z6" i="5"/>
  <c r="AC150" i="5"/>
  <c r="AD19" i="5"/>
  <c r="Z79" i="5"/>
  <c r="AC140" i="5"/>
  <c r="AC151" i="5"/>
  <c r="Z69" i="5"/>
  <c r="Z62" i="5"/>
  <c r="AC54" i="5"/>
  <c r="Z152" i="5"/>
  <c r="AC27" i="5"/>
  <c r="AC114" i="5"/>
  <c r="AC61" i="5"/>
  <c r="AB23" i="5"/>
  <c r="AB151" i="5"/>
  <c r="AD86" i="5"/>
  <c r="AA22" i="5"/>
  <c r="AD43" i="5"/>
  <c r="AD48" i="5"/>
  <c r="AA153" i="5"/>
  <c r="AC68" i="5"/>
  <c r="AA118" i="5"/>
  <c r="AC60" i="5"/>
  <c r="AA68" i="5"/>
  <c r="Z27" i="5"/>
  <c r="AA10" i="5"/>
  <c r="AD49" i="5"/>
  <c r="Z127" i="5"/>
  <c r="AD26" i="5"/>
  <c r="AC120" i="5"/>
  <c r="AA125" i="5"/>
  <c r="AD105" i="5"/>
  <c r="AD51" i="5"/>
  <c r="AA58" i="5"/>
  <c r="AD151" i="5"/>
  <c r="AC100" i="5"/>
  <c r="AD99" i="5"/>
  <c r="AB10" i="5"/>
  <c r="AA99" i="5"/>
  <c r="AD66" i="5"/>
  <c r="Z43" i="5"/>
  <c r="AB3" i="5"/>
  <c r="Z138" i="5"/>
  <c r="AB72" i="5"/>
  <c r="AC133" i="5"/>
  <c r="AD94" i="5"/>
  <c r="Z122" i="5"/>
  <c r="AD122" i="5"/>
  <c r="AA42" i="5"/>
  <c r="Z26" i="5"/>
  <c r="AA145" i="5"/>
  <c r="AB122" i="5"/>
  <c r="AB18" i="5"/>
  <c r="AD45" i="5"/>
  <c r="AD36" i="5"/>
  <c r="Z108" i="5"/>
  <c r="AB97" i="5"/>
  <c r="AC87" i="5"/>
  <c r="AD84" i="5"/>
  <c r="AD28" i="5"/>
  <c r="Z68" i="5"/>
  <c r="AA133" i="5"/>
  <c r="Z112" i="5"/>
  <c r="AB19" i="5"/>
  <c r="AD117" i="5"/>
  <c r="AD47" i="5"/>
  <c r="AB142" i="5"/>
  <c r="AC17" i="5"/>
  <c r="AC129" i="5"/>
  <c r="AA123" i="5"/>
  <c r="AA144" i="5"/>
  <c r="Z59" i="5"/>
  <c r="Z54" i="5"/>
  <c r="AD91" i="5"/>
  <c r="AA18" i="5"/>
  <c r="AC71" i="5"/>
  <c r="AC74" i="5"/>
  <c r="AB98" i="5"/>
  <c r="AA19" i="5"/>
  <c r="AB108" i="5"/>
  <c r="Z78" i="5"/>
  <c r="Z36" i="5"/>
  <c r="Z88" i="5"/>
  <c r="AB15" i="5"/>
  <c r="Z18" i="5"/>
  <c r="AB120" i="5"/>
  <c r="AB136" i="5"/>
  <c r="AC101" i="5"/>
  <c r="AB129" i="5"/>
  <c r="AB100" i="5"/>
  <c r="AB150" i="5"/>
  <c r="AC69" i="5"/>
  <c r="AD113" i="5"/>
  <c r="Z130" i="5"/>
  <c r="AB83" i="5"/>
  <c r="Z74" i="5"/>
  <c r="AB141" i="5"/>
  <c r="AB87" i="5"/>
  <c r="AB26" i="5"/>
  <c r="AB135" i="5"/>
  <c r="Z107" i="5"/>
  <c r="AD93" i="5"/>
  <c r="AD33" i="5"/>
  <c r="AB22" i="5"/>
  <c r="AA149" i="5"/>
  <c r="AA131" i="5"/>
  <c r="Z12" i="5"/>
  <c r="AA14" i="5"/>
  <c r="AB79" i="5"/>
  <c r="Z30" i="5"/>
  <c r="AC12" i="5"/>
  <c r="AB48" i="5"/>
  <c r="AB47" i="5"/>
  <c r="AD35" i="5"/>
  <c r="AB138" i="5"/>
  <c r="AD77" i="5"/>
  <c r="AA23" i="5"/>
  <c r="AB54" i="5"/>
  <c r="AD153" i="5"/>
  <c r="Z104" i="5"/>
  <c r="AC104" i="5"/>
  <c r="AC111" i="5"/>
  <c r="AC50" i="5"/>
  <c r="Z125" i="5"/>
  <c r="AA9" i="5"/>
  <c r="AA20" i="5"/>
  <c r="AA107" i="5"/>
  <c r="Z147" i="5"/>
  <c r="Z92" i="5"/>
  <c r="Z28" i="5"/>
  <c r="Z8" i="5"/>
  <c r="AD52" i="5"/>
  <c r="AB70" i="5"/>
  <c r="Z44" i="5"/>
  <c r="AB106" i="5"/>
  <c r="AD72" i="5"/>
  <c r="AC34" i="5"/>
  <c r="AA3" i="5"/>
  <c r="AA134" i="5"/>
  <c r="AC132" i="5"/>
  <c r="AD18" i="5"/>
  <c r="AC52" i="5"/>
  <c r="AD126" i="5"/>
  <c r="AB17" i="5"/>
  <c r="AA51" i="5"/>
  <c r="AA128" i="5"/>
  <c r="AA31" i="5"/>
  <c r="AA108" i="5"/>
  <c r="AC70" i="5"/>
  <c r="Z144" i="5"/>
  <c r="Z126" i="5"/>
  <c r="Z33" i="5"/>
  <c r="AD56" i="5"/>
  <c r="AC152" i="5"/>
  <c r="AC145" i="5"/>
  <c r="AD8" i="5"/>
  <c r="AD41" i="5"/>
  <c r="AC31" i="5"/>
  <c r="AA97" i="5"/>
  <c r="Z114" i="5"/>
  <c r="AD39" i="5"/>
  <c r="Z89" i="5"/>
  <c r="AB88" i="5"/>
  <c r="AC96" i="5"/>
  <c r="AA113" i="5"/>
  <c r="Z139" i="5"/>
  <c r="AD132" i="5"/>
  <c r="AD61" i="5"/>
  <c r="AB102" i="5"/>
  <c r="AA73" i="5"/>
  <c r="AA119" i="5"/>
  <c r="AD5" i="5"/>
  <c r="AB55" i="5"/>
  <c r="AD17" i="5"/>
  <c r="AA56" i="5"/>
  <c r="AA88" i="5"/>
  <c r="AC53" i="5"/>
  <c r="AC59" i="5"/>
  <c r="AC93" i="5"/>
  <c r="AA147" i="5"/>
  <c r="AD85" i="5"/>
  <c r="AC137" i="5"/>
  <c r="AC91" i="5"/>
  <c r="AD37" i="5"/>
  <c r="AD10" i="5"/>
  <c r="AA26" i="5"/>
  <c r="AA98" i="5"/>
  <c r="AD140" i="5"/>
  <c r="AD44" i="5"/>
  <c r="AB53" i="5"/>
  <c r="AC82" i="5"/>
  <c r="AD38" i="5"/>
  <c r="AD124" i="5"/>
  <c r="AB95" i="5"/>
  <c r="AA151" i="5"/>
  <c r="AA15" i="5"/>
  <c r="AC57" i="5"/>
  <c r="AC38" i="5"/>
  <c r="AD130" i="5"/>
  <c r="AA83" i="5"/>
  <c r="AD106" i="5"/>
  <c r="AA105" i="5"/>
  <c r="AA101" i="5"/>
  <c r="AD83" i="5"/>
  <c r="AC40" i="5"/>
  <c r="AD96" i="5"/>
  <c r="AD123" i="5"/>
  <c r="AB117" i="5"/>
  <c r="Z129" i="5"/>
  <c r="Z17" i="5"/>
  <c r="AD27" i="5"/>
  <c r="AC149" i="5"/>
  <c r="AA100" i="5"/>
  <c r="AA76" i="5"/>
  <c r="Z29" i="5"/>
  <c r="AA74" i="5"/>
  <c r="AC99" i="5"/>
  <c r="Z57" i="5"/>
  <c r="AC63" i="5"/>
  <c r="AC16" i="5"/>
  <c r="Z64" i="5"/>
  <c r="AD4" i="5"/>
  <c r="AC98" i="5"/>
  <c r="AA143" i="5"/>
  <c r="AD80" i="5"/>
  <c r="AD110" i="5"/>
  <c r="Z41" i="5"/>
  <c r="AB32" i="5"/>
  <c r="AC144" i="5"/>
  <c r="AB57" i="5"/>
  <c r="Z101" i="5"/>
  <c r="AD46" i="5"/>
  <c r="AD81" i="5"/>
  <c r="Z117" i="5"/>
  <c r="AB143" i="5"/>
  <c r="AC138" i="5"/>
  <c r="AA127" i="5"/>
  <c r="AD129" i="5"/>
  <c r="AA92" i="5"/>
  <c r="AC20" i="5"/>
  <c r="AB38" i="5"/>
  <c r="AB71" i="5"/>
  <c r="AB29" i="5"/>
  <c r="Z32" i="5"/>
  <c r="AD7" i="5"/>
  <c r="AD57" i="5"/>
  <c r="AC72" i="5"/>
  <c r="AA103" i="5"/>
  <c r="AA142" i="5"/>
  <c r="Z151" i="5"/>
  <c r="AB123" i="5"/>
  <c r="AB30" i="5"/>
  <c r="Z90" i="5"/>
  <c r="AA39" i="5"/>
  <c r="AA25" i="5"/>
  <c r="AA8" i="5"/>
  <c r="AA53" i="5"/>
  <c r="AD69" i="5"/>
  <c r="AA130" i="5"/>
  <c r="AC10" i="5"/>
  <c r="AA79" i="5"/>
  <c r="AC110" i="5"/>
  <c r="AD139" i="5"/>
  <c r="AB94" i="5"/>
  <c r="AB137" i="5"/>
  <c r="AC90" i="5"/>
  <c r="Z10" i="5"/>
  <c r="AC24" i="5"/>
  <c r="AD16" i="5"/>
  <c r="AC141" i="5"/>
  <c r="AD12" i="5"/>
  <c r="AD147" i="5"/>
  <c r="AB116" i="5"/>
  <c r="AA135" i="5"/>
  <c r="AA66" i="5"/>
  <c r="AB115" i="5"/>
  <c r="AA110" i="5"/>
  <c r="AB140" i="5"/>
  <c r="AD25" i="5"/>
  <c r="AC49" i="5"/>
  <c r="AA89" i="5"/>
  <c r="AD134" i="5"/>
  <c r="AD149" i="5"/>
  <c r="AD97" i="5"/>
  <c r="AB74" i="5"/>
  <c r="AC7" i="5"/>
  <c r="AB144" i="5"/>
  <c r="AC35" i="5"/>
  <c r="AB93" i="5"/>
  <c r="AB62" i="5"/>
  <c r="AB107" i="5"/>
  <c r="AB12" i="5"/>
  <c r="Z97" i="5"/>
  <c r="AB139" i="5"/>
  <c r="AC36" i="5"/>
  <c r="AD50" i="5"/>
  <c r="AA41" i="5"/>
  <c r="Z100" i="5"/>
  <c r="Z72" i="5"/>
  <c r="AC83" i="5"/>
  <c r="AD29" i="5"/>
  <c r="AD137" i="5"/>
  <c r="AB41" i="5"/>
  <c r="AC124" i="5"/>
  <c r="Z24" i="5"/>
  <c r="AC80" i="5"/>
  <c r="AB81" i="5"/>
  <c r="AA38" i="5"/>
  <c r="AA94" i="5"/>
  <c r="AB127" i="5"/>
  <c r="AC119" i="5"/>
  <c r="AB39" i="5"/>
  <c r="AC62" i="5"/>
  <c r="AC148" i="5"/>
  <c r="AB16" i="5"/>
  <c r="AB134" i="5"/>
  <c r="AD111" i="5"/>
  <c r="Z13" i="5"/>
  <c r="Z93" i="5"/>
  <c r="Z49" i="5"/>
  <c r="AB77" i="5"/>
  <c r="AD53" i="5"/>
  <c r="Z65" i="5"/>
  <c r="AB40" i="5"/>
  <c r="AA27" i="5"/>
  <c r="Z110" i="5"/>
  <c r="AC92" i="5"/>
  <c r="AD141" i="5"/>
  <c r="Z7" i="5"/>
  <c r="Z77" i="5"/>
  <c r="AD65" i="5"/>
  <c r="AB14" i="5"/>
  <c r="AC22" i="5"/>
  <c r="AD103" i="5"/>
  <c r="AA24" i="5"/>
  <c r="AC85" i="5"/>
  <c r="AA61" i="5"/>
  <c r="AC75" i="5"/>
  <c r="AA91" i="5"/>
  <c r="Z83" i="5"/>
  <c r="Z132" i="5"/>
  <c r="AD76" i="5"/>
  <c r="AB33" i="5"/>
  <c r="Z37" i="5"/>
  <c r="AA81" i="5"/>
  <c r="AD64" i="5"/>
  <c r="AC58" i="5"/>
  <c r="Z14" i="5"/>
  <c r="AB85" i="5"/>
  <c r="Z113" i="5"/>
  <c r="Z53" i="5"/>
  <c r="AD116" i="5"/>
  <c r="AC146" i="5"/>
  <c r="AD127" i="5"/>
  <c r="AC147" i="5"/>
  <c r="AC135" i="5"/>
  <c r="AD42" i="5"/>
  <c r="AC89" i="5"/>
  <c r="AD24" i="5"/>
  <c r="AC107" i="5"/>
  <c r="AC21" i="5"/>
  <c r="AA77" i="5"/>
  <c r="AD73" i="5"/>
  <c r="AD107" i="5"/>
  <c r="Z98" i="5"/>
  <c r="Z21" i="5"/>
  <c r="AB148" i="5"/>
  <c r="AB66" i="5"/>
  <c r="AA140" i="5"/>
  <c r="AB133" i="5"/>
  <c r="AD54" i="5"/>
  <c r="AA121" i="5"/>
  <c r="AD136" i="5"/>
  <c r="AB8" i="5"/>
  <c r="AD104" i="5"/>
  <c r="AB96" i="5"/>
  <c r="AB64" i="5"/>
  <c r="AB126" i="5"/>
  <c r="AA90" i="5"/>
  <c r="AA54" i="5"/>
  <c r="A3" i="2" l="1"/>
  <c r="A4" i="2" s="1"/>
  <c r="A5" i="2"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E18" i="5"/>
  <c r="E8" i="5"/>
  <c r="E4" i="5"/>
  <c r="O5" i="5"/>
  <c r="O51" i="5"/>
  <c r="J43" i="5"/>
  <c r="O34" i="5"/>
  <c r="E5" i="5"/>
  <c r="J12" i="5"/>
  <c r="O33" i="5"/>
  <c r="O32" i="5"/>
  <c r="E42" i="5"/>
  <c r="E3" i="5"/>
  <c r="O30" i="5"/>
  <c r="C3" i="5"/>
  <c r="E35" i="5"/>
  <c r="O4" i="5"/>
  <c r="E54" i="5"/>
  <c r="O46" i="5"/>
  <c r="O8" i="5"/>
  <c r="O47" i="5"/>
  <c r="O26" i="5"/>
  <c r="E29" i="5"/>
  <c r="E31" i="5"/>
  <c r="O31" i="5"/>
  <c r="E15" i="5"/>
  <c r="O40" i="5"/>
  <c r="E7" i="5"/>
  <c r="E32" i="5"/>
  <c r="O38" i="5"/>
  <c r="J13" i="5"/>
  <c r="O35" i="5"/>
  <c r="E24" i="5"/>
  <c r="E49" i="5"/>
  <c r="E23" i="5"/>
  <c r="J4" i="5"/>
  <c r="O16" i="5"/>
  <c r="O36" i="5"/>
  <c r="O27" i="5"/>
  <c r="E38" i="5"/>
  <c r="O50" i="5"/>
  <c r="D7" i="5"/>
  <c r="E53" i="5"/>
  <c r="J25" i="5"/>
  <c r="J45" i="5"/>
  <c r="E9" i="5"/>
  <c r="O49" i="5"/>
  <c r="O3" i="5"/>
  <c r="J23" i="5"/>
  <c r="O19" i="5"/>
  <c r="O53" i="5"/>
  <c r="J49" i="5"/>
  <c r="J36" i="5"/>
  <c r="J28" i="5"/>
  <c r="O6" i="5"/>
  <c r="D4" i="5"/>
  <c r="J50" i="5"/>
  <c r="J24" i="5"/>
  <c r="D5" i="5"/>
  <c r="J9" i="5"/>
  <c r="J8" i="5"/>
  <c r="O13" i="5"/>
  <c r="E14" i="5"/>
  <c r="J11" i="5"/>
  <c r="J37" i="5"/>
  <c r="J19" i="5"/>
  <c r="E34" i="5"/>
  <c r="J3" i="5"/>
  <c r="E41" i="5"/>
  <c r="E10" i="5"/>
  <c r="O7" i="5"/>
  <c r="E26" i="5"/>
  <c r="E6" i="5"/>
  <c r="E40" i="5"/>
  <c r="E46" i="5"/>
  <c r="O52" i="5"/>
  <c r="O12" i="5"/>
  <c r="O24" i="5"/>
  <c r="J10" i="5"/>
  <c r="D3" i="5"/>
  <c r="O9" i="5"/>
  <c r="E27" i="5"/>
  <c r="O18" i="5"/>
  <c r="J42" i="5"/>
  <c r="E50" i="5"/>
  <c r="O44" i="5"/>
  <c r="J31" i="5"/>
  <c r="J26" i="5"/>
  <c r="J35" i="5"/>
  <c r="E37" i="5"/>
  <c r="E11" i="5"/>
  <c r="E28" i="5"/>
  <c r="O42" i="5"/>
  <c r="J32" i="5"/>
  <c r="O22" i="5"/>
  <c r="E13" i="5"/>
  <c r="J27" i="5"/>
  <c r="O21" i="5"/>
  <c r="E21" i="5"/>
  <c r="J5" i="5"/>
  <c r="E30" i="5"/>
  <c r="J29" i="5"/>
  <c r="J22" i="5"/>
  <c r="O54" i="5"/>
  <c r="O10" i="5"/>
  <c r="O29" i="5"/>
  <c r="O37" i="5"/>
  <c r="E25" i="5"/>
  <c r="J47" i="5"/>
  <c r="E36" i="5"/>
  <c r="E19" i="5"/>
  <c r="J6" i="5"/>
  <c r="O25" i="5"/>
  <c r="E33" i="5"/>
  <c r="E16" i="5"/>
  <c r="O15" i="5"/>
  <c r="O55" i="5"/>
  <c r="C5" i="5"/>
  <c r="O56" i="5"/>
  <c r="E20" i="5"/>
  <c r="E44" i="5"/>
  <c r="O20" i="5"/>
  <c r="E48" i="5"/>
  <c r="J40" i="5"/>
  <c r="J30" i="5"/>
  <c r="O39" i="5"/>
  <c r="O17" i="5"/>
  <c r="J44" i="5"/>
  <c r="J17" i="5"/>
  <c r="O28" i="5"/>
  <c r="O43" i="5"/>
  <c r="J18" i="5"/>
  <c r="D11" i="5"/>
  <c r="E17" i="5"/>
  <c r="E52" i="5"/>
  <c r="E22" i="5"/>
  <c r="E43" i="5"/>
  <c r="E51" i="5"/>
  <c r="E56" i="5"/>
  <c r="J34" i="5"/>
  <c r="J20" i="5"/>
  <c r="J39" i="5"/>
  <c r="D6" i="5"/>
  <c r="O48" i="5"/>
  <c r="E47" i="5"/>
  <c r="J38" i="5"/>
  <c r="J21" i="5"/>
  <c r="O23" i="5"/>
  <c r="O45" i="5"/>
  <c r="J48" i="5"/>
  <c r="O11" i="5"/>
  <c r="J46" i="5"/>
  <c r="O41" i="5"/>
  <c r="O14" i="5"/>
  <c r="E39" i="5"/>
  <c r="J15" i="5"/>
  <c r="J16" i="5"/>
  <c r="J41" i="5"/>
  <c r="J33" i="5"/>
  <c r="E45" i="5"/>
  <c r="J7" i="5"/>
  <c r="J14" i="5"/>
  <c r="E55"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N55" i="5"/>
  <c r="W107" i="5"/>
  <c r="U113" i="5"/>
  <c r="T123" i="5"/>
  <c r="N21" i="5"/>
  <c r="W125" i="5"/>
  <c r="U80" i="5"/>
  <c r="N54" i="5"/>
  <c r="T138" i="5"/>
  <c r="X110" i="5"/>
  <c r="V99" i="5"/>
  <c r="V139" i="5"/>
  <c r="M44" i="5"/>
  <c r="N29" i="5"/>
  <c r="N36" i="5"/>
  <c r="X123" i="5"/>
  <c r="T44" i="5"/>
  <c r="C19" i="5"/>
  <c r="U20" i="5"/>
  <c r="M29" i="5"/>
  <c r="T12" i="5"/>
  <c r="X56" i="5"/>
  <c r="V116" i="5"/>
  <c r="X108" i="5"/>
  <c r="I20" i="5"/>
  <c r="U48" i="5"/>
  <c r="V42" i="5"/>
  <c r="C21" i="5"/>
  <c r="X40" i="5"/>
  <c r="V117" i="5"/>
  <c r="V37" i="5"/>
  <c r="C27" i="5"/>
  <c r="T87" i="5"/>
  <c r="M37" i="5"/>
  <c r="D25" i="5"/>
  <c r="T4" i="5"/>
  <c r="X31" i="5"/>
  <c r="N46" i="5"/>
  <c r="W37" i="5"/>
  <c r="W10" i="5"/>
  <c r="V148" i="5"/>
  <c r="W117" i="5"/>
  <c r="V69" i="5"/>
  <c r="H10" i="5"/>
  <c r="N37" i="5"/>
  <c r="X83" i="5"/>
  <c r="U99" i="5"/>
  <c r="W32" i="5"/>
  <c r="V112" i="5"/>
  <c r="X115" i="5"/>
  <c r="V146" i="5"/>
  <c r="W58" i="5"/>
  <c r="T150" i="5"/>
  <c r="W92" i="5"/>
  <c r="X76" i="5"/>
  <c r="T149" i="5"/>
  <c r="T144" i="5"/>
  <c r="W152" i="5"/>
  <c r="V73" i="5"/>
  <c r="X8" i="5"/>
  <c r="X142" i="5"/>
  <c r="W21" i="5"/>
  <c r="I9" i="5"/>
  <c r="V93" i="5"/>
  <c r="U61" i="5"/>
  <c r="V47" i="5"/>
  <c r="C34" i="5"/>
  <c r="U116" i="5"/>
  <c r="X128" i="5"/>
  <c r="D8" i="5"/>
  <c r="X133" i="5"/>
  <c r="U83" i="5"/>
  <c r="X36" i="5"/>
  <c r="N28" i="5"/>
  <c r="T60" i="5"/>
  <c r="U126" i="5"/>
  <c r="W9" i="5"/>
  <c r="D14" i="5"/>
  <c r="I16" i="5"/>
  <c r="W17" i="5"/>
  <c r="T152" i="5"/>
  <c r="V11" i="5"/>
  <c r="U105" i="5"/>
  <c r="M52" i="5"/>
  <c r="T46" i="5"/>
  <c r="T11" i="5"/>
  <c r="X51" i="5"/>
  <c r="N25" i="5"/>
  <c r="X60" i="5"/>
  <c r="X78" i="5"/>
  <c r="I7" i="5"/>
  <c r="V30" i="5"/>
  <c r="V84" i="5"/>
  <c r="V79" i="5"/>
  <c r="U110" i="5"/>
  <c r="T117" i="5"/>
  <c r="V104" i="5"/>
  <c r="T16" i="5"/>
  <c r="I10" i="5"/>
  <c r="W74" i="5"/>
  <c r="D38" i="5"/>
  <c r="X32" i="5"/>
  <c r="H15" i="5"/>
  <c r="N17" i="5"/>
  <c r="U60" i="5"/>
  <c r="H37" i="5"/>
  <c r="X26" i="5"/>
  <c r="T145" i="5"/>
  <c r="V25" i="5"/>
  <c r="X92" i="5"/>
  <c r="M12" i="5"/>
  <c r="W47" i="5"/>
  <c r="W22" i="5"/>
  <c r="X98" i="5"/>
  <c r="N4" i="5"/>
  <c r="I47" i="5"/>
  <c r="C49" i="5"/>
  <c r="T62" i="5"/>
  <c r="D48" i="5"/>
  <c r="C48" i="5"/>
  <c r="N51" i="5"/>
  <c r="U7" i="5"/>
  <c r="T106" i="5"/>
  <c r="U46" i="5"/>
  <c r="T37" i="5"/>
  <c r="T28" i="5"/>
  <c r="T52" i="5"/>
  <c r="W149" i="5"/>
  <c r="V131" i="5"/>
  <c r="V17" i="5"/>
  <c r="D43" i="5"/>
  <c r="W43" i="5"/>
  <c r="X95" i="5"/>
  <c r="W98" i="5"/>
  <c r="I40" i="5"/>
  <c r="X113" i="5"/>
  <c r="D45" i="5"/>
  <c r="T18" i="5"/>
  <c r="N13" i="5"/>
  <c r="M13" i="5"/>
  <c r="X136" i="5"/>
  <c r="W121" i="5"/>
  <c r="V86" i="5"/>
  <c r="H26" i="5"/>
  <c r="W69" i="5"/>
  <c r="X23" i="5"/>
  <c r="W71" i="5"/>
  <c r="D18" i="5"/>
  <c r="V33" i="5"/>
  <c r="D56" i="5"/>
  <c r="X13" i="5"/>
  <c r="X11" i="5"/>
  <c r="T45" i="5"/>
  <c r="V31" i="5"/>
  <c r="N9" i="5"/>
  <c r="C37" i="5"/>
  <c r="U145" i="5"/>
  <c r="T94" i="5"/>
  <c r="V61" i="5"/>
  <c r="T32" i="5"/>
  <c r="I19" i="5"/>
  <c r="W66" i="5"/>
  <c r="I5" i="5"/>
  <c r="W89" i="5"/>
  <c r="X134" i="5"/>
  <c r="W45" i="5"/>
  <c r="V127" i="5"/>
  <c r="T80" i="5"/>
  <c r="U97" i="5"/>
  <c r="U70" i="5"/>
  <c r="U150" i="5"/>
  <c r="I37" i="5"/>
  <c r="U92" i="5"/>
  <c r="V67" i="5"/>
  <c r="D53" i="5"/>
  <c r="H21" i="5"/>
  <c r="T63" i="5"/>
  <c r="N47" i="5"/>
  <c r="W140" i="5"/>
  <c r="W38" i="5"/>
  <c r="W144" i="5"/>
  <c r="H28" i="5"/>
  <c r="T27" i="5"/>
  <c r="I4" i="5"/>
  <c r="U22" i="5"/>
  <c r="N50" i="5"/>
  <c r="V108" i="5"/>
  <c r="C32" i="5"/>
  <c r="D49" i="5"/>
  <c r="W94" i="5"/>
  <c r="W6" i="5"/>
  <c r="V43" i="5"/>
  <c r="T131" i="5"/>
  <c r="U33" i="5"/>
  <c r="T86" i="5"/>
  <c r="W112" i="5"/>
  <c r="V141" i="5"/>
  <c r="W8" i="5"/>
  <c r="X126" i="5"/>
  <c r="H41" i="5"/>
  <c r="M30" i="5"/>
  <c r="H48" i="5"/>
  <c r="T25" i="5"/>
  <c r="X135" i="5"/>
  <c r="D27" i="5"/>
  <c r="X87" i="5"/>
  <c r="U127" i="5"/>
  <c r="U53" i="5"/>
  <c r="V101" i="5"/>
  <c r="M19" i="5"/>
  <c r="X147" i="5"/>
  <c r="V57" i="5"/>
  <c r="T121" i="5"/>
  <c r="M54" i="5"/>
  <c r="D52" i="5"/>
  <c r="V151" i="5"/>
  <c r="V82" i="5"/>
  <c r="N8" i="5"/>
  <c r="X112" i="5"/>
  <c r="C16" i="5"/>
  <c r="D19" i="5"/>
  <c r="C44" i="5"/>
  <c r="U114" i="5"/>
  <c r="T146" i="5"/>
  <c r="X119" i="5"/>
  <c r="T128" i="5"/>
  <c r="X89" i="5"/>
  <c r="T47" i="5"/>
  <c r="I12" i="5"/>
  <c r="W77" i="5"/>
  <c r="N12" i="5"/>
  <c r="W72" i="5"/>
  <c r="T75" i="5"/>
  <c r="W123" i="5"/>
  <c r="X82" i="5"/>
  <c r="C14" i="5"/>
  <c r="C38" i="5"/>
  <c r="V138" i="5"/>
  <c r="X19" i="5"/>
  <c r="X64" i="5"/>
  <c r="W5" i="5"/>
  <c r="I41" i="5"/>
  <c r="C15" i="5"/>
  <c r="X44" i="5"/>
  <c r="M26" i="5"/>
  <c r="T3" i="5"/>
  <c r="X102" i="5"/>
  <c r="T126" i="5"/>
  <c r="U54" i="5"/>
  <c r="H30" i="5"/>
  <c r="C45" i="5"/>
  <c r="X152" i="5"/>
  <c r="X10" i="5"/>
  <c r="T68" i="5"/>
  <c r="X81" i="5"/>
  <c r="D41" i="5"/>
  <c r="I18" i="5"/>
  <c r="T134" i="5"/>
  <c r="T7" i="5"/>
  <c r="U111" i="5"/>
  <c r="U10" i="5"/>
  <c r="W40" i="5"/>
  <c r="U142" i="5"/>
  <c r="W132" i="5"/>
  <c r="C13" i="5"/>
  <c r="U56" i="5"/>
  <c r="M24" i="5"/>
  <c r="T10" i="5"/>
  <c r="W39" i="5"/>
  <c r="U32" i="5"/>
  <c r="I3" i="5"/>
  <c r="M46" i="5"/>
  <c r="C40" i="5"/>
  <c r="X139" i="5"/>
  <c r="V140" i="5"/>
  <c r="T5" i="5"/>
  <c r="T34" i="5"/>
  <c r="V89" i="5"/>
  <c r="T139" i="5"/>
  <c r="H8" i="5"/>
  <c r="X86" i="5"/>
  <c r="T153" i="5"/>
  <c r="U68" i="5"/>
  <c r="U151" i="5"/>
  <c r="N39" i="5"/>
  <c r="T102" i="5"/>
  <c r="X49" i="5"/>
  <c r="N32" i="5"/>
  <c r="W57" i="5"/>
  <c r="T122" i="5"/>
  <c r="W86" i="5"/>
  <c r="X104" i="5"/>
  <c r="V62" i="5"/>
  <c r="I33" i="5"/>
  <c r="V102" i="5"/>
  <c r="X137" i="5"/>
  <c r="T20" i="5"/>
  <c r="T137" i="5"/>
  <c r="U108" i="5"/>
  <c r="C52" i="5"/>
  <c r="U45" i="5"/>
  <c r="H9" i="5"/>
  <c r="W28" i="5"/>
  <c r="U64" i="5"/>
  <c r="V12" i="5"/>
  <c r="U79" i="5"/>
  <c r="U52" i="5"/>
  <c r="I8" i="5"/>
  <c r="V50" i="5"/>
  <c r="W3" i="5"/>
  <c r="I6" i="5"/>
  <c r="T140" i="5"/>
  <c r="U85" i="5"/>
  <c r="T135" i="5"/>
  <c r="T56" i="5"/>
  <c r="U87" i="5"/>
  <c r="X151" i="5"/>
  <c r="U84" i="5"/>
  <c r="T93" i="5"/>
  <c r="V9" i="5"/>
  <c r="N56" i="5"/>
  <c r="C55" i="5"/>
  <c r="U104" i="5"/>
  <c r="T30" i="5"/>
  <c r="V132" i="5"/>
  <c r="T33" i="5"/>
  <c r="W131" i="5"/>
  <c r="U30" i="5"/>
  <c r="V40" i="5"/>
  <c r="I36" i="5"/>
  <c r="X4" i="5"/>
  <c r="T142" i="5"/>
  <c r="W119" i="5"/>
  <c r="X153" i="5"/>
  <c r="W63" i="5"/>
  <c r="M41" i="5"/>
  <c r="N15" i="5"/>
  <c r="V128" i="5"/>
  <c r="T143" i="5"/>
  <c r="U119" i="5"/>
  <c r="X22" i="5"/>
  <c r="M49" i="5"/>
  <c r="I38" i="5"/>
  <c r="W108" i="5"/>
  <c r="V109" i="5"/>
  <c r="I46" i="5"/>
  <c r="W7" i="5"/>
  <c r="I14" i="5"/>
  <c r="U67" i="5"/>
  <c r="U23" i="5"/>
  <c r="X54" i="5"/>
  <c r="V142" i="5"/>
  <c r="M7" i="5"/>
  <c r="V60" i="5"/>
  <c r="T53" i="5"/>
  <c r="H32" i="5"/>
  <c r="X144" i="5"/>
  <c r="U21" i="5"/>
  <c r="U4" i="5"/>
  <c r="T71" i="5"/>
  <c r="V23" i="5"/>
  <c r="W68" i="5"/>
  <c r="W26" i="5"/>
  <c r="T84" i="5"/>
  <c r="W93" i="5"/>
  <c r="W129" i="5"/>
  <c r="V15" i="5"/>
  <c r="H39" i="5"/>
  <c r="D37" i="5"/>
  <c r="V35" i="5"/>
  <c r="V92" i="5"/>
  <c r="U101" i="5"/>
  <c r="W113" i="5"/>
  <c r="W91" i="5"/>
  <c r="U86" i="5"/>
  <c r="U153" i="5"/>
  <c r="U11" i="5"/>
  <c r="U82" i="5"/>
  <c r="I44" i="5"/>
  <c r="M50" i="5"/>
  <c r="I29" i="5"/>
  <c r="U6" i="5"/>
  <c r="N48" i="5"/>
  <c r="U117" i="5"/>
  <c r="V32" i="5"/>
  <c r="U39" i="5"/>
  <c r="T23" i="5"/>
  <c r="V63" i="5"/>
  <c r="W15" i="5"/>
  <c r="D31" i="5"/>
  <c r="U8" i="5"/>
  <c r="U42" i="5"/>
  <c r="N35" i="5"/>
  <c r="U115" i="5"/>
  <c r="D30" i="5"/>
  <c r="H44" i="5"/>
  <c r="M18" i="5"/>
  <c r="W53" i="5"/>
  <c r="N5" i="5"/>
  <c r="X130" i="5"/>
  <c r="V135" i="5"/>
  <c r="X91" i="5"/>
  <c r="W46" i="5"/>
  <c r="C7" i="5"/>
  <c r="V10" i="5"/>
  <c r="X28" i="5"/>
  <c r="N26" i="5"/>
  <c r="M33" i="5"/>
  <c r="D26" i="5"/>
  <c r="H49" i="5"/>
  <c r="X114" i="5"/>
  <c r="H47" i="5"/>
  <c r="W87" i="5"/>
  <c r="V19" i="5"/>
  <c r="V28" i="5"/>
  <c r="U132" i="5"/>
  <c r="U140" i="5"/>
  <c r="W124" i="5"/>
  <c r="V71" i="5"/>
  <c r="W62" i="5"/>
  <c r="X80" i="5"/>
  <c r="I39" i="5"/>
  <c r="W18" i="5"/>
  <c r="W25" i="5"/>
  <c r="W16" i="5"/>
  <c r="X125" i="5"/>
  <c r="T54" i="5"/>
  <c r="X66" i="5"/>
  <c r="W147" i="5"/>
  <c r="X16" i="5"/>
  <c r="W12" i="5"/>
  <c r="T39" i="5"/>
  <c r="W135" i="5"/>
  <c r="T133" i="5"/>
  <c r="T76" i="5"/>
  <c r="T49" i="5"/>
  <c r="T73" i="5"/>
  <c r="V110" i="5"/>
  <c r="T92" i="5"/>
  <c r="U134" i="5"/>
  <c r="M16" i="5"/>
  <c r="M4" i="5"/>
  <c r="C9" i="5"/>
  <c r="U152" i="5"/>
  <c r="X30" i="5"/>
  <c r="D9" i="5"/>
  <c r="M17" i="5"/>
  <c r="N7" i="5"/>
  <c r="X45" i="5"/>
  <c r="V103" i="5"/>
  <c r="U137" i="5"/>
  <c r="W42" i="5"/>
  <c r="X99" i="5"/>
  <c r="T104" i="5"/>
  <c r="W59" i="5"/>
  <c r="X132" i="5"/>
  <c r="X37" i="5"/>
  <c r="W48" i="5"/>
  <c r="H23" i="5"/>
  <c r="I28" i="5"/>
  <c r="U93" i="5"/>
  <c r="W36" i="5"/>
  <c r="C33" i="5"/>
  <c r="V13" i="5"/>
  <c r="X5" i="5"/>
  <c r="U102" i="5"/>
  <c r="M32" i="5"/>
  <c r="X68" i="5"/>
  <c r="V29" i="5"/>
  <c r="W126" i="5"/>
  <c r="V76" i="5"/>
  <c r="H20" i="5"/>
  <c r="D50" i="5"/>
  <c r="N53" i="5"/>
  <c r="T98" i="5"/>
  <c r="U106" i="5"/>
  <c r="U144" i="5"/>
  <c r="W64" i="5"/>
  <c r="I17" i="5"/>
  <c r="X118" i="5"/>
  <c r="T82" i="5"/>
  <c r="T79" i="5"/>
  <c r="C30" i="5"/>
  <c r="U18" i="5"/>
  <c r="U25" i="5"/>
  <c r="U19" i="5"/>
  <c r="T132" i="5"/>
  <c r="N24" i="5"/>
  <c r="X27" i="5"/>
  <c r="V36" i="5"/>
  <c r="V113" i="5"/>
  <c r="U16" i="5"/>
  <c r="D54" i="5"/>
  <c r="H11" i="5"/>
  <c r="V126" i="5"/>
  <c r="W78" i="5"/>
  <c r="X52" i="5"/>
  <c r="X111" i="5"/>
  <c r="D20" i="5"/>
  <c r="W104" i="5"/>
  <c r="T96" i="5"/>
  <c r="T69" i="5"/>
  <c r="T114" i="5"/>
  <c r="D24" i="5"/>
  <c r="N23" i="5"/>
  <c r="V38" i="5"/>
  <c r="T113" i="5"/>
  <c r="U128" i="5"/>
  <c r="T36" i="5"/>
  <c r="X122" i="5"/>
  <c r="W138" i="5"/>
  <c r="X35" i="5"/>
  <c r="W141" i="5"/>
  <c r="D15" i="5"/>
  <c r="T129" i="5"/>
  <c r="M43" i="5"/>
  <c r="W103" i="5"/>
  <c r="U135" i="5"/>
  <c r="I27" i="5"/>
  <c r="H18" i="5"/>
  <c r="M48" i="5"/>
  <c r="V152" i="5"/>
  <c r="W136" i="5"/>
  <c r="M36" i="5"/>
  <c r="X145" i="5"/>
  <c r="X57" i="5"/>
  <c r="D23" i="5"/>
  <c r="X20" i="5"/>
  <c r="V81" i="5"/>
  <c r="T125" i="5"/>
  <c r="M39" i="5"/>
  <c r="M27" i="5"/>
  <c r="C51" i="5"/>
  <c r="T99" i="5"/>
  <c r="V72" i="5"/>
  <c r="T100" i="5"/>
  <c r="W148" i="5"/>
  <c r="X146" i="5"/>
  <c r="W142" i="5"/>
  <c r="W80" i="5"/>
  <c r="X63" i="5"/>
  <c r="W130" i="5"/>
  <c r="X143" i="5"/>
  <c r="H35" i="5"/>
  <c r="W49" i="5"/>
  <c r="T85" i="5"/>
  <c r="U120" i="5"/>
  <c r="D51" i="5"/>
  <c r="V96" i="5"/>
  <c r="W151" i="5"/>
  <c r="V26" i="5"/>
  <c r="W51" i="5"/>
  <c r="U44" i="5"/>
  <c r="V123" i="5"/>
  <c r="T108" i="5"/>
  <c r="U103" i="5"/>
  <c r="I49" i="5"/>
  <c r="X65" i="5"/>
  <c r="V114" i="5"/>
  <c r="X33" i="5"/>
  <c r="X107" i="5"/>
  <c r="I25" i="5"/>
  <c r="W146" i="5"/>
  <c r="T9" i="5"/>
  <c r="D10" i="5"/>
  <c r="U81" i="5"/>
  <c r="U49" i="5"/>
  <c r="W110" i="5"/>
  <c r="X121" i="5"/>
  <c r="M23" i="5"/>
  <c r="X85" i="5"/>
  <c r="C23" i="5"/>
  <c r="X25" i="5"/>
  <c r="N18" i="5"/>
  <c r="X106" i="5"/>
  <c r="W153" i="5"/>
  <c r="T67" i="5"/>
  <c r="V129" i="5"/>
  <c r="D33" i="5"/>
  <c r="W109" i="5"/>
  <c r="U72" i="5"/>
  <c r="V22" i="5"/>
  <c r="T89" i="5"/>
  <c r="U17" i="5"/>
  <c r="V111" i="5"/>
  <c r="T110" i="5"/>
  <c r="V4" i="5"/>
  <c r="M14" i="5"/>
  <c r="T59" i="5"/>
  <c r="U96" i="5"/>
  <c r="V98" i="5"/>
  <c r="T14" i="5"/>
  <c r="U51" i="5"/>
  <c r="W75" i="5"/>
  <c r="C22" i="5"/>
  <c r="M5" i="5"/>
  <c r="U139" i="5"/>
  <c r="T81" i="5"/>
  <c r="D17" i="5"/>
  <c r="W102" i="5"/>
  <c r="V107" i="5"/>
  <c r="T107" i="5"/>
  <c r="V122" i="5"/>
  <c r="U122" i="5"/>
  <c r="W23" i="5"/>
  <c r="T119" i="5"/>
  <c r="W122" i="5"/>
  <c r="X79" i="5"/>
  <c r="D55" i="5"/>
  <c r="V68" i="5"/>
  <c r="H27" i="5"/>
  <c r="X7" i="5"/>
  <c r="X15" i="5"/>
  <c r="X61" i="5"/>
  <c r="U90" i="5"/>
  <c r="N42" i="5"/>
  <c r="D46" i="5"/>
  <c r="M6" i="5"/>
  <c r="U5" i="5"/>
  <c r="N19" i="5"/>
  <c r="V59" i="5"/>
  <c r="W27" i="5"/>
  <c r="V56" i="5"/>
  <c r="V143" i="5"/>
  <c r="V85" i="5"/>
  <c r="W60" i="5"/>
  <c r="T41" i="5"/>
  <c r="U129" i="5"/>
  <c r="H14" i="5"/>
  <c r="V48" i="5"/>
  <c r="T65" i="5"/>
  <c r="D40" i="5"/>
  <c r="V46" i="5"/>
  <c r="T38" i="5"/>
  <c r="U55" i="5"/>
  <c r="X41" i="5"/>
  <c r="U131" i="5"/>
  <c r="V74" i="5"/>
  <c r="N31" i="5"/>
  <c r="D44" i="5"/>
  <c r="C26" i="5"/>
  <c r="X131" i="5"/>
  <c r="D47" i="5"/>
  <c r="V20" i="5"/>
  <c r="W83" i="5"/>
  <c r="W90" i="5"/>
  <c r="H25" i="5"/>
  <c r="H29" i="5"/>
  <c r="V39" i="5"/>
  <c r="H12" i="5"/>
  <c r="V27" i="5"/>
  <c r="I31" i="5"/>
  <c r="I23" i="5"/>
  <c r="W96" i="5"/>
  <c r="H33" i="5"/>
  <c r="V77" i="5"/>
  <c r="X42" i="5"/>
  <c r="N52" i="5"/>
  <c r="T51" i="5"/>
  <c r="M55" i="5"/>
  <c r="U73" i="5"/>
  <c r="W52" i="5"/>
  <c r="W29" i="5"/>
  <c r="U57" i="5"/>
  <c r="W84" i="5"/>
  <c r="U76" i="5"/>
  <c r="M9" i="5"/>
  <c r="T19" i="5"/>
  <c r="H42" i="5"/>
  <c r="X29" i="5"/>
  <c r="V66" i="5"/>
  <c r="I24" i="5"/>
  <c r="V147" i="5"/>
  <c r="W106" i="5"/>
  <c r="X94" i="5"/>
  <c r="T88" i="5"/>
  <c r="H36" i="5"/>
  <c r="X39" i="5"/>
  <c r="V52" i="5"/>
  <c r="U59" i="5"/>
  <c r="U100" i="5"/>
  <c r="W79" i="5"/>
  <c r="H38" i="5"/>
  <c r="X105" i="5"/>
  <c r="N14" i="5"/>
  <c r="U37" i="5"/>
  <c r="T120" i="5"/>
  <c r="H5" i="5"/>
  <c r="V24" i="5"/>
  <c r="W82" i="5"/>
  <c r="W31" i="5"/>
  <c r="U41" i="5"/>
  <c r="V94" i="5"/>
  <c r="X90" i="5"/>
  <c r="U141" i="5"/>
  <c r="V65" i="5"/>
  <c r="T118" i="5"/>
  <c r="N20" i="5"/>
  <c r="W127" i="5"/>
  <c r="U94" i="5"/>
  <c r="W13" i="5"/>
  <c r="U15" i="5"/>
  <c r="U118" i="5"/>
  <c r="U31" i="5"/>
  <c r="X58" i="5"/>
  <c r="X47" i="5"/>
  <c r="W24" i="5"/>
  <c r="X138" i="5"/>
  <c r="X69" i="5"/>
  <c r="C56" i="5"/>
  <c r="U47" i="5"/>
  <c r="V125" i="5"/>
  <c r="V87" i="5"/>
  <c r="T74" i="5"/>
  <c r="X148" i="5"/>
  <c r="W95" i="5"/>
  <c r="X140" i="5"/>
  <c r="M42" i="5"/>
  <c r="X84" i="5"/>
  <c r="X96" i="5"/>
  <c r="T55" i="5"/>
  <c r="C20" i="5"/>
  <c r="M34" i="5"/>
  <c r="V70" i="5"/>
  <c r="I43" i="5"/>
  <c r="C6" i="5"/>
  <c r="T8" i="5"/>
  <c r="H43" i="5"/>
  <c r="X117" i="5"/>
  <c r="T90" i="5"/>
  <c r="T13" i="5"/>
  <c r="V121" i="5"/>
  <c r="X17" i="5"/>
  <c r="H6" i="5"/>
  <c r="V45" i="5"/>
  <c r="U95" i="5"/>
  <c r="V3" i="5"/>
  <c r="T58" i="5"/>
  <c r="U74" i="5"/>
  <c r="T147" i="5"/>
  <c r="T124" i="5"/>
  <c r="T127" i="5"/>
  <c r="V118" i="5"/>
  <c r="X48" i="5"/>
  <c r="T151" i="5"/>
  <c r="T115" i="5"/>
  <c r="T42" i="5"/>
  <c r="X24" i="5"/>
  <c r="C31" i="5"/>
  <c r="W99" i="5"/>
  <c r="W111" i="5"/>
  <c r="U69" i="5"/>
  <c r="C50" i="5"/>
  <c r="V75" i="5"/>
  <c r="M31" i="5"/>
  <c r="T43" i="5"/>
  <c r="T148" i="5"/>
  <c r="X6" i="5"/>
  <c r="C41" i="5"/>
  <c r="N30" i="5"/>
  <c r="U13" i="5"/>
  <c r="M21" i="5"/>
  <c r="V106" i="5"/>
  <c r="W56" i="5"/>
  <c r="U43" i="5"/>
  <c r="U27" i="5"/>
  <c r="V145" i="5"/>
  <c r="T26" i="5"/>
  <c r="U29" i="5"/>
  <c r="M47" i="5"/>
  <c r="U50" i="5"/>
  <c r="D16" i="5"/>
  <c r="N45" i="5"/>
  <c r="I30" i="5"/>
  <c r="M35" i="5"/>
  <c r="T70" i="5"/>
  <c r="W139" i="5"/>
  <c r="D39" i="5"/>
  <c r="V18" i="5"/>
  <c r="X12" i="5"/>
  <c r="T95" i="5"/>
  <c r="X109" i="5"/>
  <c r="U12" i="5"/>
  <c r="H45" i="5"/>
  <c r="V7" i="5"/>
  <c r="W100" i="5"/>
  <c r="T66" i="5"/>
  <c r="T72" i="5"/>
  <c r="W14" i="5"/>
  <c r="W128" i="5"/>
  <c r="C36" i="5"/>
  <c r="T77" i="5"/>
  <c r="D35" i="5"/>
  <c r="I32" i="5"/>
  <c r="W65" i="5"/>
  <c r="W34" i="5"/>
  <c r="W55" i="5"/>
  <c r="X67" i="5"/>
  <c r="U9" i="5"/>
  <c r="W30" i="5"/>
  <c r="N6" i="5"/>
  <c r="T64" i="5"/>
  <c r="U146" i="5"/>
  <c r="X75" i="5"/>
  <c r="X88" i="5"/>
  <c r="W88" i="5"/>
  <c r="U71" i="5"/>
  <c r="T105" i="5"/>
  <c r="M56" i="5"/>
  <c r="C53" i="5"/>
  <c r="U78" i="5"/>
  <c r="H34" i="5"/>
  <c r="V34" i="5"/>
  <c r="I15" i="5"/>
  <c r="W70" i="5"/>
  <c r="V91" i="5"/>
  <c r="X46" i="5"/>
  <c r="D36" i="5"/>
  <c r="V6" i="5"/>
  <c r="W101" i="5"/>
  <c r="C43" i="5"/>
  <c r="C39" i="5"/>
  <c r="C4" i="5"/>
  <c r="H24" i="5"/>
  <c r="C17" i="5"/>
  <c r="U24" i="5"/>
  <c r="U89" i="5"/>
  <c r="U40" i="5"/>
  <c r="W76" i="5"/>
  <c r="U28" i="5"/>
  <c r="V105" i="5"/>
  <c r="X129" i="5"/>
  <c r="T103" i="5"/>
  <c r="V150" i="5"/>
  <c r="M45" i="5"/>
  <c r="W73" i="5"/>
  <c r="T17" i="5"/>
  <c r="X55" i="5"/>
  <c r="X18" i="5"/>
  <c r="V51" i="5"/>
  <c r="V149" i="5"/>
  <c r="X124" i="5"/>
  <c r="W118" i="5"/>
  <c r="M8" i="5"/>
  <c r="W145" i="5"/>
  <c r="U77" i="5"/>
  <c r="M11" i="5"/>
  <c r="V55" i="5"/>
  <c r="U112" i="5"/>
  <c r="N33" i="5"/>
  <c r="I35" i="5"/>
  <c r="X97" i="5"/>
  <c r="H50" i="5"/>
  <c r="X141" i="5"/>
  <c r="X116" i="5"/>
  <c r="T40" i="5"/>
  <c r="I45" i="5"/>
  <c r="W85" i="5"/>
  <c r="X21" i="5"/>
  <c r="C42" i="5"/>
  <c r="C25" i="5"/>
  <c r="W44" i="5"/>
  <c r="W137" i="5"/>
  <c r="W11" i="5"/>
  <c r="U138" i="5"/>
  <c r="C35" i="5"/>
  <c r="T109" i="5"/>
  <c r="I26" i="5"/>
  <c r="W61" i="5"/>
  <c r="T35" i="5"/>
  <c r="U3" i="5"/>
  <c r="H31" i="5"/>
  <c r="V124" i="5"/>
  <c r="V8" i="5"/>
  <c r="I48" i="5"/>
  <c r="M20" i="5"/>
  <c r="U125" i="5"/>
  <c r="C47" i="5"/>
  <c r="W115" i="5"/>
  <c r="X93" i="5"/>
  <c r="X50" i="5"/>
  <c r="V115" i="5"/>
  <c r="V130" i="5"/>
  <c r="U147" i="5"/>
  <c r="I22" i="5"/>
  <c r="W116" i="5"/>
  <c r="U65" i="5"/>
  <c r="T141" i="5"/>
  <c r="V119" i="5"/>
  <c r="X43" i="5"/>
  <c r="U26" i="5"/>
  <c r="U98" i="5"/>
  <c r="U36" i="5"/>
  <c r="C8" i="5"/>
  <c r="V90" i="5"/>
  <c r="X127" i="5"/>
  <c r="U35" i="5"/>
  <c r="C46" i="5"/>
  <c r="H7" i="5"/>
  <c r="T15" i="5"/>
  <c r="W20" i="5"/>
  <c r="V137" i="5"/>
  <c r="U109" i="5"/>
  <c r="X100" i="5"/>
  <c r="N10" i="5"/>
  <c r="T97" i="5"/>
  <c r="V41" i="5"/>
  <c r="V78" i="5"/>
  <c r="M22" i="5"/>
  <c r="T116" i="5"/>
  <c r="V58" i="5"/>
  <c r="W67" i="5"/>
  <c r="C11" i="5"/>
  <c r="W35" i="5"/>
  <c r="T61" i="5"/>
  <c r="M28" i="5"/>
  <c r="N34" i="5"/>
  <c r="V134" i="5"/>
  <c r="U124" i="5"/>
  <c r="X70" i="5"/>
  <c r="I13" i="5"/>
  <c r="U107" i="5"/>
  <c r="U14" i="5"/>
  <c r="W143" i="5"/>
  <c r="C29" i="5"/>
  <c r="H13" i="5"/>
  <c r="X73" i="5"/>
  <c r="X101" i="5"/>
  <c r="D22" i="5"/>
  <c r="T101" i="5"/>
  <c r="U91" i="5"/>
  <c r="T83" i="5"/>
  <c r="T31" i="5"/>
  <c r="X103" i="5"/>
  <c r="T130" i="5"/>
  <c r="V95" i="5"/>
  <c r="W134" i="5"/>
  <c r="X38" i="5"/>
  <c r="H16" i="5"/>
  <c r="D32" i="5"/>
  <c r="M51" i="5"/>
  <c r="M10" i="5"/>
  <c r="H22" i="5"/>
  <c r="W54" i="5"/>
  <c r="V100" i="5"/>
  <c r="M15" i="5"/>
  <c r="V136" i="5"/>
  <c r="V80" i="5"/>
  <c r="U62" i="5"/>
  <c r="X34" i="5"/>
  <c r="U148" i="5"/>
  <c r="T48" i="5"/>
  <c r="U38" i="5"/>
  <c r="X120" i="5"/>
  <c r="C28" i="5"/>
  <c r="T21" i="5"/>
  <c r="U133" i="5"/>
  <c r="N38" i="5"/>
  <c r="H46" i="5"/>
  <c r="U75" i="5"/>
  <c r="V5" i="5"/>
  <c r="X77" i="5"/>
  <c r="V144" i="5"/>
  <c r="W150" i="5"/>
  <c r="T91" i="5"/>
  <c r="M38" i="5"/>
  <c r="V54" i="5"/>
  <c r="C24" i="5"/>
  <c r="T78" i="5"/>
  <c r="W120" i="5"/>
  <c r="N40" i="5"/>
  <c r="W41" i="5"/>
  <c r="X149" i="5"/>
  <c r="N11" i="5"/>
  <c r="M40" i="5"/>
  <c r="U123" i="5"/>
  <c r="V44" i="5"/>
  <c r="I42" i="5"/>
  <c r="N27" i="5"/>
  <c r="V64" i="5"/>
  <c r="V49" i="5"/>
  <c r="W97" i="5"/>
  <c r="T22" i="5"/>
  <c r="I50" i="5"/>
  <c r="T136" i="5"/>
  <c r="D28" i="5"/>
  <c r="C18" i="5"/>
  <c r="X53" i="5"/>
  <c r="W114" i="5"/>
  <c r="V133" i="5"/>
  <c r="M25" i="5"/>
  <c r="N44" i="5"/>
  <c r="V16" i="5"/>
  <c r="W33" i="5"/>
  <c r="D29" i="5"/>
  <c r="X62" i="5"/>
  <c r="V153" i="5"/>
  <c r="M53" i="5"/>
  <c r="U136" i="5"/>
  <c r="U66" i="5"/>
  <c r="W19" i="5"/>
  <c r="V97" i="5"/>
  <c r="N3" i="5"/>
  <c r="T29" i="5"/>
  <c r="H40" i="5"/>
  <c r="W105" i="5"/>
  <c r="D21" i="5"/>
  <c r="T57" i="5"/>
  <c r="M3" i="5"/>
  <c r="U58" i="5"/>
  <c r="C54" i="5"/>
  <c r="H17" i="5"/>
  <c r="X74" i="5"/>
  <c r="T111" i="5"/>
  <c r="W81" i="5"/>
  <c r="W133" i="5"/>
  <c r="U121" i="5"/>
  <c r="I21" i="5"/>
  <c r="X72" i="5"/>
  <c r="D42" i="5"/>
  <c r="I34" i="5"/>
  <c r="U130" i="5"/>
  <c r="N22" i="5"/>
  <c r="W50" i="5"/>
  <c r="H19" i="5"/>
  <c r="V120" i="5"/>
  <c r="X14" i="5"/>
  <c r="T50" i="5"/>
  <c r="U34" i="5"/>
  <c r="V14" i="5"/>
  <c r="N49" i="5"/>
  <c r="T6" i="5"/>
  <c r="X150" i="5"/>
  <c r="X59" i="5"/>
  <c r="N16" i="5"/>
  <c r="U88" i="5"/>
  <c r="X71" i="5"/>
  <c r="X9" i="5"/>
  <c r="T112" i="5"/>
  <c r="D13" i="5"/>
  <c r="V53" i="5"/>
  <c r="D34" i="5"/>
  <c r="I11" i="5"/>
  <c r="V21" i="5"/>
  <c r="N43" i="5"/>
  <c r="U149" i="5"/>
  <c r="V83" i="5"/>
  <c r="T24" i="5"/>
  <c r="U63" i="5"/>
  <c r="U143" i="5"/>
  <c r="N41" i="5"/>
  <c r="V88" i="5"/>
  <c r="K5" i="10" l="1"/>
  <c r="K4" i="10"/>
  <c r="K3" i="10"/>
</calcChain>
</file>

<file path=xl/sharedStrings.xml><?xml version="1.0" encoding="utf-8"?>
<sst xmlns="http://schemas.openxmlformats.org/spreadsheetml/2006/main" count="461" uniqueCount="250">
  <si>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</si>
  <si>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</si>
  <si>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</si>
  <si>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</si>
  <si>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</si>
  <si>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</si>
  <si>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</si>
  <si>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</si>
  <si>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</si>
  <si>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</si>
  <si>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</si>
  <si>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</si>
  <si>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</si>
  <si>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</si>
  <si>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</si>
  <si>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</si>
  <si>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</si>
  <si>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</si>
  <si>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</si>
  <si>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</si>
  <si>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</si>
  <si>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</si>
  <si>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</si>
  <si>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</si>
  <si>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</si>
  <si>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</si>
  <si>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</si>
  <si>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</si>
  <si>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</si>
  <si>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</si>
  <si>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</si>
  <si>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</si>
  <si>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</si>
  <si>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</si>
  <si>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</si>
  <si>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</si>
  <si>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</si>
  <si>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</si>
  <si>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</si>
  <si>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</si>
  <si>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</si>
  <si>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</si>
  <si>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</si>
  <si>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</si>
  <si>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</si>
  <si>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</si>
  <si>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</si>
  <si>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</si>
  <si>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</si>
  <si>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</si>
  <si>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</si>
  <si>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</si>
  <si>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</si>
  <si>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</si>
  <si>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</si>
  <si>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</si>
  <si>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</si>
  <si>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</si>
  <si>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</si>
  <si>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</si>
  <si>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</si>
  <si>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</si>
  <si>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</si>
  <si>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</si>
  <si>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</si>
  <si>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</si>
  <si>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</si>
  <si>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</si>
  <si>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</si>
  <si>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</si>
  <si>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</si>
  <si>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</si>
  <si>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</si>
  <si>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</si>
  <si>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</si>
  <si>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</si>
  <si>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</si>
  <si>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</si>
  <si>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</si>
  <si>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</si>
  <si>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</si>
  <si>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</si>
  <si>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</si>
  <si>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</si>
  <si>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</si>
  <si>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</si>
  <si>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</si>
  <si>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</si>
  <si>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</si>
  <si>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</si>
  <si>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Orders</t>
  </si>
  <si>
    <t>Saxo Acct #</t>
  </si>
  <si>
    <t>Saxo Acct Key</t>
  </si>
  <si>
    <t>Saxo OpenAPI Enabled</t>
  </si>
  <si>
    <t/>
  </si>
  <si>
    <t xml:space="preserve">Whether orders are actually sent or only simulated.  </t>
  </si>
  <si>
    <t>Saxo Client Key</t>
  </si>
  <si>
    <t>Net Positions</t>
  </si>
  <si>
    <t>All Positions</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</si>
  <si>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</si>
  <si>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</si>
  <si>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</si>
  <si>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</si>
  <si>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</si>
  <si>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</si>
  <si>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</si>
  <si>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</si>
  <si>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</si>
  <si>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</si>
  <si>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</si>
  <si>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</si>
  <si>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</si>
  <si>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</si>
  <si>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</si>
  <si>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</si>
  <si>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</si>
  <si>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Tranche Size</t>
  </si>
  <si>
    <t>Exchange Rate</t>
  </si>
  <si>
    <t>KUSD</t>
  </si>
  <si>
    <t>m</t>
  </si>
  <si>
    <t>eSignal Symbol</t>
  </si>
  <si>
    <t>Restaurant Group</t>
  </si>
  <si>
    <t>OpenApiPlaceOrder("9|9G7dMWchHftzbHmB-YaQ==","RTN:xlon","CfdOnStock",2415,"Buy","DayOrder","Limit",322.9)</t>
  </si>
  <si>
    <t xml:space="preserve">Order placed successfully._x000D_
Front office order id :68500652._x000D_
</t>
  </si>
  <si>
    <t>SIM#713332</t>
  </si>
  <si>
    <t>OpenApiPlaceOrder("None","RTN:xlon","CfdOnStock",780000,"Buy","DayOrder","Market",1.2)</t>
  </si>
  <si>
    <t>OpenApiPlaceOrder("9|9G7dMWchHftzbHmB-YaQ==","RTN:xlon","CfdOnStock",2963,"Buy","DayOrder","Market",315.82)</t>
  </si>
  <si>
    <t xml:space="preserve">Order placed successfully._x000D_
Front office order id :68502853._x000D_
</t>
  </si>
  <si>
    <t>OpenApiPlaceOrder("9|9G7dMWchHftzbHmB-YaQ==","RTN:xlon","CfdOnStock",2437,"Buy","DayOrder","Limit",320.0)</t>
  </si>
  <si>
    <t xml:space="preserve">Order placed successfully._x000D_
Front office order id :68502856._x000D_
</t>
  </si>
  <si>
    <t xml:space="preserve">Order placed successfully._x000D_
Front office order id :68502873._x000D_
</t>
  </si>
  <si>
    <t xml:space="preserve">Order placed successfully._x000D_
Front office order id :68502882._x000D_
</t>
  </si>
  <si>
    <t>OpenApiPlaceOrder("9|9G7dMWchHftzbHmB-YaQ==","RTN:xlon","CfdOnStock",2600,"Buy","DayOrder","Limit",300.0)</t>
  </si>
  <si>
    <t xml:space="preserve">Order placed successfully._x000D_
Front office order id :68502887._x000D_
</t>
  </si>
  <si>
    <t>OpenApiPlaceOrder("9|9G7dMWchHftzbHmB-YaQ==","RTN:xlon","CfdOnStock",2469,"Buy","DayOrder","Market",315.82)</t>
  </si>
  <si>
    <t xml:space="preserve">Order placed successfully._x000D_
Front office order id :68503182._x000D_
</t>
  </si>
  <si>
    <t xml:space="preserve">Order placed successfully._x000D_
Front office order id :68503195._x000D_
</t>
  </si>
  <si>
    <t>% From Prev Close Before Reporting Day</t>
  </si>
  <si>
    <t>OpenApiPlaceOrder("9|9G7dMWchHftzbHmB-YaQ==","RTN:xlon","CfdOnStock",2481,"Buy","DayOrder","Limit",314.31)</t>
  </si>
  <si>
    <t>sent</t>
  </si>
  <si>
    <t>OpenApiPlaceOrder("9|9G7dMWchHftzbHmB-YaQ==","RTN:xlon","CfdOnStock",2481,"Buy","DayOrder","Limit",314.3)</t>
  </si>
  <si>
    <t xml:space="preserve">Order placed successfully._x000D_
Front office order id :68517219._x000D_
</t>
  </si>
  <si>
    <t xml:space="preserve">Order placed successfully._x000D_
Front office order id :68517223._x000D_
</t>
  </si>
  <si>
    <t>ExecutionTimeOpen</t>
  </si>
  <si>
    <t>Amount</t>
  </si>
  <si>
    <t>OpenPrice</t>
  </si>
  <si>
    <t>OrderTime</t>
  </si>
  <si>
    <t>BuySell</t>
  </si>
  <si>
    <t>OpenOrderType</t>
  </si>
  <si>
    <t>Price</t>
  </si>
  <si>
    <t>FilledAmount</t>
  </si>
  <si>
    <t>ExchangeId</t>
  </si>
  <si>
    <t>AssetType</t>
  </si>
  <si>
    <t>ExpiryDate</t>
  </si>
  <si>
    <t>Status</t>
  </si>
  <si>
    <t>DurationType</t>
  </si>
  <si>
    <t>ExpirationDate</t>
  </si>
  <si>
    <t>StopLimitPrice</t>
  </si>
  <si>
    <t>AverageOpenPrice</t>
  </si>
  <si>
    <t>OpenApiPlaceOrder("9|9G7dMWchHftzbHmB-YaQ==","RTN:xlon","CfdOnStock",2469,"Buy","DayOrder","Market",315.8)</t>
  </si>
  <si>
    <t xml:space="preserve">Order placed successfully._x000D_
Front office order id :68523175._x000D_
</t>
  </si>
  <si>
    <t xml:space="preserve">Order placed successfully._x000D_
Front office order id :68523177._x000D_
</t>
  </si>
  <si>
    <t>The account key used to send orders via OpenAPI for Excel to Saxo, SIM: 9|9G7dMWchHftzbHmB-YaQ==, LIVE: itWNFCVHLPChad8WdOVZDg==</t>
  </si>
  <si>
    <t>The client key used to send orders via OpenAPI for Excel to Saxo, 45XQxxJtoz-bbnF8YyTl0Q==, LIVE: IOWRGiOPn49xKRjrnaPxSw==</t>
  </si>
  <si>
    <t>The account number used to send orders via OpenAPI for Excel to Saxo, LIVE: 6871055, 202Fairfield, SIM: 8091733, python123</t>
  </si>
  <si>
    <t>OpenApiPlaceOrder("9|9G7dMWchHftzbHmB-YaQ==","RTN:xlon","CfdOnStock",1300,"Buy","DayOrder","Limit",300.0)</t>
  </si>
  <si>
    <t xml:space="preserve">Order placed successfully._x000D_
Front office order id :68523385._x000D_
</t>
  </si>
  <si>
    <t>Vodafone</t>
  </si>
  <si>
    <t>OpenApiPlaceOrder("itWNFCVHLPChad8WdOVZDg==","VOD:xlon","CfdOnStock",3568,"Buy","DayOrder","Limit",218.6)</t>
  </si>
  <si>
    <t xml:space="preserve">Order placed successfully._x000D_
Front office order id :223935092._x000D_
</t>
  </si>
  <si>
    <t>OpenApiPlaceOrder("itWNFCVHLPChad8WdOVZDg==","VOD:xlon","CfdOnStock",2469,"Sell","DayOrder","Market",315.8)</t>
  </si>
  <si>
    <t xml:space="preserve">Order placed successfully._x000D_
Front office order id :223935101._x000D_
</t>
  </si>
  <si>
    <t>OpenApiPlaceOrder("itWNFCVHLPChad8WdOVZDg==","VOD:xlon","CfdOnStock",1099.0,"Sell","DayOrder","Limit",218.45)</t>
  </si>
  <si>
    <t xml:space="preserve">Order placed successfully._x000D_
Front office order id :223938360._x000D_
</t>
  </si>
  <si>
    <t>Target % Order Type</t>
  </si>
  <si>
    <t>Market</t>
  </si>
  <si>
    <t>Whether target % exit orders should be Market or Limit</t>
  </si>
  <si>
    <t>1%Change,2%Change</t>
  </si>
  <si>
    <t>1%Change</t>
  </si>
  <si>
    <t>OpenApiPlaceOrder("9|9G7dMWchHftzbHmB-YaQ==","VOD:xlon","CfdOnStock",3558,"Sell","DayOrder","Limit",219.2)</t>
  </si>
  <si>
    <t xml:space="preserve">Order placed successfully._x000D_
Front office order id :68525322._x000D_
</t>
  </si>
  <si>
    <t>OpenApiPlaceOrder("9|9G7dMWchHftzbHmB-YaQ==","RTN:xlon","CfdOnStock",2547,"Sell","DayOrder","Limit",306.15)</t>
  </si>
  <si>
    <t>OpenApiPlaceOrder("9|9G7dMWchHftzbHmB-YaQ==","RTN:xlon","CfdOnStock",2599,"Sell","DayOrder","Limit",300.1)</t>
  </si>
  <si>
    <t xml:space="preserve">Order placed successfully._x000D_
Front office order id :68525884._x000D_
</t>
  </si>
  <si>
    <t>OpenApiPlaceOrder("9|9G7dMWchHftzbHmB-YaQ==","VOD:xlon","CfdOnStock",3391,"Sell","DayOrder","Limit",230.0)</t>
  </si>
  <si>
    <t xml:space="preserve">Order placed successfully._x000D_
Front office order id :68529366._x000D_
</t>
  </si>
  <si>
    <t xml:space="preserve">Order placed successfully._x000D_
Front office order id :68529370._x000D_
</t>
  </si>
  <si>
    <t xml:space="preserve">Order placed successfully._x000D_
Front office order id :68529384._x000D_
</t>
  </si>
  <si>
    <t>Algo Tester</t>
  </si>
  <si>
    <t>Bar Size</t>
  </si>
  <si>
    <t>Algo</t>
  </si>
  <si>
    <t>Date</t>
  </si>
  <si>
    <t>Bar Time</t>
  </si>
  <si>
    <t>Intraday_Date</t>
  </si>
  <si>
    <t>Intraday_Time</t>
  </si>
  <si>
    <t>I1</t>
  </si>
  <si>
    <t>SIM#409361</t>
  </si>
  <si>
    <t>OpenApiPlaceOrder("None","VOD:xlon","CfdOnStock",3466,"Buy","DayOrder","Market",225.0)</t>
  </si>
  <si>
    <t>OpenApiPlaceOrder("9|9G7dMWchHftzbHmB-YaQ==","VOD:xlon","CfdOnStock",3466,"Buy","DayOrder","Market",225.0)</t>
  </si>
  <si>
    <t xml:space="preserve">Order placed successfully._x000D_
Front office order id :68537756._x000D_
</t>
  </si>
  <si>
    <t xml:space="preserve">Order placed successfully._x000D_
Front office order id :68538160._x000D_
</t>
  </si>
  <si>
    <t xml:space="preserve">Order placed successfully._x000D_
Front office order id :68538161._x000D_
</t>
  </si>
  <si>
    <t xml:space="preserve">Order placed successfully._x000D_
Front office order id :68538162._x000D_
</t>
  </si>
  <si>
    <t xml:space="preserve">Order placed successfully._x000D_
Front office order id :68538163._x000D_
</t>
  </si>
  <si>
    <t xml:space="preserve">Order placed successfully._x000D_
Front office order id :68538165._x000D_
</t>
  </si>
  <si>
    <t>OpenApiPlaceOrder("9|9G7dMWchHftzbHmB-YaQ==","VOD:xlon","CfdOnStock",3900,"Sell","DayOrder","Market",200.0)</t>
  </si>
  <si>
    <t xml:space="preserve">Order placed successfully._x000D_
Front office order id :68538190._x000D_
</t>
  </si>
  <si>
    <t xml:space="preserve">Order placed successfully._x000D_
Front office order id :68538199._x000D_
</t>
  </si>
  <si>
    <t xml:space="preserve">Order placed successfully._x000D_
Front office order id :68538203._x000D_
</t>
  </si>
  <si>
    <t xml:space="preserve">Order placed successfully._x000D_
Front office order id :68538215._x000D_
</t>
  </si>
  <si>
    <t xml:space="preserve">Order placed successfully._x000D_
Front office order id :68538218._x000D_
</t>
  </si>
  <si>
    <t xml:space="preserve">Order placed successfully._x000D_
Front office order id :68538220._x000D_
</t>
  </si>
  <si>
    <t>OpenApiPlaceOrder("9|9G7dMWchHftzbHmB-YaQ==","VOD:xlon","CfdOnStock",3391,"Buy","DayOrder","Market",230.0)</t>
  </si>
  <si>
    <t xml:space="preserve">Order placed successfully._x000D_
Front office order id :68538224._x000D_
</t>
  </si>
  <si>
    <t xml:space="preserve">Order placed successfully._x000D_
Front office order id :68538225._x000D_
</t>
  </si>
  <si>
    <t xml:space="preserve">Order placed successfully._x000D_
Front office order id :68538226._x000D_
</t>
  </si>
  <si>
    <t xml:space="preserve">Order placed successfully._x000D_
Front office order id :68538227._x000D_
</t>
  </si>
  <si>
    <t xml:space="preserve">Order placed successfully._x000D_
Front office order id :68538228._x000D_
</t>
  </si>
  <si>
    <t xml:space="preserve">Order placed successfully._x000D_
Front office order id :68538230._x000D_
</t>
  </si>
  <si>
    <t xml:space="preserve">Order placed successfully._x000D_
Front office order id :68538244._x000D_
</t>
  </si>
  <si>
    <t xml:space="preserve">Order placed successfully._x000D_
Front office order id :68538248._x000D_
</t>
  </si>
  <si>
    <t xml:space="preserve">Order placed successfully._x000D_
Front office order id :68538251._x000D_
</t>
  </si>
  <si>
    <t xml:space="preserve">Order placed successfully._x000D_
Front office order id :68538254._x000D_
</t>
  </si>
  <si>
    <t>OpenApiPlaceOrder("9|9G7dMWchHftzbHmB-YaQ==","VOD:xlon","CfdOnStock",1416,"Buy","DayOrder","Market",230.0)</t>
  </si>
  <si>
    <t xml:space="preserve">Order placed successfully._x000D_
Front office order id :68538471._x000D_
</t>
  </si>
  <si>
    <t xml:space="preserve">Order placed successfully._x000D_
Front office order id :68538476._x000D_
</t>
  </si>
  <si>
    <t>OpenApiPlaceOrder("9|9G7dMWchHftzbHmB-YaQ==","VOD:xlon","CfdOnStock",3391,"Sell","DayOrder","Market",210.0)</t>
  </si>
  <si>
    <t xml:space="preserve">Order placed successfully._x000D_
Front office order id :68538494._x000D_
</t>
  </si>
  <si>
    <t xml:space="preserve">Order placed successfully._x000D_
Front office order id :68538498._x000D_
</t>
  </si>
  <si>
    <t xml:space="preserve">Order placed successfully._x000D_
Front office order id :68538513._x000D_
</t>
  </si>
  <si>
    <t xml:space="preserve">Order placed successfully._x000D_
Front office order id :68538547._x000D_
</t>
  </si>
  <si>
    <t xml:space="preserve">Order placed successfully._x000D_
Front office order id :68538553._x000D_
</t>
  </si>
  <si>
    <t>OpenApiPlaceOrder("9|9G7dMWchHftzbHmB-YaQ==","VOD:xlon","CfdOnStock",3218,"Buy","DayOrder","Market",230.0)</t>
  </si>
  <si>
    <t xml:space="preserve">Order placed successfully._x000D_
Front office order id :68539067._x000D_
</t>
  </si>
  <si>
    <t>OpenApiPlaceOrder("9|9G7dMWchHftzbHmB-YaQ==","VOD:xlon","CfdOnStock",3714,"Sell","DayOrder","Market",210.0)</t>
  </si>
  <si>
    <t xml:space="preserve">Order placed successfully._x000D_
Front office order id :68539083._x000D_
</t>
  </si>
  <si>
    <t xml:space="preserve">Order placed successfully._x000D_
Front office order id :68539084._x000D_
</t>
  </si>
  <si>
    <t xml:space="preserve">Order placed successfully._x000D_
Front office order id :68539085._x000D_
</t>
  </si>
  <si>
    <t>OpenApiPlaceOrder("9|9G7dMWchHftzbHmB-YaQ==","VOD:xlon","CfdOnStock",2249,"Sell","DayOrder","Market",210.0)</t>
  </si>
  <si>
    <t xml:space="preserve">Order placed successfully._x000D_
Front office order id :68539086._x000D_
</t>
  </si>
  <si>
    <t>OpenApiPlaceOrder("9|9G7dMWchHftzbHmB-YaQ==","VOD:xlon","CfdOnStock",3627,"Sell","DayOrder","Market",215.0)</t>
  </si>
  <si>
    <t xml:space="preserve">Order placed successfully._x000D_
Front office order id :68539096._x000D_
</t>
  </si>
  <si>
    <t xml:space="preserve">Order placed successfully._x000D_
Front office order id :68539098._x000D_
</t>
  </si>
  <si>
    <t>OpenApiPlaceOrder("9|9G7dMWchHftzbHmB-YaQ==","VOD:xlon","CfdOnStock",2746,"Sell","DayOrder","Market",215.0)</t>
  </si>
  <si>
    <t xml:space="preserve">Order placed successfully._x000D_
Front office order id :68539103._x000D_
</t>
  </si>
  <si>
    <t>OpenApiPlaceOrder("9|9G7dMWchHftzbHmB-YaQ==","VOD:xlon","CfdOnStock",3535,"Buy","DayOrder","Market",220.7)</t>
  </si>
  <si>
    <t xml:space="preserve">Order placed successfully._x000D_
Front office order id :68539132._x000D_
</t>
  </si>
  <si>
    <t xml:space="preserve">Order placed successfully._x000D_
Front office order id :68539133._x000D_
</t>
  </si>
  <si>
    <t>OpenApiPlaceOrder("9|9G7dMWchHftzbHmB-YaQ==","VOD:xlon","CfdOnStock",2930,"Buy","DayOrder","Market",220.7)</t>
  </si>
  <si>
    <t xml:space="preserve">Order placed successfully._x000D_
Front office order id :68539134._x000D_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</si>
</sst>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 numFmtId="170" formatCode="0.0"/>
    <numFmt numFmtId="171" formatCode="0.000"/>
  </numFmts>
  <fonts count="19"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
      <b/>
      <sz val="12"/>
      <color indexed="55" tint="-0.249977111117893"/>
      <name val="Calibri"/>
      <family val="2"/>
      <scheme val="minor"/>
    </font>
    <font>
      <sz val="12"/>
      <color indexed="55" tint="-0.249977111117893"/>
      <name val="Calibri"/>
      <family val="2"/>
      <scheme val="minor"/>
    </font>
    <font>
      <sz val="12"/>
      <color indexed="55"/>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99">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xf numFmtId="170" fontId="14" fillId="5" borderId="2" xfId="0" applyNumberFormat="1" applyFont="1" applyFill="1" applyBorder="1" applyAlignment="1">
      <alignment horizontal="left"/>
    </xf>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xf numFmtId="171" fontId="12" fillId="5" borderId="2" xfId="2" applyNumberFormat="1" applyFont="1" applyFill="1" applyBorder="1" applyAlignment="1">
      <alignment horizontal="center" vertical="center"/>
    </xf>
    <xf numFmtId="171" fontId="12" fillId="5" borderId="2" xfId="2" applyNumberFormat="1" applyFont="1" applyFill="1" applyBorder="1" applyAlignment="1">
      <alignment horizontal="center" vertical="center" wrapText="1"/>
    </xf>
    <xf numFmtId="171" fontId="14" fillId="5" borderId="2" xfId="2" applyNumberFormat="1" applyFont="1" applyFill="1" applyBorder="1" applyProtection="1">
      <protection locked="0"/>
    </xf>
    <xf numFmtId="171" fontId="14" fillId="5" borderId="2" xfId="2" applyNumberFormat="1" applyFont="1" applyFill="1" applyBorder="1"/>
    <xf numFmtId="166" fontId="11" fillId="5" borderId="2" xfId="0" applyNumberFormat="1" applyFont="1" applyFill="1" applyBorder="1" applyAlignment="1" applyProtection="1">
      <alignment horizontal="center" vertical="center"/>
    </xf>
    <xf numFmtId="0" fontId="16" fillId="5" borderId="2" xfId="0" applyFont="1" applyFill="1" applyBorder="1"/>
    <xf numFmtId="0" fontId="17" fillId="5" borderId="2" xfId="0" applyFont="1" applyFill="1" applyBorder="1"/>
    <xf numFmtId="0" fontId="17" fillId="5" borderId="2" xfId="0" applyNumberFormat="1" applyFont="1" applyFill="1" applyBorder="1" applyProtection="1">
      <protection locked="0"/>
    </xf>
    <xf numFmtId="0" fontId="17" fillId="5" borderId="2" xfId="0" applyNumberFormat="1" applyFont="1" applyFill="1" applyBorder="1"/>
    <xf numFmtId="0" fontId="18" fillId="5" borderId="2" xfId="0" applyNumberFormat="1" applyFont="1" applyFill="1" applyBorder="1"/>
    <xf numFmtId="20" fontId="17" fillId="5" borderId="2" xfId="0" applyNumberFormat="1" applyFont="1" applyFill="1" applyBorder="1"/>
    <xf numFmtId="14" fontId="17" fillId="5" borderId="2" xfId="0" applyNumberFormat="1" applyFont="1" applyFill="1" applyBorder="1"/>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341725</v>
        <stp/>
        <stp>FR-EEB.Volume</stp>
        <tr r="D5" s="5"/>
      </tp>
    </main>
    <main first="esrtd">
      <tp>
        <v>42929.601388888892</v>
        <stp/>
        <stp>*H</stp>
        <stp>VOD-LON</stp>
        <stp>Intraday_Time</stp>
        <stp>I1</stp>
        <stp/>
        <stp>63</stp>
        <tr r="I47" s="12"/>
      </tp>
      <tp>
        <v>42929.602083333331</v>
        <stp/>
        <stp>*H</stp>
        <stp>VOD-LON</stp>
        <stp>Intraday_Time</stp>
        <stp>I1</stp>
        <stp/>
        <stp>62</stp>
        <tr r="I48" s="12"/>
      </tp>
      <tp>
        <v>42929.602777777778</v>
        <stp/>
        <stp>*H</stp>
        <stp>VOD-LON</stp>
        <stp>Intraday_Time</stp>
        <stp>I1</stp>
        <stp/>
        <stp>61</stp>
        <tr r="I49" s="12"/>
      </tp>
      <tp>
        <v>42929.603472222225</v>
        <stp/>
        <stp>*H</stp>
        <stp>VOD-LON</stp>
        <stp>Intraday_Time</stp>
        <stp>I1</stp>
        <stp/>
        <stp>60</stp>
        <tr r="I50" s="12"/>
      </tp>
      <tp>
        <v>42929.598611111112</v>
        <stp/>
        <stp>*H</stp>
        <stp>VOD-LON</stp>
        <stp>Intraday_Time</stp>
        <stp>I1</stp>
        <stp/>
        <stp>67</stp>
        <tr r="I43" s="12"/>
      </tp>
      <tp>
        <v>42929.599305555559</v>
        <stp/>
        <stp>*H</stp>
        <stp>VOD-LON</stp>
        <stp>Intraday_Time</stp>
        <stp>I1</stp>
        <stp/>
        <stp>66</stp>
        <tr r="I44" s="12"/>
      </tp>
      <tp>
        <v>42929.599999999999</v>
        <stp/>
        <stp>*H</stp>
        <stp>VOD-LON</stp>
        <stp>Intraday_Time</stp>
        <stp>I1</stp>
        <stp/>
        <stp>65</stp>
        <tr r="I45" s="12"/>
      </tp>
      <tp>
        <v>42929.600694444445</v>
        <stp/>
        <stp>*H</stp>
        <stp>VOD-LON</stp>
        <stp>Intraday_Time</stp>
        <stp>I1</stp>
        <stp/>
        <stp>64</stp>
        <tr r="I46" s="12"/>
      </tp>
      <tp>
        <v>42929.597222222219</v>
        <stp/>
        <stp>*H</stp>
        <stp>VOD-LON</stp>
        <stp>Intraday_Time</stp>
        <stp>I1</stp>
        <stp/>
        <stp>69</stp>
        <tr r="I41" s="12"/>
      </tp>
      <tp>
        <v>42929.597916666666</v>
        <stp/>
        <stp>*H</stp>
        <stp>VOD-LON</stp>
        <stp>Intraday_Time</stp>
        <stp>I1</stp>
        <stp/>
        <stp>68</stp>
        <tr r="I42" s="12"/>
      </tp>
      <tp>
        <v>42929.594444444447</v>
        <stp/>
        <stp>*H</stp>
        <stp>VOD-LON</stp>
        <stp>Intraday_Time</stp>
        <stp>I1</stp>
        <stp/>
        <stp>73</stp>
        <tr r="I37" s="12"/>
      </tp>
      <tp>
        <v>42929.595138888886</v>
        <stp/>
        <stp>*H</stp>
        <stp>VOD-LON</stp>
        <stp>Intraday_Time</stp>
        <stp>I1</stp>
        <stp/>
        <stp>72</stp>
        <tr r="I38" s="12"/>
      </tp>
      <tp>
        <v>42929.595833333333</v>
        <stp/>
        <stp>*H</stp>
        <stp>VOD-LON</stp>
        <stp>Intraday_Time</stp>
        <stp>I1</stp>
        <stp/>
        <stp>71</stp>
        <tr r="I39" s="12"/>
      </tp>
      <tp>
        <v>42929.59652777778</v>
        <stp/>
        <stp>*H</stp>
        <stp>VOD-LON</stp>
        <stp>Intraday_Time</stp>
        <stp>I1</stp>
        <stp/>
        <stp>70</stp>
        <tr r="I40" s="12"/>
      </tp>
      <tp>
        <v>42929.591666666667</v>
        <stp/>
        <stp>*H</stp>
        <stp>VOD-LON</stp>
        <stp>Intraday_Time</stp>
        <stp>I1</stp>
        <stp/>
        <stp>77</stp>
        <tr r="I33" s="12"/>
      </tp>
      <tp>
        <v>42929.592361111114</v>
        <stp/>
        <stp>*H</stp>
        <stp>VOD-LON</stp>
        <stp>Intraday_Time</stp>
        <stp>I1</stp>
        <stp/>
        <stp>76</stp>
        <tr r="I34" s="12"/>
      </tp>
      <tp>
        <v>42929.593055555553</v>
        <stp/>
        <stp>*H</stp>
        <stp>VOD-LON</stp>
        <stp>Intraday_Time</stp>
        <stp>I1</stp>
        <stp/>
        <stp>75</stp>
        <tr r="I35" s="12"/>
      </tp>
      <tp>
        <v>42929.59375</v>
        <stp/>
        <stp>*H</stp>
        <stp>VOD-LON</stp>
        <stp>Intraday_Time</stp>
        <stp>I1</stp>
        <stp/>
        <stp>74</stp>
        <tr r="I36" s="12"/>
      </tp>
      <tp>
        <v>42929.590277777781</v>
        <stp/>
        <stp>*H</stp>
        <stp>VOD-LON</stp>
        <stp>Intraday_Time</stp>
        <stp>I1</stp>
        <stp/>
        <stp>79</stp>
        <tr r="I31" s="12"/>
      </tp>
      <tp>
        <v>42929.59097222222</v>
        <stp/>
        <stp>*H</stp>
        <stp>VOD-LON</stp>
        <stp>Intraday_Time</stp>
        <stp>I1</stp>
        <stp/>
        <stp>78</stp>
        <tr r="I32" s="12"/>
      </tp>
      <tp>
        <v>42929.615277777775</v>
        <stp/>
        <stp>*H</stp>
        <stp>VOD-LON</stp>
        <stp>Intraday_Time</stp>
        <stp>I1</stp>
        <stp/>
        <stp>43</stp>
        <tr r="I67" s="12"/>
      </tp>
      <tp>
        <v>42929.615972222222</v>
        <stp/>
        <stp>*H</stp>
        <stp>VOD-LON</stp>
        <stp>Intraday_Time</stp>
        <stp>I1</stp>
        <stp/>
        <stp>42</stp>
        <tr r="I68" s="12"/>
      </tp>
      <tp>
        <v>42929.616666666669</v>
        <stp/>
        <stp>*H</stp>
        <stp>VOD-LON</stp>
        <stp>Intraday_Time</stp>
        <stp>I1</stp>
        <stp/>
        <stp>41</stp>
        <tr r="I69" s="12"/>
      </tp>
      <tp>
        <v>42929.617361111108</v>
        <stp/>
        <stp>*H</stp>
        <stp>VOD-LON</stp>
        <stp>Intraday_Time</stp>
        <stp>I1</stp>
        <stp/>
        <stp>40</stp>
        <tr r="I70" s="12"/>
      </tp>
      <tp>
        <v>42929.612500000003</v>
        <stp/>
        <stp>*H</stp>
        <stp>VOD-LON</stp>
        <stp>Intraday_Time</stp>
        <stp>I1</stp>
        <stp/>
        <stp>47</stp>
        <tr r="I63" s="12"/>
      </tp>
      <tp>
        <v>42929.613194444442</v>
        <stp/>
        <stp>*H</stp>
        <stp>VOD-LON</stp>
        <stp>Intraday_Time</stp>
        <stp>I1</stp>
        <stp/>
        <stp>46</stp>
        <tr r="I64" s="12"/>
      </tp>
      <tp>
        <v>42929.613888888889</v>
        <stp/>
        <stp>*H</stp>
        <stp>VOD-LON</stp>
        <stp>Intraday_Time</stp>
        <stp>I1</stp>
        <stp/>
        <stp>45</stp>
        <tr r="I65" s="12"/>
      </tp>
      <tp>
        <v>42929.614583333336</v>
        <stp/>
        <stp>*H</stp>
        <stp>VOD-LON</stp>
        <stp>Intraday_Time</stp>
        <stp>I1</stp>
        <stp/>
        <stp>44</stp>
        <tr r="I66" s="12"/>
      </tp>
      <tp>
        <v>42929.611111111109</v>
        <stp/>
        <stp>*H</stp>
        <stp>VOD-LON</stp>
        <stp>Intraday_Time</stp>
        <stp>I1</stp>
        <stp/>
        <stp>49</stp>
        <tr r="I61" s="12"/>
      </tp>
      <tp>
        <v>42929.611805555556</v>
        <stp/>
        <stp>*H</stp>
        <stp>VOD-LON</stp>
        <stp>Intraday_Time</stp>
        <stp>I1</stp>
        <stp/>
        <stp>48</stp>
        <tr r="I62" s="12"/>
      </tp>
    </main>
    <main first="esrtd">
      <tp>
        <v>42929.60833333333</v>
        <stp/>
        <stp>*H</stp>
        <stp>VOD-LON</stp>
        <stp>Intraday_Time</stp>
        <stp>I1</stp>
        <stp/>
        <stp>53</stp>
        <tr r="I57" s="12"/>
      </tp>
      <tp>
        <v>42929.609027777777</v>
        <stp/>
        <stp>*H</stp>
        <stp>VOD-LON</stp>
        <stp>Intraday_Time</stp>
        <stp>I1</stp>
        <stp/>
        <stp>52</stp>
        <tr r="I58" s="12"/>
      </tp>
      <tp>
        <v>42929.609722222223</v>
        <stp/>
        <stp>*H</stp>
        <stp>VOD-LON</stp>
        <stp>Intraday_Time</stp>
        <stp>I1</stp>
        <stp/>
        <stp>51</stp>
        <tr r="I59" s="12"/>
      </tp>
      <tp>
        <v>42929.61041666667</v>
        <stp/>
        <stp>*H</stp>
        <stp>VOD-LON</stp>
        <stp>Intraday_Time</stp>
        <stp>I1</stp>
        <stp/>
        <stp>50</stp>
        <tr r="I60" s="12"/>
      </tp>
      <tp>
        <v>42929.605555555558</v>
        <stp/>
        <stp>*H</stp>
        <stp>VOD-LON</stp>
        <stp>Intraday_Time</stp>
        <stp>I1</stp>
        <stp/>
        <stp>57</stp>
        <tr r="I53" s="12"/>
      </tp>
      <tp>
        <v>42929.606249999997</v>
        <stp/>
        <stp>*H</stp>
        <stp>VOD-LON</stp>
        <stp>Intraday_Time</stp>
        <stp>I1</stp>
        <stp/>
        <stp>56</stp>
        <tr r="I54" s="12"/>
      </tp>
      <tp>
        <v>42929.606944444444</v>
        <stp/>
        <stp>*H</stp>
        <stp>VOD-LON</stp>
        <stp>Intraday_Time</stp>
        <stp>I1</stp>
        <stp/>
        <stp>55</stp>
        <tr r="I55" s="12"/>
      </tp>
      <tp>
        <v>42929.607638888891</v>
        <stp/>
        <stp>*H</stp>
        <stp>VOD-LON</stp>
        <stp>Intraday_Time</stp>
        <stp>I1</stp>
        <stp/>
        <stp>54</stp>
        <tr r="I56" s="12"/>
      </tp>
      <tp>
        <v>42929.604166666664</v>
        <stp/>
        <stp>*H</stp>
        <stp>VOD-LON</stp>
        <stp>Intraday_Time</stp>
        <stp>I1</stp>
        <stp/>
        <stp>59</stp>
        <tr r="I51" s="12"/>
      </tp>
      <tp>
        <v>42929.604861111111</v>
        <stp/>
        <stp>*H</stp>
        <stp>VOD-LON</stp>
        <stp>Intraday_Time</stp>
        <stp>I1</stp>
        <stp/>
        <stp>58</stp>
        <tr r="I52" s="12"/>
      </tp>
      <tp>
        <v>42929.629166666666</v>
        <stp/>
        <stp>*H</stp>
        <stp>VOD-LON</stp>
        <stp>Intraday_Time</stp>
        <stp>I1</stp>
        <stp/>
        <stp>23</stp>
        <tr r="I87" s="12"/>
      </tp>
      <tp>
        <v>42929.629861111112</v>
        <stp/>
        <stp>*H</stp>
        <stp>VOD-LON</stp>
        <stp>Intraday_Time</stp>
        <stp>I1</stp>
        <stp/>
        <stp>22</stp>
        <tr r="I88" s="12"/>
      </tp>
      <tp>
        <v>42929.630555555559</v>
        <stp/>
        <stp>*H</stp>
        <stp>VOD-LON</stp>
        <stp>Intraday_Time</stp>
        <stp>I1</stp>
        <stp/>
        <stp>21</stp>
        <tr r="I89" s="12"/>
      </tp>
      <tp>
        <v>42929.631249999999</v>
        <stp/>
        <stp>*H</stp>
        <stp>VOD-LON</stp>
        <stp>Intraday_Time</stp>
        <stp>I1</stp>
        <stp/>
        <stp>20</stp>
        <tr r="I90" s="12"/>
      </tp>
      <tp>
        <v>42929.626388888886</v>
        <stp/>
        <stp>*H</stp>
        <stp>VOD-LON</stp>
        <stp>Intraday_Time</stp>
        <stp>I1</stp>
        <stp/>
        <stp>27</stp>
        <tr r="I83" s="12"/>
      </tp>
      <tp>
        <v>42929.627083333333</v>
        <stp/>
        <stp>*H</stp>
        <stp>VOD-LON</stp>
        <stp>Intraday_Time</stp>
        <stp>I1</stp>
        <stp/>
        <stp>26</stp>
        <tr r="I84" s="12"/>
      </tp>
      <tp>
        <v>42929.62777777778</v>
        <stp/>
        <stp>*H</stp>
        <stp>VOD-LON</stp>
        <stp>Intraday_Time</stp>
        <stp>I1</stp>
        <stp/>
        <stp>25</stp>
        <tr r="I85" s="12"/>
      </tp>
      <tp>
        <v>42929.628472222219</v>
        <stp/>
        <stp>*H</stp>
        <stp>VOD-LON</stp>
        <stp>Intraday_Time</stp>
        <stp>I1</stp>
        <stp/>
        <stp>24</stp>
        <tr r="I86" s="12"/>
      </tp>
      <tp>
        <v>42929.625</v>
        <stp/>
        <stp>*H</stp>
        <stp>VOD-LON</stp>
        <stp>Intraday_Time</stp>
        <stp>I1</stp>
        <stp/>
        <stp>29</stp>
        <tr r="I81" s="12"/>
      </tp>
      <tp>
        <v>42929.625694444447</v>
        <stp/>
        <stp>*H</stp>
        <stp>VOD-LON</stp>
        <stp>Intraday_Time</stp>
        <stp>I1</stp>
        <stp/>
        <stp>28</stp>
        <tr r="I82" s="12"/>
      </tp>
      <tp>
        <v>42929.62222222222</v>
        <stp/>
        <stp>*H</stp>
        <stp>VOD-LON</stp>
        <stp>Intraday_Time</stp>
        <stp>I1</stp>
        <stp/>
        <stp>33</stp>
        <tr r="I77" s="12"/>
      </tp>
      <tp>
        <v>42929.622916666667</v>
        <stp/>
        <stp>*H</stp>
        <stp>VOD-LON</stp>
        <stp>Intraday_Time</stp>
        <stp>I1</stp>
        <stp/>
        <stp>32</stp>
        <tr r="I78" s="12"/>
      </tp>
      <tp>
        <v>42929.623611111114</v>
        <stp/>
        <stp>*H</stp>
        <stp>VOD-LON</stp>
        <stp>Intraday_Time</stp>
        <stp>I1</stp>
        <stp/>
        <stp>31</stp>
        <tr r="I79" s="12"/>
      </tp>
      <tp>
        <v>42929.624305555553</v>
        <stp/>
        <stp>*H</stp>
        <stp>VOD-LON</stp>
        <stp>Intraday_Time</stp>
        <stp>I1</stp>
        <stp/>
        <stp>30</stp>
        <tr r="I80" s="12"/>
      </tp>
      <tp>
        <v>42929.619444444441</v>
        <stp/>
        <stp>*H</stp>
        <stp>VOD-LON</stp>
        <stp>Intraday_Time</stp>
        <stp>I1</stp>
        <stp/>
        <stp>37</stp>
        <tr r="I73" s="12"/>
      </tp>
      <tp>
        <v>42929.620138888888</v>
        <stp/>
        <stp>*H</stp>
        <stp>VOD-LON</stp>
        <stp>Intraday_Time</stp>
        <stp>I1</stp>
        <stp/>
        <stp>36</stp>
        <tr r="I74" s="12"/>
      </tp>
      <tp>
        <v>42929.620833333334</v>
        <stp/>
        <stp>*H</stp>
        <stp>VOD-LON</stp>
        <stp>Intraday_Time</stp>
        <stp>I1</stp>
        <stp/>
        <stp>35</stp>
        <tr r="I75" s="12"/>
      </tp>
      <tp>
        <v>42929.621527777781</v>
        <stp/>
        <stp>*H</stp>
        <stp>VOD-LON</stp>
        <stp>Intraday_Time</stp>
        <stp>I1</stp>
        <stp/>
        <stp>34</stp>
        <tr r="I76" s="12"/>
      </tp>
      <tp>
        <v>42929.618055555555</v>
        <stp/>
        <stp>*H</stp>
        <stp>VOD-LON</stp>
        <stp>Intraday_Time</stp>
        <stp>I1</stp>
        <stp/>
        <stp>39</stp>
        <tr r="I71" s="12"/>
      </tp>
      <tp>
        <v>42929.618750000001</v>
        <stp/>
        <stp>*H</stp>
        <stp>VOD-LON</stp>
        <stp>Intraday_Time</stp>
        <stp>I1</stp>
        <stp/>
        <stp>38</stp>
        <tr r="I72" s="12"/>
      </tp>
      <tp>
        <v>42929.636111111111</v>
        <stp/>
        <stp>*H</stp>
        <stp>VOD-LON</stp>
        <stp>Intraday_Time</stp>
        <stp>I1</stp>
        <stp/>
        <stp>13</stp>
        <tr r="I97" s="12"/>
      </tp>
      <tp>
        <v>42929.636805555558</v>
        <stp/>
        <stp>*H</stp>
        <stp>VOD-LON</stp>
        <stp>Intraday_Time</stp>
        <stp>I1</stp>
        <stp/>
        <stp>12</stp>
        <tr r="I98" s="12"/>
      </tp>
      <tp>
        <v>42929.637499999997</v>
        <stp/>
        <stp>*H</stp>
        <stp>VOD-LON</stp>
        <stp>Intraday_Time</stp>
        <stp>I1</stp>
        <stp/>
        <stp>11</stp>
        <tr r="I99" s="12"/>
      </tp>
      <tp>
        <v>42929.638194444444</v>
        <stp/>
        <stp>*H</stp>
        <stp>VOD-LON</stp>
        <stp>Intraday_Time</stp>
        <stp>I1</stp>
        <stp/>
        <stp>10</stp>
        <tr r="I100" s="12"/>
      </tp>
      <tp>
        <v>42929.633333333331</v>
        <stp/>
        <stp>*H</stp>
        <stp>VOD-LON</stp>
        <stp>Intraday_Time</stp>
        <stp>I1</stp>
        <stp/>
        <stp>17</stp>
        <tr r="I93" s="12"/>
      </tp>
      <tp>
        <v>42929.634027777778</v>
        <stp/>
        <stp>*H</stp>
        <stp>VOD-LON</stp>
        <stp>Intraday_Time</stp>
        <stp>I1</stp>
        <stp/>
        <stp>16</stp>
        <tr r="I94" s="12"/>
      </tp>
      <tp>
        <v>42929.634722222225</v>
        <stp/>
        <stp>*H</stp>
        <stp>VOD-LON</stp>
        <stp>Intraday_Time</stp>
        <stp>I1</stp>
        <stp/>
        <stp>15</stp>
        <tr r="I95" s="12"/>
      </tp>
      <tp>
        <v>42929.635416666664</v>
        <stp/>
        <stp>*H</stp>
        <stp>VOD-LON</stp>
        <stp>Intraday_Time</stp>
        <stp>I1</stp>
        <stp/>
        <stp>14</stp>
        <tr r="I96" s="12"/>
      </tp>
      <tp>
        <v>42929.631944444445</v>
        <stp/>
        <stp>*H</stp>
        <stp>VOD-LON</stp>
        <stp>Intraday_Time</stp>
        <stp>I1</stp>
        <stp/>
        <stp>19</stp>
        <tr r="I91" s="12"/>
      </tp>
      <tp>
        <v>42929.632638888892</v>
        <stp/>
        <stp>*H</stp>
        <stp>VOD-LON</stp>
        <stp>Intraday_Time</stp>
        <stp>I1</stp>
        <stp/>
        <stp>18</stp>
        <tr r="I92" s="12"/>
      </tp>
      <tp>
        <v>42929.587500000001</v>
        <stp/>
        <stp>*H</stp>
        <stp>VOD-LON</stp>
        <stp>Intraday_Time</stp>
        <stp>I1</stp>
        <stp/>
        <stp>83</stp>
        <tr r="I27" s="12"/>
      </tp>
      <tp>
        <v>42929.588194444441</v>
        <stp/>
        <stp>*H</stp>
        <stp>VOD-LON</stp>
        <stp>Intraday_Time</stp>
        <stp>I1</stp>
        <stp/>
        <stp>82</stp>
        <tr r="I28" s="12"/>
      </tp>
      <tp>
        <v>42929.588888888888</v>
        <stp/>
        <stp>*H</stp>
        <stp>VOD-LON</stp>
        <stp>Intraday_Time</stp>
        <stp>I1</stp>
        <stp/>
        <stp>81</stp>
        <tr r="I29" s="12"/>
      </tp>
      <tp>
        <v>42929.589583333334</v>
        <stp/>
        <stp>*H</stp>
        <stp>VOD-LON</stp>
        <stp>Intraday_Time</stp>
        <stp>I1</stp>
        <stp/>
        <stp>80</stp>
        <tr r="I30" s="12"/>
      </tp>
      <tp>
        <v>42929.584722222222</v>
        <stp/>
        <stp>*H</stp>
        <stp>VOD-LON</stp>
        <stp>Intraday_Time</stp>
        <stp>I1</stp>
        <stp/>
        <stp>87</stp>
        <tr r="I23" s="12"/>
      </tp>
      <tp>
        <v>42929.585416666669</v>
        <stp/>
        <stp>*H</stp>
        <stp>VOD-LON</stp>
        <stp>Intraday_Time</stp>
        <stp>I1</stp>
        <stp/>
        <stp>86</stp>
        <tr r="I24" s="12"/>
      </tp>
      <tp>
        <v>42929.586111111108</v>
        <stp/>
        <stp>*H</stp>
        <stp>VOD-LON</stp>
        <stp>Intraday_Time</stp>
        <stp>I1</stp>
        <stp/>
        <stp>85</stp>
        <tr r="I25" s="12"/>
      </tp>
      <tp>
        <v>42929.586805555555</v>
        <stp/>
        <stp>*H</stp>
        <stp>VOD-LON</stp>
        <stp>Intraday_Time</stp>
        <stp>I1</stp>
        <stp/>
        <stp>84</stp>
        <tr r="I26" s="12"/>
      </tp>
      <tp>
        <v>42929.583333333336</v>
        <stp/>
        <stp>*H</stp>
        <stp>VOD-LON</stp>
        <stp>Intraday_Time</stp>
        <stp>I1</stp>
        <stp/>
        <stp>89</stp>
        <tr r="I21" s="12"/>
      </tp>
      <tp>
        <v>42929.584027777775</v>
        <stp/>
        <stp>*H</stp>
        <stp>VOD-LON</stp>
        <stp>Intraday_Time</stp>
        <stp>I1</stp>
        <stp/>
        <stp>88</stp>
        <tr r="I22" s="12"/>
      </tp>
      <tp>
        <v>42929.580555555556</v>
        <stp/>
        <stp>*H</stp>
        <stp>VOD-LON</stp>
        <stp>Intraday_Time</stp>
        <stp>I1</stp>
        <stp/>
        <stp>93</stp>
        <tr r="I17" s="12"/>
      </tp>
      <tp>
        <v>42929.581250000003</v>
        <stp/>
        <stp>*H</stp>
        <stp>VOD-LON</stp>
        <stp>Intraday_Time</stp>
        <stp>I1</stp>
        <stp/>
        <stp>92</stp>
        <tr r="I18" s="12"/>
      </tp>
      <tp>
        <v>42929.581944444442</v>
        <stp/>
        <stp>*H</stp>
        <stp>VOD-LON</stp>
        <stp>Intraday_Time</stp>
        <stp>I1</stp>
        <stp/>
        <stp>91</stp>
        <tr r="I19" s="12"/>
      </tp>
      <tp>
        <v>42929.582638888889</v>
        <stp/>
        <stp>*H</stp>
        <stp>VOD-LON</stp>
        <stp>Intraday_Time</stp>
        <stp>I1</stp>
        <stp/>
        <stp>90</stp>
        <tr r="I20" s="12"/>
      </tp>
      <tp>
        <v>42929.57916666667</v>
        <stp/>
        <stp>*H</stp>
        <stp>VOD-LON</stp>
        <stp>Intraday_Time</stp>
        <stp>I1</stp>
        <stp/>
        <stp>95</stp>
        <tr r="I15" s="12"/>
      </tp>
      <tp>
        <v>42929.579861111109</v>
        <stp/>
        <stp>*H</stp>
        <stp>VOD-LON</stp>
        <stp>Intraday_Time</stp>
        <stp>I1</stp>
        <stp/>
        <stp>94</stp>
        <tr r="I16" s="12"/>
      </tp>
      <tp t="s">
        <v/>
        <stp/>
        <stp>@LOCAL:CB</stp>
        <tr r="AA54" s="5"/>
        <tr r="AA90" s="5"/>
        <tr r="AB126" s="5"/>
        <tr r="AB64" s="5"/>
        <tr r="AB96" s="5"/>
        <tr r="AD104" s="5"/>
        <tr r="AB8" s="5"/>
        <tr r="AD136" s="5"/>
        <tr r="AA121" s="5"/>
        <tr r="AD54" s="5"/>
        <tr r="AB133" s="5"/>
        <tr r="AA140" s="5"/>
        <tr r="AB66" s="5"/>
        <tr r="AB148" s="5"/>
        <tr r="Z21" s="5"/>
        <tr r="Z98" s="5"/>
        <tr r="AD107" s="5"/>
        <tr r="AD73" s="5"/>
        <tr r="AA77" s="5"/>
        <tr r="AC21" s="5"/>
        <tr r="AC107" s="5"/>
        <tr r="AD24" s="5"/>
        <tr r="AC89" s="5"/>
        <tr r="AD42" s="5"/>
        <tr r="AC135" s="5"/>
        <tr r="AC147" s="5"/>
        <tr r="AD127" s="5"/>
        <tr r="AC146" s="5"/>
        <tr r="AD116" s="5"/>
        <tr r="Z53" s="5"/>
        <tr r="Z113" s="5"/>
        <tr r="AB85" s="5"/>
        <tr r="Z14" s="5"/>
        <tr r="AC58" s="5"/>
        <tr r="AD64" s="5"/>
        <tr r="AA81" s="5"/>
        <tr r="Z37" s="5"/>
        <tr r="AB33" s="5"/>
        <tr r="AD76" s="5"/>
        <tr r="Z132" s="5"/>
        <tr r="Z83" s="5"/>
        <tr r="AA91" s="5"/>
        <tr r="AC75" s="5"/>
        <tr r="AA61" s="5"/>
        <tr r="AC85" s="5"/>
        <tr r="AA24" s="5"/>
        <tr r="AD103" s="5"/>
        <tr r="AC22" s="5"/>
        <tr r="AB14" s="5"/>
        <tr r="AD65" s="5"/>
        <tr r="Z77" s="5"/>
        <tr r="Z7" s="5"/>
        <tr r="AD141" s="5"/>
        <tr r="AC92" s="5"/>
        <tr r="Z110" s="5"/>
        <tr r="AA27" s="5"/>
        <tr r="AB40" s="5"/>
        <tr r="Z65" s="5"/>
        <tr r="AD53" s="5"/>
        <tr r="AB77" s="5"/>
        <tr r="Z49" s="5"/>
        <tr r="Z93" s="5"/>
        <tr r="Z13" s="5"/>
        <tr r="AD111" s="5"/>
        <tr r="AB134" s="5"/>
        <tr r="AB16" s="5"/>
        <tr r="AC148" s="5"/>
        <tr r="AC62" s="5"/>
        <tr r="AB39" s="5"/>
        <tr r="AC119" s="5"/>
        <tr r="AB127" s="5"/>
        <tr r="AA94" s="5"/>
        <tr r="AA38" s="5"/>
        <tr r="AB81" s="5"/>
        <tr r="AC80" s="5"/>
        <tr r="Z24" s="5"/>
        <tr r="AC124" s="5"/>
        <tr r="AB41" s="5"/>
        <tr r="AD137" s="5"/>
        <tr r="AD29" s="5"/>
        <tr r="AC83" s="5"/>
        <tr r="Z72" s="5"/>
        <tr r="Z100" s="5"/>
        <tr r="AA41" s="5"/>
        <tr r="AD50" s="5"/>
        <tr r="AC36" s="5"/>
        <tr r="AB139" s="5"/>
        <tr r="Z97" s="5"/>
        <tr r="AB12" s="5"/>
        <tr r="AB107" s="5"/>
        <tr r="AB62" s="5"/>
        <tr r="AB93" s="5"/>
        <tr r="AC35" s="5"/>
        <tr r="AB144" s="5"/>
        <tr r="AC7" s="5"/>
        <tr r="AB74" s="5"/>
        <tr r="AD97" s="5"/>
        <tr r="AD149" s="5"/>
        <tr r="AD134" s="5"/>
        <tr r="AA89" s="5"/>
        <tr r="AC49" s="5"/>
        <tr r="AD25" s="5"/>
        <tr r="AB140" s="5"/>
        <tr r="AA110" s="5"/>
        <tr r="AB115" s="5"/>
        <tr r="AA66" s="5"/>
        <tr r="AA135" s="5"/>
        <tr r="AB116" s="5"/>
        <tr r="AD147" s="5"/>
        <tr r="AD12" s="5"/>
        <tr r="AC141" s="5"/>
        <tr r="AD16" s="5"/>
        <tr r="AC24" s="5"/>
        <tr r="Z10" s="5"/>
        <tr r="AC90" s="5"/>
        <tr r="AB137" s="5"/>
        <tr r="AB94" s="5"/>
        <tr r="AD139" s="5"/>
        <tr r="AC110" s="5"/>
        <tr r="AA79" s="5"/>
        <tr r="AC10" s="5"/>
        <tr r="AA130" s="5"/>
        <tr r="AD69" s="5"/>
        <tr r="AA53" s="5"/>
        <tr r="AA8" s="5"/>
        <tr r="AA25" s="5"/>
        <tr r="AA39" s="5"/>
        <tr r="Z90" s="5"/>
        <tr r="AB30" s="5"/>
        <tr r="AB123" s="5"/>
        <tr r="Z151" s="5"/>
        <tr r="AA142" s="5"/>
        <tr r="AA103" s="5"/>
        <tr r="AC72" s="5"/>
        <tr r="AD57" s="5"/>
        <tr r="AD7" s="5"/>
        <tr r="Z32" s="5"/>
        <tr r="AB29" s="5"/>
        <tr r="AB71" s="5"/>
        <tr r="AB38" s="5"/>
        <tr r="AC20" s="5"/>
        <tr r="AA92" s="5"/>
        <tr r="AD129" s="5"/>
        <tr r="AA127" s="5"/>
        <tr r="AC138" s="5"/>
        <tr r="AB143" s="5"/>
        <tr r="Z117" s="5"/>
        <tr r="AD81" s="5"/>
        <tr r="AD46" s="5"/>
        <tr r="Z101" s="5"/>
        <tr r="AB57" s="5"/>
        <tr r="AC144" s="5"/>
        <tr r="AB32" s="5"/>
        <tr r="Z41" s="5"/>
        <tr r="AD110" s="5"/>
        <tr r="AD80" s="5"/>
        <tr r="AA143" s="5"/>
        <tr r="AC98" s="5"/>
        <tr r="AD4" s="5"/>
        <tr r="Z64" s="5"/>
        <tr r="AC16" s="5"/>
        <tr r="AC63" s="5"/>
        <tr r="Z57" s="5"/>
        <tr r="AC99" s="5"/>
        <tr r="AA74" s="5"/>
        <tr r="Z29" s="5"/>
        <tr r="AA76" s="5"/>
        <tr r="AA100" s="5"/>
        <tr r="AC149" s="5"/>
        <tr r="AD27" s="5"/>
        <tr r="Z17" s="5"/>
        <tr r="Z129" s="5"/>
        <tr r="AB117" s="5"/>
        <tr r="AD123" s="5"/>
        <tr r="AD96" s="5"/>
        <tr r="AC40" s="5"/>
        <tr r="AD83" s="5"/>
        <tr r="AA101" s="5"/>
        <tr r="AA105" s="5"/>
        <tr r="AD106" s="5"/>
        <tr r="AA83" s="5"/>
        <tr r="AD130" s="5"/>
        <tr r="AC38" s="5"/>
        <tr r="AC57" s="5"/>
        <tr r="AA15" s="5"/>
        <tr r="AA151" s="5"/>
        <tr r="AB95" s="5"/>
        <tr r="AD124" s="5"/>
        <tr r="AD38" s="5"/>
        <tr r="AC82" s="5"/>
        <tr r="AB53" s="5"/>
        <tr r="AD44" s="5"/>
        <tr r="AD140" s="5"/>
        <tr r="AA98" s="5"/>
        <tr r="AA26" s="5"/>
        <tr r="AD10" s="5"/>
        <tr r="AD37" s="5"/>
        <tr r="AC91" s="5"/>
        <tr r="AC137" s="5"/>
        <tr r="AD85" s="5"/>
        <tr r="AA147" s="5"/>
        <tr r="AC93" s="5"/>
        <tr r="AC59" s="5"/>
        <tr r="AC53" s="5"/>
        <tr r="AA88" s="5"/>
        <tr r="AA56" s="5"/>
        <tr r="AD17" s="5"/>
        <tr r="AB55" s="5"/>
        <tr r="AD5" s="5"/>
        <tr r="AA119" s="5"/>
        <tr r="AA73" s="5"/>
        <tr r="AB102" s="5"/>
        <tr r="AD61" s="5"/>
        <tr r="AD132" s="5"/>
        <tr r="Z139" s="5"/>
        <tr r="AA113" s="5"/>
        <tr r="AC96" s="5"/>
        <tr r="AB88" s="5"/>
        <tr r="Z89" s="5"/>
        <tr r="AD39" s="5"/>
        <tr r="Z114" s="5"/>
        <tr r="AA97" s="5"/>
        <tr r="AC31" s="5"/>
        <tr r="AD41" s="5"/>
        <tr r="AD8" s="5"/>
        <tr r="AC145" s="5"/>
        <tr r="AC152" s="5"/>
        <tr r="AD56" s="5"/>
        <tr r="Z33" s="5"/>
        <tr r="Z126" s="5"/>
        <tr r="Z144" s="5"/>
        <tr r="AC70" s="5"/>
        <tr r="AA108" s="5"/>
        <tr r="AA31" s="5"/>
        <tr r="AA128" s="5"/>
        <tr r="AA51" s="5"/>
        <tr r="AB17" s="5"/>
        <tr r="AD126" s="5"/>
        <tr r="AC52" s="5"/>
        <tr r="AD18" s="5"/>
        <tr r="AC132" s="5"/>
        <tr r="AA134" s="5"/>
        <tr r="AA3" s="5"/>
        <tr r="AC34" s="5"/>
        <tr r="AD72" s="5"/>
        <tr r="AB106" s="5"/>
        <tr r="Z44" s="5"/>
        <tr r="AB70" s="5"/>
        <tr r="AD52" s="5"/>
        <tr r="Z8" s="5"/>
        <tr r="Z28" s="5"/>
        <tr r="Z92" s="5"/>
        <tr r="Z147" s="5"/>
        <tr r="AA107" s="5"/>
        <tr r="AA20" s="5"/>
        <tr r="AA9" s="5"/>
        <tr r="Z125" s="5"/>
        <tr r="AC50" s="5"/>
        <tr r="AC111" s="5"/>
        <tr r="AC104" s="5"/>
        <tr r="Z104" s="5"/>
        <tr r="AD153" s="5"/>
        <tr r="AB54" s="5"/>
        <tr r="AA23" s="5"/>
        <tr r="AD77" s="5"/>
        <tr r="AB138" s="5"/>
        <tr r="AD35" s="5"/>
        <tr r="AB47" s="5"/>
        <tr r="AB48" s="5"/>
        <tr r="AC12" s="5"/>
        <tr r="Z30" s="5"/>
        <tr r="AB79" s="5"/>
        <tr r="AA14" s="5"/>
        <tr r="Z12" s="5"/>
        <tr r="AA131" s="5"/>
        <tr r="AA149" s="5"/>
        <tr r="AB22" s="5"/>
        <tr r="AD33" s="5"/>
        <tr r="AD93" s="5"/>
        <tr r="Z107" s="5"/>
        <tr r="AB135" s="5"/>
        <tr r="AB26" s="5"/>
        <tr r="AB87" s="5"/>
        <tr r="AB141" s="5"/>
        <tr r="Z74" s="5"/>
        <tr r="AB83" s="5"/>
        <tr r="Z130" s="5"/>
        <tr r="AD113" s="5"/>
        <tr r="AC69" s="5"/>
        <tr r="AB150" s="5"/>
        <tr r="AB100" s="5"/>
        <tr r="AB129" s="5"/>
        <tr r="AC101" s="5"/>
        <tr r="AB136" s="5"/>
        <tr r="AB120" s="5"/>
        <tr r="Z18" s="5"/>
        <tr r="AB15" s="5"/>
        <tr r="Z88" s="5"/>
        <tr r="Z36" s="5"/>
        <tr r="Z78" s="5"/>
        <tr r="AB108" s="5"/>
        <tr r="AA19" s="5"/>
        <tr r="AB98" s="5"/>
        <tr r="AC74" s="5"/>
        <tr r="AC71" s="5"/>
        <tr r="AA18" s="5"/>
        <tr r="AD91" s="5"/>
        <tr r="Z54" s="5"/>
        <tr r="Z59" s="5"/>
        <tr r="AA144" s="5"/>
        <tr r="AA123" s="5"/>
        <tr r="AC129" s="5"/>
        <tr r="AC17" s="5"/>
        <tr r="AB142" s="5"/>
        <tr r="AD47" s="5"/>
        <tr r="AD117" s="5"/>
        <tr r="AB19" s="5"/>
        <tr r="Z112" s="5"/>
        <tr r="AA133" s="5"/>
        <tr r="Z68" s="5"/>
        <tr r="AD28" s="5"/>
        <tr r="AD84" s="5"/>
        <tr r="AC87" s="5"/>
        <tr r="AB97" s="5"/>
        <tr r="Z108" s="5"/>
        <tr r="AD36" s="5"/>
        <tr r="AD45" s="5"/>
        <tr r="AB18" s="5"/>
        <tr r="AB122" s="5"/>
        <tr r="AA145" s="5"/>
        <tr r="Z26" s="5"/>
        <tr r="AA42" s="5"/>
        <tr r="AD122" s="5"/>
        <tr r="Z122" s="5"/>
        <tr r="AD94" s="5"/>
        <tr r="AC133" s="5"/>
        <tr r="AB72" s="5"/>
        <tr r="Z138" s="5"/>
        <tr r="AB3" s="5"/>
        <tr r="Z43" s="5"/>
        <tr r="AD66" s="5"/>
        <tr r="AA99" s="5"/>
        <tr r="AB10" s="5"/>
        <tr r="AD99" s="5"/>
        <tr r="AC100" s="5"/>
        <tr r="AD151" s="5"/>
        <tr r="AA58" s="5"/>
        <tr r="AD51" s="5"/>
        <tr r="AD105" s="5"/>
        <tr r="AA125" s="5"/>
        <tr r="AC120" s="5"/>
        <tr r="AD26" s="5"/>
        <tr r="Z127" s="5"/>
        <tr r="AD49" s="5"/>
        <tr r="AA10" s="5"/>
        <tr r="Z27" s="5"/>
        <tr r="AA68" s="5"/>
        <tr r="AC60" s="5"/>
        <tr r="AA118" s="5"/>
        <tr r="AC68" s="5"/>
        <tr r="AA153" s="5"/>
        <tr r="AD48" s="5"/>
        <tr r="AD43" s="5"/>
        <tr r="AA22" s="5"/>
        <tr r="AD86" s="5"/>
        <tr r="AB151" s="5"/>
        <tr r="AB23" s="5"/>
        <tr r="AC61" s="5"/>
        <tr r="AC114" s="5"/>
        <tr r="AC27" s="5"/>
        <tr r="Z152" s="5"/>
        <tr r="AC54" s="5"/>
        <tr r="Z62" s="5"/>
        <tr r="Z69" s="5"/>
        <tr r="AC151" s="5"/>
        <tr r="AC140" s="5"/>
        <tr r="Z79" s="5"/>
        <tr r="AD19" s="5"/>
        <tr r="AC150" s="5"/>
        <tr r="Z6" s="5"/>
        <tr r="AA62" s="5"/>
        <tr r="AC103" s="5"/>
        <tr r="AA40" s="5"/>
        <tr r="AB101" s="5"/>
        <tr r="AB124" s="5"/>
        <tr r="Z9" s="5"/>
        <tr r="Z47" s="5"/>
        <tr r="AC121" s="5"/>
        <tr r="Z94" s="5"/>
        <tr r="Z123" s="5"/>
        <tr r="AA114" s="5"/>
        <tr r="AD40" s="5"/>
        <tr r="AB11" s="5"/>
        <tr r="AC142" s="5"/>
        <tr r="Z124" s="5"/>
        <tr r="AD31" s="5"/>
        <tr r="AB65" s="5"/>
        <tr r="AB132" s="5"/>
        <tr r="AD30" s="5"/>
        <tr r="AC115" s="5"/>
        <tr r="AB80" s="5"/>
        <tr r="Z58" s="5"/>
        <tr r="Z86" s="5"/>
        <tr r="AA63" s="5"/>
        <tr r="AC123" s="5"/>
        <tr r="Z87" s="5"/>
        <tr r="AB131" s="5"/>
        <tr r="AB89" s="5"/>
        <tr r="Z84" s="5"/>
        <tr r="Z55" s="5"/>
        <tr r="Z115" s="5"/>
        <tr r="AA12" s="5"/>
        <tr r="AA126" s="5"/>
        <tr r="AC73" s="5"/>
        <tr r="Z91" s="5"/>
        <tr r="AC130" s="5"/>
        <tr r="AC143" s="5"/>
        <tr r="Z133" s="5"/>
        <tr r="Z60" s="5"/>
        <tr r="AA78" s="5"/>
        <tr r="AB61" s="5"/>
        <tr r="AD14" s="5"/>
        <tr r="AD120" s="5"/>
        <tr r="Z95" s="5"/>
        <tr r="AA96" s="5"/>
        <tr r="AC51" s="5"/>
        <tr r="AC116" s="5"/>
        <tr r="AD60" s="5"/>
        <tr r="AD128" s="5"/>
        <tr r="AA29" s="5"/>
        <tr r="Z135" s="5"/>
        <tr r="AB69" s="5"/>
        <tr r="AB50" s="5"/>
        <tr r="AD125" s="5"/>
        <tr r="AC127" s="5"/>
        <tr r="AC125" s="5"/>
        <tr r="AB82" s="5"/>
        <tr r="AD108" s="5"/>
        <tr r="AD144" s="5"/>
        <tr r="AB91" s="5"/>
        <tr r="AA152" s="5"/>
        <tr r="AA150" s="5"/>
        <tr r="AC95" s="5"/>
        <tr r="AD146" s="5"/>
        <tr r="AD34" s="5"/>
        <tr r="Z11" s="5"/>
        <tr r="AB128" s="5"/>
        <tr r="AD32" s="5"/>
        <tr r="AA136" s="5"/>
        <tr r="Z111" s="5"/>
        <tr r="AC11" s="5"/>
        <tr r="AC42" s="5"/>
        <tr r="Z23" s="5"/>
        <tr r="AB25" s="5"/>
        <tr r="AA57" s="5"/>
        <tr r="AB49" s="5"/>
        <tr r="AA49" s="5"/>
        <tr r="AC76" s="5"/>
        <tr r="AB45" s="5"/>
        <tr r="AA21" s="5"/>
        <tr r="AC105" s="5"/>
        <tr r="AC9" s="5"/>
        <tr r="Z119" s="5"/>
        <tr r="AB119" s="5"/>
        <tr r="AB73" s="5"/>
        <tr r="Z5" s="5"/>
        <tr r="AC44" s="5"/>
        <tr r="AB149" s="5"/>
        <tr r="AA87" s="5"/>
        <tr r="AD119" s="5"/>
        <tr r="AA111" s="5"/>
        <tr r="AB86" s="5"/>
        <tr r="AB103" s="5"/>
        <tr r="AD121" s="5"/>
        <tr r="AD101" s="5"/>
        <tr r="AB46" s="5"/>
        <tr r="AA32" s="5"/>
        <tr r="AB145" s="5"/>
        <tr r="AA37" s="5"/>
        <tr r="AC79" s="5"/>
        <tr r="AD63" s="5"/>
        <tr r="AA75" s="5"/>
        <tr r="AC56" s="5"/>
        <tr r="Z71" s="5"/>
        <tr r="AD114" s="5"/>
        <tr r="AB7" s="5"/>
        <tr r="AD58" s="5"/>
        <tr r="AA52" s="5"/>
        <tr r="AB51" s="5"/>
        <tr r="AC19" s="5"/>
        <tr r="AC5" s="5"/>
        <tr r="Z48" s="5"/>
        <tr r="Z120" s="5"/>
        <tr r="AD133" s="5"/>
        <tr r="AC30" s="5"/>
        <tr r="AD88" s="5"/>
        <tr r="AC28" s="5"/>
        <tr r="AA93" s="5"/>
        <tr r="AC15" s="5"/>
        <tr r="AD131" s="5"/>
        <tr r="AD112" s="5"/>
        <tr r="AA30" s="5"/>
        <tr r="AB105" s="5"/>
        <tr r="AA36" s="5"/>
        <tr r="AD92" s="5"/>
        <tr r="AA117" s="5"/>
        <tr r="Z45" s="5"/>
        <tr r="Z128" s="5"/>
        <tr r="AC122" s="5"/>
        <tr r="AC139" s="5"/>
        <tr r="Z76" s="5"/>
        <tr r="AC8" s="5"/>
        <tr r="AC113" s="5"/>
        <tr r="AA11" s="5"/>
        <tr r="AB109" s="5"/>
        <tr r="AB153" s="5"/>
        <tr r="AD87" s="5"/>
        <tr r="AC77" s="5"/>
        <tr r="Z15" s="5"/>
        <tr r="Z40" s="5"/>
        <tr r="AA4" s="5"/>
        <tr r="AD78" s="5"/>
        <tr r="Z137" s="5"/>
        <tr r="AD75" s="5"/>
        <tr r="AC117" s="5"/>
        <tr r="AB68" s="5"/>
        <tr r="AB113" s="5"/>
        <tr r="AA102" s="5"/>
        <tr r="AD90" s="5"/>
        <tr r="AA104" s="5"/>
        <tr r="Z118" s="5"/>
        <tr r="AB34" s="5"/>
        <tr r="AD67" s="5"/>
        <tr r="Z146" s="5"/>
        <tr r="AB130" s="5"/>
        <tr r="Z149" s="5"/>
        <tr r="AA109" s="5"/>
        <tr r="AB112" s="5"/>
        <tr r="Z20" s="5"/>
        <tr r="AB125" s="5"/>
        <tr r="AC41" s="5"/>
        <tr r="AB104" s="5"/>
        <tr r="AA28" s="5"/>
        <tr r="Z150" s="5"/>
        <tr r="AC88" s="5"/>
        <tr r="AB118" s="5"/>
        <tr r="AD20" s="5"/>
        <tr r="AC78" s="5"/>
        <tr r="AB9" s="5"/>
        <tr r="AA137" s="5"/>
        <tr r="AD148" s="5"/>
        <tr r="AC128" s="5"/>
        <tr r="Z116" s="5"/>
        <tr r="AA82" s="5"/>
        <tr r="AC106" s="5"/>
        <tr r="Z39" s="5"/>
        <tr r="Z67" s="5"/>
        <tr r="Z50" s="5"/>
        <tr r="Z103" s="5"/>
        <tr r="AC65" s="5"/>
        <tr r="AB99" s="5"/>
        <tr r="AA148" s="5"/>
        <tr r="AC102" s="5"/>
        <tr r="AC84" s="5"/>
        <tr r="AB78" s="5"/>
        <tr r="AC37" s="5"/>
        <tr r="AD21" s="5"/>
        <tr r="Z70" s="5"/>
        <tr r="AB110" s="5"/>
        <tr r="AA43" s="5"/>
        <tr r="Z46" s="5"/>
        <tr r="AA69" s="5"/>
        <tr r="AD70" s="5"/>
        <tr r="AD152" s="5"/>
        <tr r="AD13" s="5"/>
        <tr r="Z56" s="5"/>
        <tr r="AC33" s="5"/>
        <tr r="AC13" s="5"/>
        <tr r="AC81" s="5"/>
        <tr r="AC66" s="5"/>
        <tr r="AA138" s="5"/>
        <tr r="AA13" s="5"/>
        <tr r="Z153" s="5"/>
        <tr r="Z4" s="5"/>
        <tr r="AD59" s="5"/>
        <tr r="AB31" s="5"/>
        <tr r="AD138" s="5"/>
        <tr r="AA35" s="5"/>
        <tr r="AB13" s="5"/>
        <tr r="AA7" s="5"/>
        <tr r="AD118" s="5"/>
        <tr r="AB146" s="5"/>
        <tr r="AB75" s="5"/>
        <tr r="AB21" s="5"/>
        <tr r="AD11" s="5"/>
        <tr r="AD100" s="5"/>
        <tr r="AC46" s="5"/>
        <tr r="AC32" s="5"/>
        <tr r="Z82" s="5"/>
        <tr r="AA71" s="5"/>
        <tr r="AA59" s="5"/>
        <tr r="Z85" s="5"/>
        <tr r="Z66" s="5"/>
        <tr r="AC55" s="5"/>
        <tr r="AA17" s="5"/>
        <tr r="Z38" s="5"/>
        <tr r="AB76" s="5"/>
        <tr r="AC29" s="5"/>
        <tr r="AD9" s="5"/>
        <tr r="AA80" s="5"/>
        <tr r="AB6" s="5"/>
        <tr r="AC112" s="5"/>
        <tr r="AB58" s="5"/>
        <tr r="AA50" s="5"/>
        <tr r="AC43" s="5"/>
        <tr r="AB147" s="5"/>
        <tr r="AB37" s="5"/>
        <tr r="AB44" s="5"/>
        <tr r="AC86" s="5"/>
        <tr r="AB27" s="5"/>
        <tr r="AA65" s="5"/>
        <tr r="AD135" s="5"/>
        <tr r="AA34" s="5"/>
        <tr r="Z121" s="5"/>
        <tr r="AA85" s="5"/>
        <tr r="AD98" s="5"/>
        <tr r="Z99" s="5"/>
        <tr r="AC4" s="5"/>
        <tr r="AD115" s="5"/>
        <tr r="Z31" s="5"/>
        <tr r="AA115" s="5"/>
        <tr r="AB90" s="5"/>
        <tr r="AC94" s="5"/>
        <tr r="AD89" s="5"/>
        <tr r="AD55" s="5"/>
        <tr r="Z148" s="5"/>
        <tr r="AA84" s="5"/>
        <tr r="AA112" s="5"/>
        <tr r="Z52" s="5"/>
        <tr r="AB111" s="5"/>
        <tr r="Z35" s="5"/>
        <tr r="Z109" s="5"/>
        <tr r="AC18" s="5"/>
        <tr r="AC67" s="5"/>
        <tr r="AD71" s="5"/>
        <tr r="AC153" s="5"/>
        <tr r="AB152" s="5"/>
        <tr r="Z19" s="5"/>
        <tr r="Z34" s="5"/>
        <tr r="Z51" s="5"/>
        <tr r="AA60" s="5"/>
        <tr r="Z22" s="5"/>
        <tr r="Z63" s="5"/>
        <tr r="Z143" s="5"/>
        <tr r="AA86" s="5"/>
        <tr r="AB56" s="5"/>
        <tr r="AB92" s="5"/>
        <tr r="AC136" s="5"/>
        <tr r="AB36" s="5"/>
        <tr r="AC126" s="5"/>
        <tr r="AA16" s="5"/>
        <tr r="AC25" s="5"/>
        <tr r="AC47" s="5"/>
        <tr r="AD15" s="5"/>
        <tr r="AB35" s="5"/>
        <tr r="AB52" s="5"/>
        <tr r="AD74" s="5"/>
        <tr r="Z16" s="5"/>
        <tr r="AD79" s="5"/>
        <tr r="AD62" s="5"/>
        <tr r="AA129" s="5"/>
        <tr r="AA72" s="5"/>
        <tr r="Z25" s="5"/>
        <tr r="AC131" s="5"/>
        <tr r="AA116" s="5"/>
        <tr r="AA122" s="5"/>
        <tr r="AB121" s="5"/>
        <tr r="AD82" s="5"/>
        <tr r="AC14" s="5"/>
        <tr r="AB60" s="5"/>
        <tr r="AA95" s="5"/>
        <tr r="Z73" s="5"/>
        <tr r="Z106" s="5"/>
        <tr r="AA64" s="5"/>
        <tr r="AA120" s="5"/>
        <tr r="AD145" s="5"/>
        <tr r="AB114" s="5"/>
        <tr r="AA45" s="5"/>
        <tr r="AC48" s="5"/>
        <tr r="AB42" s="5"/>
        <tr r="Z81" s="5"/>
        <tr r="AD102" s="5"/>
        <tr r="AC6" s="5"/>
        <tr r="AC26" s="5"/>
        <tr r="AA55" s="5"/>
        <tr r="AD142" s="5"/>
        <tr r="AC109" s="5"/>
        <tr r="AA48" s="5"/>
        <tr r="AC134" s="5"/>
        <tr r="AD23" s="5"/>
        <tr r="AD143" s="5"/>
        <tr r="AA124" s="5"/>
        <tr r="AC64" s="5"/>
        <tr r="AC118" s="5"/>
        <tr r="AA33" s="5"/>
        <tr r="AA6" s="5"/>
        <tr r="Z42" s="5"/>
        <tr r="AC108" s="5"/>
        <tr r="AA44" s="5"/>
        <tr r="AA139" s="5"/>
        <tr r="AB20" s="5"/>
        <tr r="AA106" s="5"/>
        <tr r="AB63" s="5"/>
        <tr r="AD95" s="5"/>
        <tr r="AD6" s="5"/>
        <tr r="Z131" s="5"/>
        <tr r="AD68" s="5"/>
        <tr r="AC39" s="5"/>
        <tr r="AD22" s="5"/>
        <tr r="AA46" s="5"/>
        <tr r="Z134" s="5"/>
        <tr r="AB84" s="5"/>
        <tr r="AC23" s="5"/>
        <tr r="AB43" s="5"/>
        <tr r="AA47" s="5"/>
        <tr r="AB4" s="5"/>
        <tr r="AA70" s="5"/>
        <tr r="AB24" s="5"/>
        <tr r="AC97" s="5"/>
        <tr r="Z96" s="5"/>
        <tr r="Z61" s="5"/>
        <tr r="Z105" s="5"/>
        <tr r="AA67" s="5"/>
        <tr r="Z80" s="5"/>
        <tr r="AC45" s="5"/>
        <tr r="AD109" s="5"/>
        <tr r="Z141" s="5"/>
        <tr r="Z142" s="5"/>
        <tr r="AB59" s="5"/>
        <tr r="AB5" s="5"/>
        <tr r="AA141" s="5"/>
        <tr r="AD150" s="5"/>
        <tr r="AB28" s="5"/>
        <tr r="Z102" s="5"/>
        <tr r="AB67" s="5"/>
        <tr r="AA146" s="5"/>
        <tr r="AA132" s="5"/>
        <tr r="AA5" s="5"/>
        <tr r="Z136" s="5"/>
        <tr r="Z75" s="5"/>
        <tr r="AC3" s="5"/>
        <tr r="AD3" s="5"/>
        <tr r="Z3" s="5"/>
        <tr r="Z145" s="5"/>
        <tr r="Z140" s="5"/>
        <tr r="F110" s="12"/>
        <tr r="H5" s="5"/>
        <tr r="D10" s="5"/>
        <tr r="I5" s="5"/>
        <tr r="J5" s="5"/>
        <tr r="E10" s="5"/>
        <tr r="D5" s="5"/>
        <tr r="E5" s="5"/>
        <tr r="C10" s="5"/>
        <tr r="B110" s="12"/>
        <tr r="C110" s="12"/>
        <tr r="C5" s="5"/>
        <tr r="F109" s="12"/>
        <tr r="B7" s="12"/>
        <tr r="B107" s="12"/>
        <tr r="C9" s="12"/>
        <tr r="C13" s="12"/>
        <tr r="C15" s="12"/>
        <tr r="C23" s="12"/>
        <tr r="C33" s="12"/>
        <tr r="C35" s="12"/>
        <tr r="C39" s="12"/>
        <tr r="C45" s="12"/>
        <tr r="C49" s="12"/>
        <tr r="C51" s="12"/>
        <tr r="C53" s="12"/>
        <tr r="C55" s="12"/>
        <tr r="C61" s="12"/>
        <tr r="C65" s="12"/>
        <tr r="C69" s="12"/>
        <tr r="C71" s="12"/>
        <tr r="C73" s="12"/>
        <tr r="C75" s="12"/>
        <tr r="C81" s="12"/>
        <tr r="C83" s="12"/>
        <tr r="C87" s="12"/>
        <tr r="C89" s="12"/>
        <tr r="C91" s="12"/>
        <tr r="C93" s="12"/>
        <tr r="C97" s="12"/>
        <tr r="C99" s="12"/>
        <tr r="C103" s="12"/>
        <tr r="C107" s="12"/>
        <tr r="B33" s="12"/>
        <tr r="D7" s="12"/>
        <tr r="D9" s="12"/>
        <tr r="D11" s="12"/>
        <tr r="D13" s="12"/>
        <tr r="D15" s="12"/>
        <tr r="D23" s="12"/>
        <tr r="D25" s="12"/>
        <tr r="D33" s="12"/>
        <tr r="D39" s="12"/>
        <tr r="D41" s="12"/>
        <tr r="D43" s="12"/>
        <tr r="D47" s="12"/>
        <tr r="D49" s="12"/>
        <tr r="D51" s="12"/>
        <tr r="D53" s="12"/>
        <tr r="D55" s="12"/>
        <tr r="D57" s="12"/>
        <tr r="D61" s="12"/>
        <tr r="D63" s="12"/>
        <tr r="D69" s="12"/>
        <tr r="D71" s="12"/>
        <tr r="D73" s="12"/>
        <tr r="D75" s="12"/>
        <tr r="D77" s="12"/>
        <tr r="D79" s="12"/>
        <tr r="D81" s="12"/>
        <tr r="D83" s="12"/>
        <tr r="D87" s="12"/>
        <tr r="D89" s="12"/>
        <tr r="D91" s="12"/>
        <tr r="D93" s="12"/>
        <tr r="D97" s="12"/>
        <tr r="D99" s="12"/>
        <tr r="D103" s="12"/>
        <tr r="D107" s="12"/>
        <tr r="B53" s="12"/>
        <tr r="B99" s="12"/>
        <tr r="E7" s="12"/>
        <tr r="E9" s="12"/>
        <tr r="E11" s="12"/>
        <tr r="E13" s="12"/>
        <tr r="E15" s="12"/>
        <tr r="E25" s="12"/>
        <tr r="E31" s="12"/>
        <tr r="E33" s="12"/>
        <tr r="E41" s="12"/>
        <tr r="E43" s="12"/>
        <tr r="E47" s="12"/>
        <tr r="E49" s="12"/>
        <tr r="E51" s="12"/>
        <tr r="E53" s="12"/>
        <tr r="E55" s="12"/>
        <tr r="E57" s="12"/>
        <tr r="E61" s="12"/>
        <tr r="E63" s="12"/>
        <tr r="E65" s="12"/>
        <tr r="E67" s="12"/>
        <tr r="E69" s="12"/>
        <tr r="E71" s="12"/>
        <tr r="E75" s="12"/>
        <tr r="E83" s="12"/>
        <tr r="E87" s="12"/>
        <tr r="E93" s="12"/>
        <tr r="E95" s="12"/>
        <tr r="E97" s="12"/>
        <tr r="E99" s="12"/>
        <tr r="E101" s="12"/>
        <tr r="E103" s="12"/>
        <tr r="E105" s="12"/>
        <tr r="B49" s="12"/>
        <tr r="B101" s="12"/>
        <tr r="C7" s="12"/>
        <tr r="F7" s="12"/>
        <tr r="F9" s="12"/>
        <tr r="F11" s="12"/>
        <tr r="F13" s="12"/>
        <tr r="F15" s="12"/>
        <tr r="F17" s="12"/>
        <tr r="F19" s="12"/>
        <tr r="F21" s="12"/>
        <tr r="F23" s="12"/>
        <tr r="F25" s="12"/>
        <tr r="F27" s="12"/>
        <tr r="F29" s="12"/>
        <tr r="F31" s="12"/>
        <tr r="F33" s="12"/>
        <tr r="F35" s="12"/>
        <tr r="F37" s="12"/>
        <tr r="F39" s="12"/>
        <tr r="F41" s="12"/>
        <tr r="F43" s="12"/>
        <tr r="F45" s="12"/>
        <tr r="F47" s="12"/>
        <tr r="F49" s="12"/>
        <tr r="F51" s="12"/>
        <tr r="F53" s="12"/>
        <tr r="F55" s="12"/>
        <tr r="F57" s="12"/>
        <tr r="F59" s="12"/>
        <tr r="F61" s="12"/>
        <tr r="F63" s="12"/>
        <tr r="F65" s="12"/>
        <tr r="F67" s="12"/>
        <tr r="F69" s="12"/>
        <tr r="F71" s="12"/>
        <tr r="F73" s="12"/>
        <tr r="F75" s="12"/>
        <tr r="F77" s="12"/>
        <tr r="F79" s="12"/>
        <tr r="F81" s="12"/>
        <tr r="F83" s="12"/>
        <tr r="F85" s="12"/>
        <tr r="F87" s="12"/>
        <tr r="F89" s="12"/>
        <tr r="F91" s="12"/>
        <tr r="F93" s="12"/>
        <tr r="F95" s="12"/>
        <tr r="F97" s="12"/>
        <tr r="F99" s="12"/>
        <tr r="F101" s="12"/>
        <tr r="F103" s="12"/>
        <tr r="F105" s="12"/>
        <tr r="F107" s="12"/>
        <tr r="B83" s="12"/>
        <tr r="G13" s="12"/>
        <tr r="G19" s="12"/>
        <tr r="G21" s="12"/>
        <tr r="G23" s="12"/>
        <tr r="G25" s="12"/>
        <tr r="G27" s="12"/>
        <tr r="G29" s="12"/>
        <tr r="G31" s="12"/>
        <tr r="G33" s="12"/>
        <tr r="G35" s="12"/>
        <tr r="G37" s="12"/>
        <tr r="G39" s="12"/>
        <tr r="G41" s="12"/>
        <tr r="G43" s="12"/>
        <tr r="G45" s="12"/>
        <tr r="G47" s="12"/>
        <tr r="G49" s="12"/>
        <tr r="G51" s="12"/>
        <tr r="G53" s="12"/>
        <tr r="G55" s="12"/>
        <tr r="G57" s="12"/>
        <tr r="G59" s="12"/>
        <tr r="G61" s="12"/>
        <tr r="G63" s="12"/>
        <tr r="G65" s="12"/>
        <tr r="G67" s="12"/>
        <tr r="G69" s="12"/>
        <tr r="G71" s="12"/>
        <tr r="G73" s="12"/>
        <tr r="G75" s="12"/>
        <tr r="G77" s="12"/>
        <tr r="G79" s="12"/>
        <tr r="G81" s="12"/>
        <tr r="G83" s="12"/>
        <tr r="G85" s="12"/>
        <tr r="G87" s="12"/>
        <tr r="G89" s="12"/>
        <tr r="G91" s="12"/>
        <tr r="G93" s="12"/>
        <tr r="G95" s="12"/>
        <tr r="G97" s="12"/>
        <tr r="G99" s="12"/>
        <tr r="G101" s="12"/>
        <tr r="G103" s="12"/>
        <tr r="G105" s="12"/>
        <tr r="G107" s="12"/>
        <tr r="G17" s="12"/>
        <tr r="B77" s="12"/>
        <tr r="G15" s="12"/>
        <tr r="I9" s="12"/>
        <tr r="I11" s="12"/>
        <tr r="I13" s="12"/>
        <tr r="I15" s="12"/>
        <tr r="I17" s="12"/>
        <tr r="I19" s="12"/>
        <tr r="I21" s="12"/>
        <tr r="I23" s="12"/>
        <tr r="I25" s="12"/>
        <tr r="I27" s="12"/>
        <tr r="I29" s="12"/>
        <tr r="I31" s="12"/>
        <tr r="I33" s="12"/>
        <tr r="I35" s="12"/>
        <tr r="I37" s="12"/>
        <tr r="I39" s="12"/>
        <tr r="I41" s="12"/>
        <tr r="I43" s="12"/>
        <tr r="I45" s="12"/>
        <tr r="I47" s="12"/>
        <tr r="I49" s="12"/>
        <tr r="I51" s="12"/>
        <tr r="I53" s="12"/>
        <tr r="I55" s="12"/>
        <tr r="I57" s="12"/>
        <tr r="I59" s="12"/>
        <tr r="I61" s="12"/>
        <tr r="I63" s="12"/>
        <tr r="I65" s="12"/>
        <tr r="I67" s="12"/>
        <tr r="I69" s="12"/>
        <tr r="I71" s="12"/>
        <tr r="I73" s="12"/>
        <tr r="I75" s="12"/>
        <tr r="I77" s="12"/>
        <tr r="I79" s="12"/>
        <tr r="I81" s="12"/>
        <tr r="I83" s="12"/>
        <tr r="I85" s="12"/>
        <tr r="I87" s="12"/>
        <tr r="I89" s="12"/>
        <tr r="I91" s="12"/>
        <tr r="I93" s="12"/>
        <tr r="I95" s="12"/>
        <tr r="I97" s="12"/>
        <tr r="I99" s="12"/>
        <tr r="I101" s="12"/>
        <tr r="I103" s="12"/>
        <tr r="I105" s="12"/>
        <tr r="I107" s="12"/>
        <tr r="B9" s="12"/>
        <tr r="B41" s="12"/>
        <tr r="B65" s="12"/>
        <tr r="B87" s="12"/>
        <tr r="G9" s="12"/>
        <tr r="I7" s="12"/>
        <tr r="B8" s="12"/>
        <tr r="B12" s="12"/>
        <tr r="B14" s="12"/>
        <tr r="B18" s="12"/>
        <tr r="B20" s="12"/>
        <tr r="B22" s="12"/>
        <tr r="B24" s="12"/>
        <tr r="B26" s="12"/>
        <tr r="B28" s="12"/>
        <tr r="B30" s="12"/>
        <tr r="B34" s="12"/>
        <tr r="B38" s="12"/>
        <tr r="B40" s="12"/>
        <tr r="B42" s="12"/>
        <tr r="B44" s="12"/>
        <tr r="B46" s="12"/>
        <tr r="B48" s="12"/>
        <tr r="B50" s="12"/>
        <tr r="B52" s="12"/>
        <tr r="B54" s="12"/>
        <tr r="B56" s="12"/>
        <tr r="B58" s="12"/>
        <tr r="B60" s="12"/>
        <tr r="B62" s="12"/>
        <tr r="B64" s="12"/>
        <tr r="B68" s="12"/>
        <tr r="B74" s="12"/>
        <tr r="B78" s="12"/>
        <tr r="B80" s="12"/>
        <tr r="B82" s="12"/>
        <tr r="B84" s="12"/>
        <tr r="B86" s="12"/>
        <tr r="B88" s="12"/>
        <tr r="B92" s="12"/>
        <tr r="B94" s="12"/>
        <tr r="B96" s="12"/>
        <tr r="B98" s="12"/>
        <tr r="B102" s="12"/>
        <tr r="B104" s="12"/>
        <tr r="B106" s="12"/>
        <tr r="B108" s="12"/>
        <tr r="B67" s="12"/>
        <tr r="B103" s="12"/>
        <tr r="C14" s="12"/>
        <tr r="C18" s="12"/>
        <tr r="C20" s="12"/>
        <tr r="C22" s="12"/>
        <tr r="C24" s="12"/>
        <tr r="C26" s="12"/>
        <tr r="C28" s="12"/>
        <tr r="C34" s="12"/>
        <tr r="C38" s="12"/>
        <tr r="C40" s="12"/>
        <tr r="C42" s="12"/>
        <tr r="C44" s="12"/>
        <tr r="C46" s="12"/>
        <tr r="C48" s="12"/>
        <tr r="C50" s="12"/>
        <tr r="C52" s="12"/>
        <tr r="C54" s="12"/>
        <tr r="C56" s="12"/>
        <tr r="C58" s="12"/>
        <tr r="C60" s="12"/>
        <tr r="C62" s="12"/>
        <tr r="C64" s="12"/>
        <tr r="C66" s="12"/>
        <tr r="C68" s="12"/>
        <tr r="C70" s="12"/>
        <tr r="C74" s="12"/>
        <tr r="C78" s="12"/>
        <tr r="C82" s="12"/>
        <tr r="C84" s="12"/>
        <tr r="C86" s="12"/>
        <tr r="C88" s="12"/>
        <tr r="C94" s="12"/>
        <tr r="C96" s="12"/>
        <tr r="C98" s="12"/>
        <tr r="C100" s="12"/>
        <tr r="C102" s="12"/>
        <tr r="C108" s="12"/>
        <tr r="B11" s="12"/>
        <tr r="G11" s="12"/>
        <tr r="D8" s="12"/>
        <tr r="D12" s="12"/>
        <tr r="D14" s="12"/>
        <tr r="D16" s="12"/>
        <tr r="D18" s="12"/>
        <tr r="D20" s="12"/>
        <tr r="D22" s="12"/>
        <tr r="D24" s="12"/>
        <tr r="D26" s="12"/>
        <tr r="D28" s="12"/>
        <tr r="D34" s="12"/>
        <tr r="D36" s="12"/>
        <tr r="D38" s="12"/>
        <tr r="D40" s="12"/>
        <tr r="D42" s="12"/>
        <tr r="D44" s="12"/>
        <tr r="D46" s="12"/>
        <tr r="D48" s="12"/>
        <tr r="D50" s="12"/>
        <tr r="D52" s="12"/>
        <tr r="D54" s="12"/>
        <tr r="D56" s="12"/>
        <tr r="D58" s="12"/>
        <tr r="D60" s="12"/>
        <tr r="D62" s="12"/>
        <tr r="D66" s="12"/>
        <tr r="D68" s="12"/>
        <tr r="D70" s="12"/>
        <tr r="D72" s="12"/>
        <tr r="D74" s="12"/>
        <tr r="D76" s="12"/>
        <tr r="D80" s="12"/>
        <tr r="D84" s="12"/>
        <tr r="D86" s="12"/>
        <tr r="D88" s="12"/>
        <tr r="D90" s="12"/>
        <tr r="D94" s="12"/>
        <tr r="D96" s="12"/>
        <tr r="D98" s="12"/>
        <tr r="D100" s="12"/>
        <tr r="D102" s="12"/>
        <tr r="D104" s="12"/>
        <tr r="D106" s="12"/>
        <tr r="D108" s="12"/>
        <tr r="E6" s="12"/>
        <tr r="E8" s="12"/>
        <tr r="E12" s="12"/>
        <tr r="E14" s="12"/>
        <tr r="E16" s="12"/>
        <tr r="E18" s="12"/>
        <tr r="E20" s="12"/>
        <tr r="E22" s="12"/>
        <tr r="E24" s="12"/>
        <tr r="E26" s="12"/>
        <tr r="E28" s="12"/>
        <tr r="E30" s="12"/>
        <tr r="E34" s="12"/>
        <tr r="E38" s="12"/>
        <tr r="E40" s="12"/>
        <tr r="E42" s="12"/>
        <tr r="E44" s="12"/>
        <tr r="E48" s="12"/>
        <tr r="E50" s="12"/>
        <tr r="E52" s="12"/>
        <tr r="E56" s="12"/>
        <tr r="E58" s="12"/>
        <tr r="E60" s="12"/>
        <tr r="E62" s="12"/>
        <tr r="E68" s="12"/>
        <tr r="E70" s="12"/>
        <tr r="E72" s="12"/>
        <tr r="E74" s="12"/>
        <tr r="E76" s="12"/>
        <tr r="E80" s="12"/>
        <tr r="E82" s="12"/>
        <tr r="E84" s="12"/>
        <tr r="E86" s="12"/>
        <tr r="E88" s="12"/>
        <tr r="E90" s="12"/>
        <tr r="E92" s="12"/>
        <tr r="E94" s="12"/>
        <tr r="E96" s="12"/>
        <tr r="E98" s="12"/>
        <tr r="E100" s="12"/>
        <tr r="E104" s="12"/>
        <tr r="E106" s="12"/>
        <tr r="E108" s="12"/>
        <tr r="B13" s="12"/>
        <tr r="B97" s="12"/>
        <tr r="F6" s="12"/>
        <tr r="F8" s="12"/>
        <tr r="F10" s="12"/>
        <tr r="F12" s="12"/>
        <tr r="F14" s="12"/>
        <tr r="F16" s="12"/>
        <tr r="F18" s="12"/>
        <tr r="F20" s="12"/>
        <tr r="F22" s="12"/>
        <tr r="F24" s="12"/>
        <tr r="F26" s="12"/>
        <tr r="F28" s="12"/>
        <tr r="F30" s="12"/>
        <tr r="F32" s="12"/>
        <tr r="F34" s="12"/>
        <tr r="F36" s="12"/>
        <tr r="F38" s="12"/>
        <tr r="F40" s="12"/>
        <tr r="F42" s="12"/>
        <tr r="F44" s="12"/>
        <tr r="F46" s="12"/>
        <tr r="F48" s="12"/>
        <tr r="F50" s="12"/>
        <tr r="F52" s="12"/>
        <tr r="F54" s="12"/>
        <tr r="F56" s="12"/>
        <tr r="F58" s="12"/>
        <tr r="F60" s="12"/>
        <tr r="F62" s="12"/>
        <tr r="F64" s="12"/>
        <tr r="F66" s="12"/>
        <tr r="F68" s="12"/>
        <tr r="F70" s="12"/>
        <tr r="F72" s="12"/>
        <tr r="F74" s="12"/>
        <tr r="F76" s="12"/>
        <tr r="F78" s="12"/>
        <tr r="F80" s="12"/>
        <tr r="F82" s="12"/>
        <tr r="F84" s="12"/>
        <tr r="F86" s="12"/>
        <tr r="F88" s="12"/>
        <tr r="F90" s="12"/>
        <tr r="F92" s="12"/>
        <tr r="F94" s="12"/>
        <tr r="F96" s="12"/>
        <tr r="F98" s="12"/>
        <tr r="F100" s="12"/>
        <tr r="F102" s="12"/>
        <tr r="F104" s="12"/>
        <tr r="F106" s="12"/>
        <tr r="F108" s="12"/>
        <tr r="B95" s="12"/>
        <tr r="C6" s="12"/>
        <tr r="G6" s="12"/>
        <tr r="G8" s="12"/>
        <tr r="G10" s="12"/>
        <tr r="G12" s="12"/>
        <tr r="G14" s="12"/>
        <tr r="G16" s="12"/>
        <tr r="G18" s="12"/>
        <tr r="G20" s="12"/>
        <tr r="G22" s="12"/>
        <tr r="G24" s="12"/>
        <tr r="G26" s="12"/>
        <tr r="G28" s="12"/>
        <tr r="G30" s="12"/>
        <tr r="G32" s="12"/>
        <tr r="G34" s="12"/>
        <tr r="G36" s="12"/>
        <tr r="G38" s="12"/>
        <tr r="G40" s="12"/>
        <tr r="G42" s="12"/>
        <tr r="G44" s="12"/>
        <tr r="G46" s="12"/>
        <tr r="G48" s="12"/>
        <tr r="G50" s="12"/>
        <tr r="G52" s="12"/>
        <tr r="G54" s="12"/>
        <tr r="G56" s="12"/>
        <tr r="G58" s="12"/>
        <tr r="G60" s="12"/>
        <tr r="G62" s="12"/>
        <tr r="G64" s="12"/>
        <tr r="G66" s="12"/>
        <tr r="G68" s="12"/>
        <tr r="G70" s="12"/>
        <tr r="G72" s="12"/>
        <tr r="G74" s="12"/>
        <tr r="G76" s="12"/>
        <tr r="G78" s="12"/>
        <tr r="G80" s="12"/>
        <tr r="G82" s="12"/>
        <tr r="G84" s="12"/>
        <tr r="G86" s="12"/>
        <tr r="G88" s="12"/>
        <tr r="G90" s="12"/>
        <tr r="G92" s="12"/>
        <tr r="G94" s="12"/>
        <tr r="G96" s="12"/>
        <tr r="G98" s="12"/>
        <tr r="G100" s="12"/>
        <tr r="G102" s="12"/>
        <tr r="G104" s="12"/>
        <tr r="G106" s="12"/>
        <tr r="G108" s="12"/>
        <tr r="B75" s="12"/>
        <tr r="C8" s="12"/>
        <tr r="B31" s="12"/>
        <tr r="B61" s="12"/>
        <tr r="B89" s="12"/>
        <tr r="G7" s="12"/>
        <tr r="I6" s="12"/>
        <tr r="I8" s="12"/>
        <tr r="I10" s="12"/>
        <tr r="I12" s="12"/>
        <tr r="I14" s="12"/>
        <tr r="I16" s="12"/>
        <tr r="I18" s="12"/>
        <tr r="I20" s="12"/>
        <tr r="I22" s="12"/>
        <tr r="I24" s="12"/>
        <tr r="I26" s="12"/>
        <tr r="I28" s="12"/>
        <tr r="I30" s="12"/>
        <tr r="I32" s="12"/>
        <tr r="I34" s="12"/>
        <tr r="I36" s="12"/>
        <tr r="I38" s="12"/>
        <tr r="I40" s="12"/>
        <tr r="I42" s="12"/>
        <tr r="I44" s="12"/>
        <tr r="I46" s="12"/>
        <tr r="I48" s="12"/>
        <tr r="I50" s="12"/>
        <tr r="I52" s="12"/>
        <tr r="I54" s="12"/>
        <tr r="I56" s="12"/>
        <tr r="I58" s="12"/>
        <tr r="I60" s="12"/>
        <tr r="I62" s="12"/>
        <tr r="I64" s="12"/>
        <tr r="I66" s="12"/>
        <tr r="I68" s="12"/>
        <tr r="I70" s="12"/>
        <tr r="I72" s="12"/>
        <tr r="I74" s="12"/>
        <tr r="I76" s="12"/>
        <tr r="I78" s="12"/>
        <tr r="I80" s="12"/>
        <tr r="I82" s="12"/>
        <tr r="I84" s="12"/>
        <tr r="I86" s="12"/>
        <tr r="I88" s="12"/>
        <tr r="I90" s="12"/>
        <tr r="I92" s="12"/>
        <tr r="I94" s="12"/>
        <tr r="I96" s="12"/>
        <tr r="I98" s="12"/>
        <tr r="I100" s="12"/>
        <tr r="I102" s="12"/>
        <tr r="I104" s="12"/>
        <tr r="I106" s="12"/>
        <tr r="I108" s="12"/>
        <tr r="I109" s="12"/>
        <tr r="G109" s="12"/>
        <tr r="E109" s="12"/>
        <tr r="I110" s="12"/>
        <tr r="D109" s="12"/>
        <tr r="G110" s="12"/>
        <tr r="C8" s="5"/>
        <tr r="C4" s="5"/>
        <tr r="C6" s="5"/>
        <tr r="D9" s="5"/>
        <tr r="C9" s="5"/>
        <tr r="C7" s="5"/>
        <tr r="D8" s="5"/>
        <tr r="D6" s="5"/>
        <tr r="D3" s="5"/>
        <tr r="E6" s="5"/>
        <tr r="D4" s="5"/>
        <tr r="E9" s="5"/>
        <tr r="D7" s="5"/>
        <tr r="E7" s="5"/>
        <tr r="C3" s="5"/>
        <tr r="E3" s="5"/>
        <tr r="E4" s="5"/>
        <tr r="E8" s="5"/>
        <tr r="I4" s="5"/>
        <tr r="J4" s="5"/>
        <tr r="H4" s="5"/>
        <tr r="B39" s="12"/>
        <tr r="C11" s="12"/>
        <tr r="C19" s="12"/>
        <tr r="C21" s="12"/>
        <tr r="C25" s="12"/>
        <tr r="C27" s="12"/>
        <tr r="C29" s="12"/>
        <tr r="C41" s="12"/>
        <tr r="C43" s="12"/>
        <tr r="C47" s="12"/>
        <tr r="C57" s="12"/>
        <tr r="C59" s="12"/>
        <tr r="C63" s="12"/>
        <tr r="C67" s="12"/>
        <tr r="C79" s="12"/>
        <tr r="C85" s="12"/>
        <tr r="C95" s="12"/>
        <tr r="C101" s="12"/>
        <tr r="B69" s="12"/>
        <tr r="B105" s="12"/>
        <tr r="D17" s="12"/>
        <tr r="D19" s="12"/>
        <tr r="D21" s="12"/>
        <tr r="D27" s="12"/>
        <tr r="D29" s="12"/>
        <tr r="D35" s="12"/>
        <tr r="D37" s="12"/>
        <tr r="D45" s="12"/>
        <tr r="D59" s="12"/>
        <tr r="D67" s="12"/>
        <tr r="D85" s="12"/>
        <tr r="D95" s="12"/>
        <tr r="D101" s="12"/>
        <tr r="D105" s="12"/>
        <tr r="B21" s="12"/>
        <tr r="E17" s="12"/>
        <tr r="E19" s="12"/>
        <tr r="E21" s="12"/>
        <tr r="E23" s="12"/>
        <tr r="E27" s="12"/>
        <tr r="E29" s="12"/>
        <tr r="E35" s="12"/>
        <tr r="E39" s="12"/>
        <tr r="E45" s="12"/>
        <tr r="E59" s="12"/>
        <tr r="E73" s="12"/>
        <tr r="E77" s="12"/>
        <tr r="E81" s="12"/>
        <tr r="E85" s="12"/>
        <tr r="E89" s="12"/>
        <tr r="E91" s="12"/>
        <tr r="E107" s="12"/>
        <tr r="B15" s="12"/>
        <tr r="B35" s="12"/>
        <tr r="B63" s="12"/>
        <tr r="B29" s="12"/>
        <tr r="B59" s="12"/>
        <tr r="B79" s="12"/>
        <tr r="B23" s="12"/>
        <tr r="B45" s="12"/>
        <tr r="B85" s="12"/>
        <tr r="B27" s="12"/>
        <tr r="B10" s="12"/>
        <tr r="B32" s="12"/>
        <tr r="B66" s="12"/>
        <tr r="B76" s="12"/>
        <tr r="B90" s="12"/>
        <tr r="B100" s="12"/>
        <tr r="C12" s="12"/>
        <tr r="C16" s="12"/>
        <tr r="C36" s="12"/>
        <tr r="C72" s="12"/>
        <tr r="C76" s="12"/>
        <tr r="C90" s="12"/>
        <tr r="C92" s="12"/>
        <tr r="C104" s="12"/>
        <tr r="B43" s="12"/>
        <tr r="B81" s="12"/>
        <tr r="D64" s="12"/>
        <tr r="D78" s="12"/>
        <tr r="D82" s="12"/>
        <tr r="D92" s="12"/>
        <tr r="B19" s="12"/>
        <tr r="B55" s="12"/>
        <tr r="B93" s="12"/>
        <tr r="E10" s="12"/>
        <tr r="E32" s="12"/>
        <tr r="E54" s="12"/>
        <tr r="E64" s="12"/>
        <tr r="E66" s="12"/>
        <tr r="E102" s="12"/>
        <tr r="B51" s="12"/>
        <tr r="B57" s="12"/>
        <tr r="B25" s="12"/>
        <tr r="B47" s="12"/>
        <tr r="E110" s="12"/>
        <tr r="C109" s="12"/>
        <tr r="D110" s="12"/>
        <tr r="B109" s="12"/>
        <tr r="I3" s="5"/>
        <tr r="J3" s="5"/>
        <tr r="H3" s="5"/>
        <tr r="C17" s="12"/>
        <tr r="C37" s="12"/>
        <tr r="C77" s="12"/>
        <tr r="C105" s="12"/>
        <tr r="D65" s="12"/>
        <tr r="B6" s="12"/>
        <tr r="B16" s="12"/>
        <tr r="B36" s="12"/>
        <tr r="B70" s="12"/>
        <tr r="C10" s="12"/>
        <tr r="C30" s="12"/>
        <tr r="C80" s="12"/>
        <tr r="D6" s="12"/>
        <tr r="D30" s="12"/>
        <tr r="E36" s="12"/>
        <tr r="E46" s="12"/>
        <tr r="E78" s="12"/>
        <tr r="B91" s="12"/>
        <tr r="C31" s="12"/>
        <tr r="D31" s="12"/>
        <tr r="E37" s="12"/>
        <tr r="E79" s="12"/>
        <tr r="B37" s="12"/>
        <tr r="C106" s="12"/>
        <tr r="B71" s="12"/>
        <tr r="D10" s="12"/>
        <tr r="B17" s="12"/>
        <tr r="B72" s="12"/>
        <tr r="C32" s="12"/>
        <tr r="D32" s="12"/>
        <tr r="B73" s="12"/>
        <tr r="H14" s="12"/>
        <tr r="H13" s="12"/>
        <tr r="H12" s="12"/>
        <tr r="I11" s="5"/>
        <tr r="H19" s="5"/>
        <tr r="I34" s="5"/>
        <tr r="I21" s="5"/>
        <tr r="H17" s="5"/>
        <tr r="H40" s="5"/>
        <tr r="I50" s="5"/>
        <tr r="I42" s="5"/>
        <tr r="H46" s="5"/>
        <tr r="H22" s="5"/>
        <tr r="H16" s="5"/>
        <tr r="H13" s="5"/>
        <tr r="I13" s="5"/>
        <tr r="H7" s="5"/>
        <tr r="I22" s="5"/>
        <tr r="I48" s="5"/>
        <tr r="H31" s="5"/>
        <tr r="I26" s="5"/>
        <tr r="I45" s="5"/>
        <tr r="H50" s="5"/>
        <tr r="I35" s="5"/>
        <tr r="H24" s="5"/>
        <tr r="I15" s="5"/>
        <tr r="H34" s="5"/>
        <tr r="I32" s="5"/>
        <tr r="H45" s="5"/>
        <tr r="I30" s="5"/>
        <tr r="H6" s="5"/>
        <tr r="H43" s="5"/>
        <tr r="I43" s="5"/>
        <tr r="H38" s="5"/>
        <tr r="H36" s="5"/>
        <tr r="I24" s="5"/>
        <tr r="H42" s="5"/>
        <tr r="H33" s="5"/>
        <tr r="I23" s="5"/>
        <tr r="I31" s="5"/>
        <tr r="H12" s="5"/>
        <tr r="H29" s="5"/>
        <tr r="H25" s="5"/>
        <tr r="H14" s="5"/>
        <tr r="H27" s="5"/>
        <tr r="I25" s="5"/>
        <tr r="I49" s="5"/>
        <tr r="H35" s="5"/>
        <tr r="H18" s="5"/>
        <tr r="I27" s="5"/>
        <tr r="H11" s="5"/>
        <tr r="I17" s="5"/>
        <tr r="H20" s="5"/>
        <tr r="I28" s="5"/>
        <tr r="H23" s="5"/>
        <tr r="I39" s="5"/>
        <tr r="H47" s="5"/>
        <tr r="H49" s="5"/>
        <tr r="H44" s="5"/>
        <tr r="I29" s="5"/>
        <tr r="I44" s="5"/>
        <tr r="H39" s="5"/>
        <tr r="H32" s="5"/>
        <tr r="I14" s="5"/>
        <tr r="I46" s="5"/>
        <tr r="I38" s="5"/>
        <tr r="I36" s="5"/>
        <tr r="I6" s="5"/>
        <tr r="I8" s="5"/>
        <tr r="H9" s="5"/>
        <tr r="I33" s="5"/>
        <tr r="H8" s="5"/>
        <tr r="I18" s="5"/>
        <tr r="H30" s="5"/>
        <tr r="I41" s="5"/>
        <tr r="I12" s="5"/>
        <tr r="H48" s="5"/>
        <tr r="H41" s="5"/>
        <tr r="H28" s="5"/>
        <tr r="H21" s="5"/>
        <tr r="I37" s="5"/>
        <tr r="I19" s="5"/>
        <tr r="H26" s="5"/>
        <tr r="I40" s="5"/>
        <tr r="I47" s="5"/>
        <tr r="H37" s="5"/>
        <tr r="H15" s="5"/>
        <tr r="I10" s="5"/>
        <tr r="I7" s="5"/>
        <tr r="I16" s="5"/>
        <tr r="I9" s="5"/>
        <tr r="H10" s="5"/>
        <tr r="I20" s="5"/>
        <tr r="J14" s="5"/>
        <tr r="J7" s="5"/>
        <tr r="J33" s="5"/>
        <tr r="J41" s="5"/>
        <tr r="J16" s="5"/>
        <tr r="J15" s="5"/>
        <tr r="J46" s="5"/>
        <tr r="J48" s="5"/>
        <tr r="J21" s="5"/>
        <tr r="J38" s="5"/>
        <tr r="J39" s="5"/>
        <tr r="J20" s="5"/>
        <tr r="J34" s="5"/>
        <tr r="J18" s="5"/>
        <tr r="J17" s="5"/>
        <tr r="J44" s="5"/>
        <tr r="J30" s="5"/>
        <tr r="J40" s="5"/>
        <tr r="J6" s="5"/>
        <tr r="J47" s="5"/>
        <tr r="J22" s="5"/>
        <tr r="J29" s="5"/>
        <tr r="J27" s="5"/>
        <tr r="J32" s="5"/>
        <tr r="J35" s="5"/>
        <tr r="J26" s="5"/>
        <tr r="J31" s="5"/>
        <tr r="J42" s="5"/>
        <tr r="J10" s="5"/>
        <tr r="J19" s="5"/>
        <tr r="J37" s="5"/>
        <tr r="J11" s="5"/>
        <tr r="J8" s="5"/>
        <tr r="J9" s="5"/>
        <tr r="J24" s="5"/>
        <tr r="J50" s="5"/>
        <tr r="J28" s="5"/>
        <tr r="J36" s="5"/>
        <tr r="J49" s="5"/>
        <tr r="J23" s="5"/>
        <tr r="J45" s="5"/>
        <tr r="J25" s="5"/>
        <tr r="J13" s="5"/>
        <tr r="J12" s="5"/>
        <tr r="J43" s="5"/>
        <tr r="H11" s="12"/>
        <tr r="H10" s="12"/>
        <tr r="H6" s="12"/>
        <tr r="H7" s="12"/>
        <tr r="H9" s="12"/>
        <tr r="H15" s="12"/>
        <tr r="H17" s="12"/>
        <tr r="H19" s="12"/>
        <tr r="H21" s="12"/>
        <tr r="H23" s="12"/>
        <tr r="H25" s="12"/>
        <tr r="H27" s="12"/>
        <tr r="H29" s="12"/>
        <tr r="H31" s="12"/>
        <tr r="H33" s="12"/>
        <tr r="H35" s="12"/>
        <tr r="H37" s="12"/>
        <tr r="H39" s="12"/>
        <tr r="H41" s="12"/>
        <tr r="H43" s="12"/>
        <tr r="H45" s="12"/>
        <tr r="H47" s="12"/>
        <tr r="H49" s="12"/>
        <tr r="H51" s="12"/>
        <tr r="H53" s="12"/>
        <tr r="H55" s="12"/>
        <tr r="H57" s="12"/>
        <tr r="H59" s="12"/>
        <tr r="H61" s="12"/>
        <tr r="H63" s="12"/>
        <tr r="H65" s="12"/>
        <tr r="H67" s="12"/>
        <tr r="H69" s="12"/>
        <tr r="H71" s="12"/>
        <tr r="H73" s="12"/>
        <tr r="H75" s="12"/>
        <tr r="H77" s="12"/>
        <tr r="H79" s="12"/>
        <tr r="H81" s="12"/>
        <tr r="H83" s="12"/>
        <tr r="H85" s="12"/>
        <tr r="H87" s="12"/>
        <tr r="H89" s="12"/>
        <tr r="H91" s="12"/>
        <tr r="H93" s="12"/>
        <tr r="H95" s="12"/>
        <tr r="H97" s="12"/>
        <tr r="H99" s="12"/>
        <tr r="H101" s="12"/>
        <tr r="H103" s="12"/>
        <tr r="H105" s="12"/>
        <tr r="H107" s="12"/>
        <tr r="H8" s="12"/>
        <tr r="H16" s="12"/>
        <tr r="H18" s="12"/>
        <tr r="H20" s="12"/>
        <tr r="H22" s="12"/>
        <tr r="H24" s="12"/>
        <tr r="H26" s="12"/>
        <tr r="H28" s="12"/>
        <tr r="H30" s="12"/>
        <tr r="H32" s="12"/>
        <tr r="H34" s="12"/>
        <tr r="H36" s="12"/>
        <tr r="H38" s="12"/>
        <tr r="H40" s="12"/>
        <tr r="H42" s="12"/>
        <tr r="H44" s="12"/>
        <tr r="H46" s="12"/>
        <tr r="H48" s="12"/>
        <tr r="H50" s="12"/>
        <tr r="H52" s="12"/>
        <tr r="H54" s="12"/>
        <tr r="H56" s="12"/>
        <tr r="H58" s="12"/>
        <tr r="H60" s="12"/>
        <tr r="H62" s="12"/>
        <tr r="H64" s="12"/>
        <tr r="H66" s="12"/>
        <tr r="H68" s="12"/>
        <tr r="H70" s="12"/>
        <tr r="H72" s="12"/>
        <tr r="H74" s="12"/>
        <tr r="H76" s="12"/>
        <tr r="H78" s="12"/>
        <tr r="H80" s="12"/>
        <tr r="H82" s="12"/>
        <tr r="H84" s="12"/>
        <tr r="H86" s="12"/>
        <tr r="H88" s="12"/>
        <tr r="H90" s="12"/>
        <tr r="H92" s="12"/>
        <tr r="H94" s="12"/>
        <tr r="H96" s="12"/>
        <tr r="H98" s="12"/>
        <tr r="H100" s="12"/>
        <tr r="H102" s="12"/>
        <tr r="H104" s="12"/>
        <tr r="H106" s="12"/>
        <tr r="H108" s="12"/>
        <tr r="H110" s="12"/>
        <tr r="H109" s="12"/>
        <tr r="V88" s="5"/>
        <tr r="N41" s="5"/>
        <tr r="U143" s="5"/>
        <tr r="U63" s="5"/>
        <tr r="T24" s="5"/>
        <tr r="V83" s="5"/>
        <tr r="U149" s="5"/>
        <tr r="N43" s="5"/>
        <tr r="V21" s="5"/>
        <tr r="D34" s="5"/>
        <tr r="V53" s="5"/>
        <tr r="D13" s="5"/>
        <tr r="T112" s="5"/>
        <tr r="X9" s="5"/>
        <tr r="X71" s="5"/>
        <tr r="U88" s="5"/>
        <tr r="N16" s="5"/>
        <tr r="X59" s="5"/>
        <tr r="X150" s="5"/>
        <tr r="T6" s="5"/>
        <tr r="N49" s="5"/>
        <tr r="V14" s="5"/>
        <tr r="U34" s="5"/>
        <tr r="T50" s="5"/>
        <tr r="X14" s="5"/>
        <tr r="V120" s="5"/>
        <tr r="W50" s="5"/>
        <tr r="N22" s="5"/>
        <tr r="U130" s="5"/>
        <tr r="D42" s="5"/>
        <tr r="X72" s="5"/>
        <tr r="U121" s="5"/>
        <tr r="W133" s="5"/>
        <tr r="W81" s="5"/>
        <tr r="T111" s="5"/>
        <tr r="X74" s="5"/>
        <tr r="C54" s="5"/>
        <tr r="U58" s="5"/>
        <tr r="M3" s="5"/>
        <tr r="T57" s="5"/>
        <tr r="D21" s="5"/>
        <tr r="W105" s="5"/>
        <tr r="T29" s="5"/>
        <tr r="N3" s="5"/>
        <tr r="V97" s="5"/>
        <tr r="W19" s="5"/>
        <tr r="U66" s="5"/>
        <tr r="U136" s="5"/>
        <tr r="M53" s="5"/>
        <tr r="V153" s="5"/>
        <tr r="X62" s="5"/>
        <tr r="D29" s="5"/>
        <tr r="W33" s="5"/>
        <tr r="V16" s="5"/>
        <tr r="N44" s="5"/>
        <tr r="M25" s="5"/>
        <tr r="V133" s="5"/>
        <tr r="W114" s="5"/>
        <tr r="X53" s="5"/>
        <tr r="C18" s="5"/>
        <tr r="D28" s="5"/>
        <tr r="T136" s="5"/>
        <tr r="T22" s="5"/>
        <tr r="W97" s="5"/>
        <tr r="V49" s="5"/>
        <tr r="V64" s="5"/>
        <tr r="N27" s="5"/>
        <tr r="V44" s="5"/>
        <tr r="U123" s="5"/>
        <tr r="M40" s="5"/>
        <tr r="N11" s="5"/>
        <tr r="X149" s="5"/>
        <tr r="W41" s="5"/>
        <tr r="N40" s="5"/>
        <tr r="W120" s="5"/>
        <tr r="T78" s="5"/>
        <tr r="C24" s="5"/>
        <tr r="V54" s="5"/>
        <tr r="M38" s="5"/>
        <tr r="T91" s="5"/>
        <tr r="W150" s="5"/>
        <tr r="V144" s="5"/>
        <tr r="X77" s="5"/>
        <tr r="V5" s="5"/>
        <tr r="U75" s="5"/>
        <tr r="N38" s="5"/>
        <tr r="U133" s="5"/>
        <tr r="T21" s="5"/>
        <tr r="C28" s="5"/>
        <tr r="X120" s="5"/>
        <tr r="U38" s="5"/>
        <tr r="T48" s="5"/>
        <tr r="U148" s="5"/>
        <tr r="X34" s="5"/>
        <tr r="U62" s="5"/>
        <tr r="V80" s="5"/>
        <tr r="V136" s="5"/>
        <tr r="M15" s="5"/>
        <tr r="V100" s="5"/>
        <tr r="W54" s="5"/>
        <tr r="M10" s="5"/>
        <tr r="M51" s="5"/>
        <tr r="D32" s="5"/>
        <tr r="X38" s="5"/>
        <tr r="W134" s="5"/>
        <tr r="V95" s="5"/>
        <tr r="T130" s="5"/>
        <tr r="X103" s="5"/>
        <tr r="T31" s="5"/>
        <tr r="T83" s="5"/>
        <tr r="U91" s="5"/>
        <tr r="T101" s="5"/>
        <tr r="D22" s="5"/>
        <tr r="X101" s="5"/>
        <tr r="X73" s="5"/>
        <tr r="C29" s="5"/>
        <tr r="W143" s="5"/>
        <tr r="U14" s="5"/>
        <tr r="U107" s="5"/>
        <tr r="X70" s="5"/>
        <tr r="U124" s="5"/>
        <tr r="V134" s="5"/>
        <tr r="N34" s="5"/>
        <tr r="M28" s="5"/>
        <tr r="T61" s="5"/>
        <tr r="W35" s="5"/>
        <tr r="C11" s="5"/>
        <tr r="W67" s="5"/>
        <tr r="V58" s="5"/>
        <tr r="T116" s="5"/>
        <tr r="M22" s="5"/>
        <tr r="V78" s="5"/>
        <tr r="V41" s="5"/>
        <tr r="T97" s="5"/>
        <tr r="N10" s="5"/>
        <tr r="X100" s="5"/>
        <tr r="U109" s="5"/>
        <tr r="V137" s="5"/>
        <tr r="W20" s="5"/>
        <tr r="T15" s="5"/>
        <tr r="C46" s="5"/>
        <tr r="U35" s="5"/>
        <tr r="X127" s="5"/>
        <tr r="V90" s="5"/>
        <tr r="U36" s="5"/>
        <tr r="U98" s="5"/>
        <tr r="U26" s="5"/>
        <tr r="X43" s="5"/>
        <tr r="V119" s="5"/>
        <tr r="T141" s="5"/>
        <tr r="U65" s="5"/>
        <tr r="W116" s="5"/>
        <tr r="U147" s="5"/>
        <tr r="V130" s="5"/>
        <tr r="V115" s="5"/>
        <tr r="X50" s="5"/>
        <tr r="X93" s="5"/>
        <tr r="W115" s="5"/>
        <tr r="C47" s="5"/>
        <tr r="U125" s="5"/>
        <tr r="M20" s="5"/>
        <tr r="V8" s="5"/>
        <tr r="V124" s="5"/>
        <tr r="U3" s="5"/>
        <tr r="T35" s="5"/>
        <tr r="W61" s="5"/>
        <tr r="T109" s="5"/>
        <tr r="C35" s="5"/>
        <tr r="U138" s="5"/>
        <tr r="W11" s="5"/>
        <tr r="W137" s="5"/>
        <tr r="W44" s="5"/>
        <tr r="C25" s="5"/>
        <tr r="C42" s="5"/>
        <tr r="X21" s="5"/>
        <tr r="W85" s="5"/>
        <tr r="T40" s="5"/>
        <tr r="X116" s="5"/>
        <tr r="X141" s="5"/>
        <tr r="X97" s="5"/>
        <tr r="N33" s="5"/>
        <tr r="U112" s="5"/>
        <tr r="V55" s="5"/>
        <tr r="M11" s="5"/>
        <tr r="U77" s="5"/>
        <tr r="W145" s="5"/>
        <tr r="M8" s="5"/>
        <tr r="W118" s="5"/>
        <tr r="X124" s="5"/>
        <tr r="V149" s="5"/>
        <tr r="V51" s="5"/>
        <tr r="X18" s="5"/>
        <tr r="X55" s="5"/>
        <tr r="T17" s="5"/>
        <tr r="W73" s="5"/>
        <tr r="M45" s="5"/>
        <tr r="V150" s="5"/>
        <tr r="T103" s="5"/>
        <tr r="X129" s="5"/>
        <tr r="V105" s="5"/>
        <tr r="U28" s="5"/>
        <tr r="W76" s="5"/>
        <tr r="U40" s="5"/>
        <tr r="U89" s="5"/>
        <tr r="U24" s="5"/>
        <tr r="C17" s="5"/>
        <tr r="C39" s="5"/>
        <tr r="C43" s="5"/>
        <tr r="W101" s="5"/>
        <tr r="V6" s="5"/>
        <tr r="D36" s="5"/>
        <tr r="X46" s="5"/>
        <tr r="V91" s="5"/>
        <tr r="W70" s="5"/>
        <tr r="V34" s="5"/>
        <tr r="U78" s="5"/>
        <tr r="C53" s="5"/>
        <tr r="M56" s="5"/>
        <tr r="T105" s="5"/>
        <tr r="U71" s="5"/>
        <tr r="W88" s="5"/>
        <tr r="X88" s="5"/>
        <tr r="X75" s="5"/>
        <tr r="U146" s="5"/>
        <tr r="T64" s="5"/>
        <tr r="N6" s="5"/>
        <tr r="W30" s="5"/>
        <tr r="U9" s="5"/>
        <tr r="X67" s="5"/>
        <tr r="W55" s="5"/>
        <tr r="W34" s="5"/>
        <tr r="W65" s="5"/>
        <tr r="D35" s="5"/>
        <tr r="T77" s="5"/>
        <tr r="C36" s="5"/>
        <tr r="W128" s="5"/>
        <tr r="W14" s="5"/>
        <tr r="T72" s="5"/>
        <tr r="T66" s="5"/>
        <tr r="W100" s="5"/>
        <tr r="V7" s="5"/>
        <tr r="U12" s="5"/>
        <tr r="X109" s="5"/>
        <tr r="T95" s="5"/>
        <tr r="X12" s="5"/>
        <tr r="V18" s="5"/>
        <tr r="D39" s="5"/>
        <tr r="W139" s="5"/>
        <tr r="T70" s="5"/>
        <tr r="M35" s="5"/>
        <tr r="N45" s="5"/>
        <tr r="D16" s="5"/>
        <tr r="U50" s="5"/>
        <tr r="M47" s="5"/>
        <tr r="U29" s="5"/>
        <tr r="T26" s="5"/>
        <tr r="V145" s="5"/>
        <tr r="U27" s="5"/>
        <tr r="U43" s="5"/>
        <tr r="W56" s="5"/>
        <tr r="V106" s="5"/>
        <tr r="M21" s="5"/>
        <tr r="U13" s="5"/>
        <tr r="N30" s="5"/>
        <tr r="C41" s="5"/>
        <tr r="X6" s="5"/>
        <tr r="T148" s="5"/>
        <tr r="T43" s="5"/>
        <tr r="M31" s="5"/>
        <tr r="V75" s="5"/>
        <tr r="C50" s="5"/>
        <tr r="U69" s="5"/>
        <tr r="W111" s="5"/>
        <tr r="W99" s="5"/>
        <tr r="C31" s="5"/>
        <tr r="X24" s="5"/>
        <tr r="T42" s="5"/>
        <tr r="T115" s="5"/>
        <tr r="T151" s="5"/>
        <tr r="X48" s="5"/>
        <tr r="V118" s="5"/>
        <tr r="T127" s="5"/>
        <tr r="T124" s="5"/>
        <tr r="T147" s="5"/>
        <tr r="U74" s="5"/>
        <tr r="T58" s="5"/>
        <tr r="V3" s="5"/>
        <tr r="U95" s="5"/>
        <tr r="V45" s="5"/>
        <tr r="X17" s="5"/>
        <tr r="V121" s="5"/>
        <tr r="T13" s="5"/>
        <tr r="T90" s="5"/>
        <tr r="X117" s="5"/>
        <tr r="T8" s="5"/>
        <tr r="V70" s="5"/>
        <tr r="M34" s="5"/>
        <tr r="C20" s="5"/>
        <tr r="T55" s="5"/>
        <tr r="X96" s="5"/>
        <tr r="X84" s="5"/>
        <tr r="M42" s="5"/>
        <tr r="X140" s="5"/>
        <tr r="W95" s="5"/>
        <tr r="X148" s="5"/>
        <tr r="T74" s="5"/>
        <tr r="V87" s="5"/>
        <tr r="V125" s="5"/>
        <tr r="U47" s="5"/>
        <tr r="C56" s="5"/>
        <tr r="X69" s="5"/>
        <tr r="X138" s="5"/>
        <tr r="W24" s="5"/>
        <tr r="X47" s="5"/>
        <tr r="X58" s="5"/>
        <tr r="U31" s="5"/>
        <tr r="U118" s="5"/>
        <tr r="U15" s="5"/>
        <tr r="W13" s="5"/>
        <tr r="U94" s="5"/>
        <tr r="W127" s="5"/>
        <tr r="N20" s="5"/>
        <tr r="T118" s="5"/>
        <tr r="V65" s="5"/>
        <tr r="U141" s="5"/>
        <tr r="X90" s="5"/>
        <tr r="V94" s="5"/>
        <tr r="U41" s="5"/>
        <tr r="W31" s="5"/>
        <tr r="W82" s="5"/>
        <tr r="V24" s="5"/>
        <tr r="T120" s="5"/>
        <tr r="U37" s="5"/>
        <tr r="N14" s="5"/>
        <tr r="X105" s="5"/>
        <tr r="W79" s="5"/>
        <tr r="U100" s="5"/>
        <tr r="U59" s="5"/>
        <tr r="V52" s="5"/>
        <tr r="X39" s="5"/>
        <tr r="T88" s="5"/>
        <tr r="X94" s="5"/>
        <tr r="W106" s="5"/>
        <tr r="V147" s="5"/>
        <tr r="V66" s="5"/>
        <tr r="X29" s="5"/>
        <tr r="T19" s="5"/>
        <tr r="M9" s="5"/>
        <tr r="U76" s="5"/>
        <tr r="W84" s="5"/>
        <tr r="U57" s="5"/>
        <tr r="W29" s="5"/>
        <tr r="W52" s="5"/>
        <tr r="U73" s="5"/>
        <tr r="M55" s="5"/>
        <tr r="T51" s="5"/>
        <tr r="N52" s="5"/>
        <tr r="X42" s="5"/>
        <tr r="V77" s="5"/>
        <tr r="W96" s="5"/>
        <tr r="V27" s="5"/>
        <tr r="V39" s="5"/>
        <tr r="W90" s="5"/>
        <tr r="W83" s="5"/>
        <tr r="V20" s="5"/>
        <tr r="D47" s="5"/>
        <tr r="X131" s="5"/>
        <tr r="C26" s="5"/>
        <tr r="D44" s="5"/>
        <tr r="N31" s="5"/>
        <tr r="V74" s="5"/>
        <tr r="U131" s="5"/>
        <tr r="X41" s="5"/>
        <tr r="U55" s="5"/>
        <tr r="T38" s="5"/>
        <tr r="V46" s="5"/>
        <tr r="D40" s="5"/>
        <tr r="T65" s="5"/>
        <tr r="V48" s="5"/>
        <tr r="U129" s="5"/>
        <tr r="T41" s="5"/>
        <tr r="W60" s="5"/>
        <tr r="V85" s="5"/>
        <tr r="V143" s="5"/>
        <tr r="V56" s="5"/>
        <tr r="W27" s="5"/>
        <tr r="V59" s="5"/>
        <tr r="N19" s="5"/>
        <tr r="U5" s="5"/>
        <tr r="M6" s="5"/>
        <tr r="D46" s="5"/>
        <tr r="N42" s="5"/>
        <tr r="U90" s="5"/>
        <tr r="X61" s="5"/>
        <tr r="X15" s="5"/>
        <tr r="X7" s="5"/>
        <tr r="V68" s="5"/>
        <tr r="D55" s="5"/>
        <tr r="X79" s="5"/>
        <tr r="W122" s="5"/>
        <tr r="T119" s="5"/>
        <tr r="W23" s="5"/>
        <tr r="U122" s="5"/>
        <tr r="V122" s="5"/>
        <tr r="T107" s="5"/>
        <tr r="V107" s="5"/>
        <tr r="W102" s="5"/>
        <tr r="D17" s="5"/>
        <tr r="T81" s="5"/>
        <tr r="U139" s="5"/>
        <tr r="M5" s="5"/>
        <tr r="C22" s="5"/>
        <tr r="W75" s="5"/>
        <tr r="U51" s="5"/>
        <tr r="T14" s="5"/>
        <tr r="V98" s="5"/>
        <tr r="U96" s="5"/>
        <tr r="T59" s="5"/>
        <tr r="M14" s="5"/>
        <tr r="V4" s="5"/>
        <tr r="T110" s="5"/>
        <tr r="V111" s="5"/>
        <tr r="U17" s="5"/>
        <tr r="T89" s="5"/>
        <tr r="V22" s="5"/>
        <tr r="U72" s="5"/>
        <tr r="W109" s="5"/>
        <tr r="D33" s="5"/>
        <tr r="V129" s="5"/>
        <tr r="T67" s="5"/>
        <tr r="W153" s="5"/>
        <tr r="X106" s="5"/>
        <tr r="N18" s="5"/>
        <tr r="X25" s="5"/>
        <tr r="C23" s="5"/>
        <tr r="X85" s="5"/>
        <tr r="M23" s="5"/>
        <tr r="X121" s="5"/>
        <tr r="W110" s="5"/>
        <tr r="U49" s="5"/>
        <tr r="U81" s="5"/>
        <tr r="T9" s="5"/>
        <tr r="W146" s="5"/>
        <tr r="X107" s="5"/>
        <tr r="X33" s="5"/>
        <tr r="V114" s="5"/>
        <tr r="X65" s="5"/>
        <tr r="U103" s="5"/>
        <tr r="T108" s="5"/>
        <tr r="V123" s="5"/>
        <tr r="U44" s="5"/>
        <tr r="W51" s="5"/>
        <tr r="V26" s="5"/>
        <tr r="W151" s="5"/>
        <tr r="V96" s="5"/>
        <tr r="D51" s="5"/>
        <tr r="U120" s="5"/>
        <tr r="T85" s="5"/>
        <tr r="W49" s="5"/>
        <tr r="X143" s="5"/>
        <tr r="W130" s="5"/>
        <tr r="X63" s="5"/>
        <tr r="W80" s="5"/>
        <tr r="W142" s="5"/>
        <tr r="X146" s="5"/>
        <tr r="W148" s="5"/>
        <tr r="T100" s="5"/>
        <tr r="V72" s="5"/>
        <tr r="T99" s="5"/>
        <tr r="C51" s="5"/>
        <tr r="M27" s="5"/>
        <tr r="M39" s="5"/>
        <tr r="T125" s="5"/>
        <tr r="V81" s="5"/>
        <tr r="X20" s="5"/>
        <tr r="D23" s="5"/>
        <tr r="X57" s="5"/>
        <tr r="X145" s="5"/>
        <tr r="M36" s="5"/>
        <tr r="W136" s="5"/>
        <tr r="V152" s="5"/>
        <tr r="M48" s="5"/>
        <tr r="U135" s="5"/>
        <tr r="W103" s="5"/>
        <tr r="M43" s="5"/>
        <tr r="T129" s="5"/>
        <tr r="D15" s="5"/>
        <tr r="W141" s="5"/>
        <tr r="X35" s="5"/>
        <tr r="W138" s="5"/>
        <tr r="X122" s="5"/>
        <tr r="T36" s="5"/>
        <tr r="U128" s="5"/>
        <tr r="T113" s="5"/>
        <tr r="V38" s="5"/>
        <tr r="N23" s="5"/>
        <tr r="D24" s="5"/>
        <tr r="T114" s="5"/>
        <tr r="T69" s="5"/>
        <tr r="T96" s="5"/>
        <tr r="W104" s="5"/>
        <tr r="D20" s="5"/>
        <tr r="X111" s="5"/>
        <tr r="X52" s="5"/>
        <tr r="W78" s="5"/>
        <tr r="V126" s="5"/>
        <tr r="D54" s="5"/>
        <tr r="U16" s="5"/>
        <tr r="V113" s="5"/>
        <tr r="V36" s="5"/>
        <tr r="X27" s="5"/>
        <tr r="N24" s="5"/>
        <tr r="T132" s="5"/>
        <tr r="U19" s="5"/>
        <tr r="U25" s="5"/>
        <tr r="U18" s="5"/>
        <tr r="C30" s="5"/>
        <tr r="T79" s="5"/>
        <tr r="T82" s="5"/>
        <tr r="X118" s="5"/>
        <tr r="W64" s="5"/>
        <tr r="U144" s="5"/>
        <tr r="U106" s="5"/>
        <tr r="T98" s="5"/>
        <tr r="N53" s="5"/>
        <tr r="D50" s="5"/>
        <tr r="V76" s="5"/>
        <tr r="W126" s="5"/>
        <tr r="V29" s="5"/>
        <tr r="X68" s="5"/>
        <tr r="M32" s="5"/>
        <tr r="U102" s="5"/>
        <tr r="X5" s="5"/>
        <tr r="V13" s="5"/>
        <tr r="C33" s="5"/>
        <tr r="W36" s="5"/>
        <tr r="U93" s="5"/>
        <tr r="W48" s="5"/>
        <tr r="X37" s="5"/>
        <tr r="X132" s="5"/>
        <tr r="W59" s="5"/>
        <tr r="T104" s="5"/>
        <tr r="X99" s="5"/>
        <tr r="W42" s="5"/>
        <tr r="U137" s="5"/>
        <tr r="V103" s="5"/>
        <tr r="X45" s="5"/>
        <tr r="N7" s="5"/>
        <tr r="M17" s="5"/>
        <tr r="X30" s="5"/>
        <tr r="U152" s="5"/>
        <tr r="M4" s="5"/>
        <tr r="M16" s="5"/>
        <tr r="U134" s="5"/>
        <tr r="T92" s="5"/>
        <tr r="V110" s="5"/>
        <tr r="T73" s="5"/>
        <tr r="T49" s="5"/>
        <tr r="T76" s="5"/>
        <tr r="T133" s="5"/>
        <tr r="W135" s="5"/>
        <tr r="T39" s="5"/>
        <tr r="W12" s="5"/>
        <tr r="X16" s="5"/>
        <tr r="W147" s="5"/>
        <tr r="X66" s="5"/>
        <tr r="T54" s="5"/>
        <tr r="X125" s="5"/>
        <tr r="W16" s="5"/>
        <tr r="W25" s="5"/>
        <tr r="W18" s="5"/>
        <tr r="X80" s="5"/>
        <tr r="W62" s="5"/>
        <tr r="V71" s="5"/>
        <tr r="W124" s="5"/>
        <tr r="U140" s="5"/>
        <tr r="U132" s="5"/>
        <tr r="V28" s="5"/>
        <tr r="V19" s="5"/>
        <tr r="W87" s="5"/>
        <tr r="X114" s="5"/>
        <tr r="D26" s="5"/>
        <tr r="M33" s="5"/>
        <tr r="N26" s="5"/>
        <tr r="X28" s="5"/>
        <tr r="V10" s="5"/>
        <tr r="W46" s="5"/>
        <tr r="X91" s="5"/>
        <tr r="V135" s="5"/>
        <tr r="X130" s="5"/>
        <tr r="N5" s="5"/>
        <tr r="W53" s="5"/>
        <tr r="M18" s="5"/>
        <tr r="D30" s="5"/>
        <tr r="U115" s="5"/>
        <tr r="N35" s="5"/>
        <tr r="U42" s="5"/>
        <tr r="U8" s="5"/>
        <tr r="D31" s="5"/>
        <tr r="W15" s="5"/>
        <tr r="V63" s="5"/>
        <tr r="T23" s="5"/>
        <tr r="U39" s="5"/>
        <tr r="V32" s="5"/>
        <tr r="U117" s="5"/>
        <tr r="N48" s="5"/>
        <tr r="U6" s="5"/>
        <tr r="M50" s="5"/>
        <tr r="U82" s="5"/>
        <tr r="U11" s="5"/>
        <tr r="U153" s="5"/>
        <tr r="U86" s="5"/>
        <tr r="W91" s="5"/>
        <tr r="W113" s="5"/>
        <tr r="U101" s="5"/>
        <tr r="V92" s="5"/>
        <tr r="V35" s="5"/>
        <tr r="D37" s="5"/>
        <tr r="V15" s="5"/>
        <tr r="W129" s="5"/>
        <tr r="W93" s="5"/>
        <tr r="T84" s="5"/>
        <tr r="W26" s="5"/>
        <tr r="W68" s="5"/>
        <tr r="V23" s="5"/>
        <tr r="T71" s="5"/>
        <tr r="U4" s="5"/>
        <tr r="U21" s="5"/>
        <tr r="X144" s="5"/>
        <tr r="T53" s="5"/>
        <tr r="V60" s="5"/>
        <tr r="M7" s="5"/>
        <tr r="V142" s="5"/>
        <tr r="X54" s="5"/>
        <tr r="U23" s="5"/>
        <tr r="U67" s="5"/>
        <tr r="W7" s="5"/>
        <tr r="V109" s="5"/>
        <tr r="W108" s="5"/>
        <tr r="M49" s="5"/>
        <tr r="X22" s="5"/>
        <tr r="U119" s="5"/>
        <tr r="T143" s="5"/>
        <tr r="V128" s="5"/>
        <tr r="N15" s="5"/>
        <tr r="M41" s="5"/>
        <tr r="W63" s="5"/>
        <tr r="X153" s="5"/>
        <tr r="W119" s="5"/>
        <tr r="T142" s="5"/>
        <tr r="X4" s="5"/>
        <tr r="V40" s="5"/>
        <tr r="U30" s="5"/>
        <tr r="W131" s="5"/>
        <tr r="T33" s="5"/>
        <tr r="V132" s="5"/>
        <tr r="T30" s="5"/>
        <tr r="U104" s="5"/>
        <tr r="C55" s="5"/>
        <tr r="N56" s="5"/>
        <tr r="V9" s="5"/>
        <tr r="T93" s="5"/>
        <tr r="U84" s="5"/>
        <tr r="X151" s="5"/>
        <tr r="U87" s="5"/>
        <tr r="T56" s="5"/>
        <tr r="T135" s="5"/>
        <tr r="U85" s="5"/>
        <tr r="T140" s="5"/>
        <tr r="W3" s="5"/>
        <tr r="V50" s="5"/>
        <tr r="U52" s="5"/>
        <tr r="U79" s="5"/>
        <tr r="V12" s="5"/>
        <tr r="U64" s="5"/>
        <tr r="W28" s="5"/>
        <tr r="U45" s="5"/>
        <tr r="C52" s="5"/>
        <tr r="U108" s="5"/>
        <tr r="T137" s="5"/>
        <tr r="T20" s="5"/>
        <tr r="X137" s="5"/>
        <tr r="V102" s="5"/>
        <tr r="V62" s="5"/>
        <tr r="X104" s="5"/>
        <tr r="W86" s="5"/>
        <tr r="T122" s="5"/>
        <tr r="W57" s="5"/>
        <tr r="N32" s="5"/>
        <tr r="X49" s="5"/>
        <tr r="T102" s="5"/>
        <tr r="N39" s="5"/>
        <tr r="U151" s="5"/>
        <tr r="U68" s="5"/>
        <tr r="T153" s="5"/>
        <tr r="X86" s="5"/>
        <tr r="T139" s="5"/>
        <tr r="V89" s="5"/>
        <tr r="T34" s="5"/>
        <tr r="T5" s="5"/>
        <tr r="V140" s="5"/>
        <tr r="X139" s="5"/>
        <tr r="C40" s="5"/>
        <tr r="M46" s="5"/>
        <tr r="U32" s="5"/>
        <tr r="W39" s="5"/>
        <tr r="T10" s="5"/>
        <tr r="M24" s="5"/>
        <tr r="U56" s="5"/>
        <tr r="C13" s="5"/>
        <tr r="W132" s="5"/>
        <tr r="U142" s="5"/>
        <tr r="W40" s="5"/>
        <tr r="U10" s="5"/>
        <tr r="U111" s="5"/>
        <tr r="T7" s="5"/>
        <tr r="T134" s="5"/>
        <tr r="D41" s="5"/>
        <tr r="X81" s="5"/>
        <tr r="T68" s="5"/>
        <tr r="X10" s="5"/>
        <tr r="X152" s="5"/>
        <tr r="C45" s="5"/>
        <tr r="U54" s="5"/>
        <tr r="T126" s="5"/>
        <tr r="X102" s="5"/>
        <tr r="T3" s="5"/>
        <tr r="M26" s="5"/>
        <tr r="X44" s="5"/>
        <tr r="C15" s="5"/>
        <tr r="W5" s="5"/>
        <tr r="X64" s="5"/>
        <tr r="X19" s="5"/>
        <tr r="V138" s="5"/>
        <tr r="C38" s="5"/>
        <tr r="C14" s="5"/>
        <tr r="X82" s="5"/>
        <tr r="W123" s="5"/>
        <tr r="T75" s="5"/>
        <tr r="W72" s="5"/>
        <tr r="N12" s="5"/>
        <tr r="W77" s="5"/>
        <tr r="T47" s="5"/>
        <tr r="X89" s="5"/>
        <tr r="T128" s="5"/>
        <tr r="X119" s="5"/>
        <tr r="T146" s="5"/>
        <tr r="U114" s="5"/>
        <tr r="C44" s="5"/>
        <tr r="D19" s="5"/>
        <tr r="C16" s="5"/>
        <tr r="X112" s="5"/>
        <tr r="N8" s="5"/>
        <tr r="V82" s="5"/>
        <tr r="V151" s="5"/>
        <tr r="D52" s="5"/>
        <tr r="M54" s="5"/>
        <tr r="T121" s="5"/>
        <tr r="V57" s="5"/>
        <tr r="X147" s="5"/>
        <tr r="M19" s="5"/>
        <tr r="V101" s="5"/>
        <tr r="U53" s="5"/>
        <tr r="U127" s="5"/>
        <tr r="X87" s="5"/>
        <tr r="D27" s="5"/>
        <tr r="X135" s="5"/>
        <tr r="T25" s="5"/>
        <tr r="M30" s="5"/>
        <tr r="X126" s="5"/>
        <tr r="W8" s="5"/>
        <tr r="V141" s="5"/>
        <tr r="W112" s="5"/>
        <tr r="T86" s="5"/>
        <tr r="U33" s="5"/>
        <tr r="T131" s="5"/>
        <tr r="V43" s="5"/>
        <tr r="W6" s="5"/>
        <tr r="W94" s="5"/>
        <tr r="D49" s="5"/>
        <tr r="C32" s="5"/>
        <tr r="V108" s="5"/>
        <tr r="N50" s="5"/>
        <tr r="U22" s="5"/>
        <tr r="T27" s="5"/>
        <tr r="W144" s="5"/>
        <tr r="W38" s="5"/>
        <tr r="W140" s="5"/>
        <tr r="N47" s="5"/>
        <tr r="T63" s="5"/>
        <tr r="D53" s="5"/>
        <tr r="V67" s="5"/>
        <tr r="U92" s="5"/>
        <tr r="U150" s="5"/>
        <tr r="U70" s="5"/>
        <tr r="U97" s="5"/>
        <tr r="T80" s="5"/>
        <tr r="V127" s="5"/>
        <tr r="W45" s="5"/>
        <tr r="X134" s="5"/>
        <tr r="W89" s="5"/>
        <tr r="W66" s="5"/>
        <tr r="T32" s="5"/>
        <tr r="V61" s="5"/>
        <tr r="T94" s="5"/>
        <tr r="U145" s="5"/>
        <tr r="C37" s="5"/>
        <tr r="N9" s="5"/>
        <tr r="V31" s="5"/>
        <tr r="T45" s="5"/>
        <tr r="X11" s="5"/>
        <tr r="X13" s="5"/>
        <tr r="D56" s="5"/>
        <tr r="V33" s="5"/>
        <tr r="D18" s="5"/>
        <tr r="W71" s="5"/>
        <tr r="X23" s="5"/>
        <tr r="W69" s="5"/>
        <tr r="V86" s="5"/>
        <tr r="W121" s="5"/>
        <tr r="X136" s="5"/>
        <tr r="M13" s="5"/>
        <tr r="N13" s="5"/>
        <tr r="T18" s="5"/>
        <tr r="D45" s="5"/>
        <tr r="X113" s="5"/>
        <tr r="W98" s="5"/>
        <tr r="X95" s="5"/>
        <tr r="W43" s="5"/>
        <tr r="D43" s="5"/>
        <tr r="V17" s="5"/>
        <tr r="V131" s="5"/>
        <tr r="W149" s="5"/>
        <tr r="T52" s="5"/>
        <tr r="T28" s="5"/>
        <tr r="T37" s="5"/>
        <tr r="U46" s="5"/>
        <tr r="T106" s="5"/>
        <tr r="U7" s="5"/>
        <tr r="N51" s="5"/>
        <tr r="C48" s="5"/>
        <tr r="D48" s="5"/>
        <tr r="T62" s="5"/>
        <tr r="C49" s="5"/>
        <tr r="N4" s="5"/>
        <tr r="X98" s="5"/>
        <tr r="W22" s="5"/>
        <tr r="W47" s="5"/>
        <tr r="M12" s="5"/>
        <tr r="X92" s="5"/>
        <tr r="V25" s="5"/>
        <tr r="T145" s="5"/>
        <tr r="X26" s="5"/>
        <tr r="U60" s="5"/>
        <tr r="N17" s="5"/>
        <tr r="X32" s="5"/>
        <tr r="D38" s="5"/>
        <tr r="W74" s="5"/>
        <tr r="T16" s="5"/>
        <tr r="V104" s="5"/>
        <tr r="T117" s="5"/>
        <tr r="U110" s="5"/>
        <tr r="V79" s="5"/>
        <tr r="V84" s="5"/>
        <tr r="V30" s="5"/>
        <tr r="X78" s="5"/>
        <tr r="X60" s="5"/>
        <tr r="N25" s="5"/>
        <tr r="X51" s="5"/>
        <tr r="T11" s="5"/>
        <tr r="T46" s="5"/>
        <tr r="M52" s="5"/>
        <tr r="U105" s="5"/>
        <tr r="V11" s="5"/>
        <tr r="T152" s="5"/>
        <tr r="W17" s="5"/>
        <tr r="D14" s="5"/>
        <tr r="W9" s="5"/>
        <tr r="U126" s="5"/>
        <tr r="T60" s="5"/>
        <tr r="N28" s="5"/>
        <tr r="X36" s="5"/>
        <tr r="U83" s="5"/>
        <tr r="X133" s="5"/>
        <tr r="X128" s="5"/>
        <tr r="U116" s="5"/>
        <tr r="C34" s="5"/>
        <tr r="V47" s="5"/>
        <tr r="U61" s="5"/>
        <tr r="V93" s="5"/>
        <tr r="W21" s="5"/>
        <tr r="X142" s="5"/>
        <tr r="X8" s="5"/>
        <tr r="V73" s="5"/>
        <tr r="W152" s="5"/>
        <tr r="T144" s="5"/>
        <tr r="T149" s="5"/>
        <tr r="X76" s="5"/>
        <tr r="W92" s="5"/>
        <tr r="T150" s="5"/>
        <tr r="W58" s="5"/>
        <tr r="V146" s="5"/>
        <tr r="X115" s="5"/>
        <tr r="V112" s="5"/>
        <tr r="W32" s="5"/>
        <tr r="U99" s="5"/>
        <tr r="X83" s="5"/>
        <tr r="N37" s="5"/>
        <tr r="V69" s="5"/>
        <tr r="W117" s="5"/>
        <tr r="V148" s="5"/>
        <tr r="W10" s="5"/>
        <tr r="W37" s="5"/>
        <tr r="N46" s="5"/>
        <tr r="X31" s="5"/>
        <tr r="T4" s="5"/>
        <tr r="D25" s="5"/>
        <tr r="M37" s="5"/>
        <tr r="T87" s="5"/>
        <tr r="C27" s="5"/>
        <tr r="V37" s="5"/>
        <tr r="V117" s="5"/>
        <tr r="X40" s="5"/>
        <tr r="C21" s="5"/>
        <tr r="V42" s="5"/>
        <tr r="U48" s="5"/>
        <tr r="X108" s="5"/>
        <tr r="V116" s="5"/>
        <tr r="X56" s="5"/>
        <tr r="T12" s="5"/>
        <tr r="M29" s="5"/>
        <tr r="U20" s="5"/>
        <tr r="C19" s="5"/>
        <tr r="T44" s="5"/>
        <tr r="X123" s="5"/>
        <tr r="N36" s="5"/>
        <tr r="N29" s="5"/>
        <tr r="M44" s="5"/>
        <tr r="V139" s="5"/>
        <tr r="V99" s="5"/>
        <tr r="X110" s="5"/>
        <tr r="T138" s="5"/>
        <tr r="N54" s="5"/>
        <tr r="U80" s="5"/>
        <tr r="W125" s="5"/>
        <tr r="N21" s="5"/>
        <tr r="T123" s="5"/>
        <tr r="U113" s="5"/>
        <tr r="W107" s="5"/>
        <tr r="N55" s="5"/>
        <tr r="E55" s="5"/>
        <tr r="E45" s="5"/>
        <tr r="E39" s="5"/>
        <tr r="O14" s="5"/>
        <tr r="O41" s="5"/>
        <tr r="O11" s="5"/>
        <tr r="O45" s="5"/>
        <tr r="O23" s="5"/>
        <tr r="E47" s="5"/>
        <tr r="O48" s="5"/>
        <tr r="E56" s="5"/>
        <tr r="E51" s="5"/>
        <tr r="E43" s="5"/>
        <tr r="E22" s="5"/>
        <tr r="E52" s="5"/>
        <tr r="E17" s="5"/>
        <tr r="D11" s="5"/>
        <tr r="O43" s="5"/>
        <tr r="O28" s="5"/>
        <tr r="O17" s="5"/>
        <tr r="O39" s="5"/>
        <tr r="E48" s="5"/>
        <tr r="O20" s="5"/>
        <tr r="E44" s="5"/>
        <tr r="E20" s="5"/>
        <tr r="O56" s="5"/>
        <tr r="O55" s="5"/>
        <tr r="O15" s="5"/>
        <tr r="E16" s="5"/>
        <tr r="E33" s="5"/>
        <tr r="O25" s="5"/>
        <tr r="E19" s="5"/>
        <tr r="E36" s="5"/>
        <tr r="E25" s="5"/>
        <tr r="O37" s="5"/>
        <tr r="O29" s="5"/>
        <tr r="O10" s="5"/>
        <tr r="O54" s="5"/>
        <tr r="E30" s="5"/>
        <tr r="E21" s="5"/>
        <tr r="O21" s="5"/>
        <tr r="E13" s="5"/>
        <tr r="O22" s="5"/>
        <tr r="O42" s="5"/>
        <tr r="E28" s="5"/>
        <tr r="E11" s="5"/>
        <tr r="E37" s="5"/>
        <tr r="O44" s="5"/>
        <tr r="E50" s="5"/>
        <tr r="O18" s="5"/>
        <tr r="E27" s="5"/>
        <tr r="O9" s="5"/>
        <tr r="O24" s="5"/>
        <tr r="O12" s="5"/>
        <tr r="O52" s="5"/>
        <tr r="E46" s="5"/>
        <tr r="E40" s="5"/>
        <tr r="E26" s="5"/>
        <tr r="O7" s="5"/>
        <tr r="E41" s="5"/>
        <tr r="E34" s="5"/>
        <tr r="E14" s="5"/>
        <tr r="O13" s="5"/>
        <tr r="O6" s="5"/>
        <tr r="O53" s="5"/>
        <tr r="O19" s="5"/>
        <tr r="O3" s="5"/>
        <tr r="O49" s="5"/>
        <tr r="E53" s="5"/>
        <tr r="O50" s="5"/>
        <tr r="E38" s="5"/>
        <tr r="O27" s="5"/>
        <tr r="O36" s="5"/>
        <tr r="O16" s="5"/>
        <tr r="E23" s="5"/>
        <tr r="E49" s="5"/>
        <tr r="E24" s="5"/>
        <tr r="O35" s="5"/>
        <tr r="O38" s="5"/>
        <tr r="E32" s="5"/>
        <tr r="O40" s="5"/>
        <tr r="E15" s="5"/>
        <tr r="O31" s="5"/>
        <tr r="E31" s="5"/>
        <tr r="E29" s="5"/>
        <tr r="O26" s="5"/>
        <tr r="O47" s="5"/>
        <tr r="O8" s="5"/>
        <tr r="O46" s="5"/>
        <tr r="E54" s="5"/>
        <tr r="O4" s="5"/>
        <tr r="E35" s="5"/>
        <tr r="O30" s="5"/>
        <tr r="E42" s="5"/>
        <tr r="O32" s="5"/>
        <tr r="O33" s="5"/>
        <tr r="O34" s="5"/>
        <tr r="O51" s="5"/>
        <tr r="O5" s="5"/>
        <tr r="E18" s="5"/>
        <tr r="W4" s="5"/>
        <tr r="X3" s="5"/>
        <tr r="C12" s="5"/>
        <tr r="E12" s="5"/>
        <tr r="D12" s="5"/>
      </tp>
    </main>
    <main first="esrtd">
      <tp>
        <v>42929.585416666669</v>
        <stp/>
        <stp>*H</stp>
        <stp>VOD-LON</stp>
        <stp>BarTime</stp>
        <stp>I1</stp>
        <stp/>
        <stp>86</stp>
        <tr r="G24" s="12"/>
      </tp>
      <tp>
        <v>42929.584722222222</v>
        <stp/>
        <stp>*H</stp>
        <stp>VOD-LON</stp>
        <stp>BarTime</stp>
        <stp>I1</stp>
        <stp/>
        <stp>87</stp>
        <tr r="G23" s="12"/>
      </tp>
      <tp>
        <v>42929.586805555555</v>
        <stp/>
        <stp>*H</stp>
        <stp>VOD-LON</stp>
        <stp>BarTime</stp>
        <stp>I1</stp>
        <stp/>
        <stp>84</stp>
        <tr r="G26" s="12"/>
      </tp>
      <tp>
        <v>42929.586111111108</v>
        <stp/>
        <stp>*H</stp>
        <stp>VOD-LON</stp>
        <stp>BarTime</stp>
        <stp>I1</stp>
        <stp/>
        <stp>85</stp>
        <tr r="G25" s="12"/>
      </tp>
      <tp>
        <v>42929.588194444441</v>
        <stp/>
        <stp>*H</stp>
        <stp>VOD-LON</stp>
        <stp>BarTime</stp>
        <stp>I1</stp>
        <stp/>
        <stp>82</stp>
        <tr r="G28" s="12"/>
      </tp>
      <tp>
        <v>42929.587500000001</v>
        <stp/>
        <stp>*H</stp>
        <stp>VOD-LON</stp>
        <stp>BarTime</stp>
        <stp>I1</stp>
        <stp/>
        <stp>83</stp>
        <tr r="G27" s="12"/>
      </tp>
      <tp>
        <v>42929.589583333334</v>
        <stp/>
        <stp>*H</stp>
        <stp>VOD-LON</stp>
        <stp>BarTime</stp>
        <stp>I1</stp>
        <stp/>
        <stp>80</stp>
        <tr r="G30" s="12"/>
      </tp>
      <tp>
        <v>42929.588888888888</v>
        <stp/>
        <stp>*H</stp>
        <stp>VOD-LON</stp>
        <stp>BarTime</stp>
        <stp>I1</stp>
        <stp/>
        <stp>81</stp>
        <tr r="G29" s="12"/>
      </tp>
      <tp>
        <v>42929.584027777775</v>
        <stp/>
        <stp>*H</stp>
        <stp>VOD-LON</stp>
        <stp>BarTime</stp>
        <stp>I1</stp>
        <stp/>
        <stp>88</stp>
        <tr r="G22" s="12"/>
      </tp>
      <tp>
        <v>42929.583333333336</v>
        <stp/>
        <stp>*H</stp>
        <stp>VOD-LON</stp>
        <stp>BarTime</stp>
        <stp>I1</stp>
        <stp/>
        <stp>89</stp>
        <tr r="G21" s="12"/>
      </tp>
      <tp>
        <v>42929.579861111109</v>
        <stp/>
        <stp>*H</stp>
        <stp>VOD-LON</stp>
        <stp>BarTime</stp>
        <stp>I1</stp>
        <stp/>
        <stp>94</stp>
        <tr r="G16" s="12"/>
      </tp>
      <tp>
        <v>42929.57916666667</v>
        <stp/>
        <stp>*H</stp>
        <stp>VOD-LON</stp>
        <stp>BarTime</stp>
        <stp>I1</stp>
        <stp/>
        <stp>95</stp>
        <tr r="G15" s="12"/>
      </tp>
      <tp>
        <v>42929.581250000003</v>
        <stp/>
        <stp>*H</stp>
        <stp>VOD-LON</stp>
        <stp>BarTime</stp>
        <stp>I1</stp>
        <stp/>
        <stp>92</stp>
        <tr r="G18" s="12"/>
      </tp>
      <tp>
        <v>42929.580555555556</v>
        <stp/>
        <stp>*H</stp>
        <stp>VOD-LON</stp>
        <stp>BarTime</stp>
        <stp>I1</stp>
        <stp/>
        <stp>93</stp>
        <tr r="G17" s="12"/>
      </tp>
      <tp>
        <v>42929.582638888889</v>
        <stp/>
        <stp>*H</stp>
        <stp>VOD-LON</stp>
        <stp>BarTime</stp>
        <stp>I1</stp>
        <stp/>
        <stp>90</stp>
        <tr r="G20" s="12"/>
      </tp>
      <tp>
        <v>42929.581944444442</v>
        <stp/>
        <stp>*H</stp>
        <stp>VOD-LON</stp>
        <stp>BarTime</stp>
        <stp>I1</stp>
        <stp/>
        <stp>91</stp>
        <tr r="G19" s="12"/>
      </tp>
      <tp>
        <v>42929.634027777778</v>
        <stp/>
        <stp>*H</stp>
        <stp>VOD-LON</stp>
        <stp>BarTime</stp>
        <stp>I1</stp>
        <stp/>
        <stp>16</stp>
        <tr r="G94" s="12"/>
      </tp>
      <tp>
        <v>42929.633333333331</v>
        <stp/>
        <stp>*H</stp>
        <stp>VOD-LON</stp>
        <stp>BarTime</stp>
        <stp>I1</stp>
        <stp/>
        <stp>17</stp>
        <tr r="G93" s="12"/>
      </tp>
      <tp>
        <v>42929.635416666664</v>
        <stp/>
        <stp>*H</stp>
        <stp>VOD-LON</stp>
        <stp>BarTime</stp>
        <stp>I1</stp>
        <stp/>
        <stp>14</stp>
        <tr r="G96" s="12"/>
      </tp>
      <tp>
        <v>42929.634722222225</v>
        <stp/>
        <stp>*H</stp>
        <stp>VOD-LON</stp>
        <stp>BarTime</stp>
        <stp>I1</stp>
        <stp/>
        <stp>15</stp>
        <tr r="G95" s="12"/>
      </tp>
      <tp>
        <v>42929.636805555558</v>
        <stp/>
        <stp>*H</stp>
        <stp>VOD-LON</stp>
        <stp>BarTime</stp>
        <stp>I1</stp>
        <stp/>
        <stp>12</stp>
        <tr r="G98" s="12"/>
      </tp>
      <tp>
        <v>42929.636111111111</v>
        <stp/>
        <stp>*H</stp>
        <stp>VOD-LON</stp>
        <stp>BarTime</stp>
        <stp>I1</stp>
        <stp/>
        <stp>13</stp>
        <tr r="G97" s="12"/>
      </tp>
      <tp>
        <v>42929.638194444444</v>
        <stp/>
        <stp>*H</stp>
        <stp>VOD-LON</stp>
        <stp>BarTime</stp>
        <stp>I1</stp>
        <stp/>
        <stp>10</stp>
        <tr r="G100" s="12"/>
      </tp>
      <tp>
        <v>42929.637499999997</v>
        <stp/>
        <stp>*H</stp>
        <stp>VOD-LON</stp>
        <stp>BarTime</stp>
        <stp>I1</stp>
        <stp/>
        <stp>11</stp>
        <tr r="G99" s="12"/>
      </tp>
      <tp>
        <v>42929.632638888892</v>
        <stp/>
        <stp>*H</stp>
        <stp>VOD-LON</stp>
        <stp>BarTime</stp>
        <stp>I1</stp>
        <stp/>
        <stp>18</stp>
        <tr r="G92" s="12"/>
      </tp>
      <tp>
        <v>42929.631944444445</v>
        <stp/>
        <stp>*H</stp>
        <stp>VOD-LON</stp>
        <stp>BarTime</stp>
        <stp>I1</stp>
        <stp/>
        <stp>19</stp>
        <tr r="G91" s="12"/>
      </tp>
      <tp>
        <v>42929.627083333333</v>
        <stp/>
        <stp>*H</stp>
        <stp>VOD-LON</stp>
        <stp>BarTime</stp>
        <stp>I1</stp>
        <stp/>
        <stp>26</stp>
        <tr r="G84" s="12"/>
      </tp>
      <tp>
        <v>42929.626388888886</v>
        <stp/>
        <stp>*H</stp>
        <stp>VOD-LON</stp>
        <stp>BarTime</stp>
        <stp>I1</stp>
        <stp/>
        <stp>27</stp>
        <tr r="G83" s="12"/>
      </tp>
      <tp>
        <v>42929.628472222219</v>
        <stp/>
        <stp>*H</stp>
        <stp>VOD-LON</stp>
        <stp>BarTime</stp>
        <stp>I1</stp>
        <stp/>
        <stp>24</stp>
        <tr r="G86" s="12"/>
      </tp>
      <tp>
        <v>42929.62777777778</v>
        <stp/>
        <stp>*H</stp>
        <stp>VOD-LON</stp>
        <stp>BarTime</stp>
        <stp>I1</stp>
        <stp/>
        <stp>25</stp>
        <tr r="G85" s="12"/>
      </tp>
      <tp>
        <v>42929.629861111112</v>
        <stp/>
        <stp>*H</stp>
        <stp>VOD-LON</stp>
        <stp>BarTime</stp>
        <stp>I1</stp>
        <stp/>
        <stp>22</stp>
        <tr r="G88" s="12"/>
      </tp>
      <tp>
        <v>42929.629166666666</v>
        <stp/>
        <stp>*H</stp>
        <stp>VOD-LON</stp>
        <stp>BarTime</stp>
        <stp>I1</stp>
        <stp/>
        <stp>23</stp>
        <tr r="G87" s="12"/>
      </tp>
      <tp>
        <v>42929.631249999999</v>
        <stp/>
        <stp>*H</stp>
        <stp>VOD-LON</stp>
        <stp>BarTime</stp>
        <stp>I1</stp>
        <stp/>
        <stp>20</stp>
        <tr r="G90" s="12"/>
      </tp>
      <tp>
        <v>42929.630555555559</v>
        <stp/>
        <stp>*H</stp>
        <stp>VOD-LON</stp>
        <stp>BarTime</stp>
        <stp>I1</stp>
        <stp/>
        <stp>21</stp>
        <tr r="G89" s="12"/>
      </tp>
      <tp>
        <v>42929.625694444447</v>
        <stp/>
        <stp>*H</stp>
        <stp>VOD-LON</stp>
        <stp>BarTime</stp>
        <stp>I1</stp>
        <stp/>
        <stp>28</stp>
        <tr r="G82" s="12"/>
      </tp>
      <tp>
        <v>42929.625</v>
        <stp/>
        <stp>*H</stp>
        <stp>VOD-LON</stp>
        <stp>BarTime</stp>
        <stp>I1</stp>
        <stp/>
        <stp>29</stp>
        <tr r="G81" s="12"/>
      </tp>
      <tp>
        <v>42929.620138888888</v>
        <stp/>
        <stp>*H</stp>
        <stp>VOD-LON</stp>
        <stp>BarTime</stp>
        <stp>I1</stp>
        <stp/>
        <stp>36</stp>
        <tr r="G74" s="12"/>
      </tp>
      <tp>
        <v>42929.619444444441</v>
        <stp/>
        <stp>*H</stp>
        <stp>VOD-LON</stp>
        <stp>BarTime</stp>
        <stp>I1</stp>
        <stp/>
        <stp>37</stp>
        <tr r="G73" s="12"/>
      </tp>
      <tp>
        <v>42929.621527777781</v>
        <stp/>
        <stp>*H</stp>
        <stp>VOD-LON</stp>
        <stp>BarTime</stp>
        <stp>I1</stp>
        <stp/>
        <stp>34</stp>
        <tr r="G76" s="12"/>
      </tp>
      <tp>
        <v>42929.620833333334</v>
        <stp/>
        <stp>*H</stp>
        <stp>VOD-LON</stp>
        <stp>BarTime</stp>
        <stp>I1</stp>
        <stp/>
        <stp>35</stp>
        <tr r="G75" s="12"/>
      </tp>
      <tp>
        <v>42929.622916666667</v>
        <stp/>
        <stp>*H</stp>
        <stp>VOD-LON</stp>
        <stp>BarTime</stp>
        <stp>I1</stp>
        <stp/>
        <stp>32</stp>
        <tr r="G78" s="12"/>
      </tp>
      <tp>
        <v>42929.62222222222</v>
        <stp/>
        <stp>*H</stp>
        <stp>VOD-LON</stp>
        <stp>BarTime</stp>
        <stp>I1</stp>
        <stp/>
        <stp>33</stp>
        <tr r="G77" s="12"/>
      </tp>
      <tp>
        <v>42929.624305555553</v>
        <stp/>
        <stp>*H</stp>
        <stp>VOD-LON</stp>
        <stp>BarTime</stp>
        <stp>I1</stp>
        <stp/>
        <stp>30</stp>
        <tr r="G80" s="12"/>
      </tp>
      <tp>
        <v>42929.623611111114</v>
        <stp/>
        <stp>*H</stp>
        <stp>VOD-LON</stp>
        <stp>BarTime</stp>
        <stp>I1</stp>
        <stp/>
        <stp>31</stp>
        <tr r="G79" s="12"/>
      </tp>
      <tp>
        <v>42929.618750000001</v>
        <stp/>
        <stp>*H</stp>
        <stp>VOD-LON</stp>
        <stp>BarTime</stp>
        <stp>I1</stp>
        <stp/>
        <stp>38</stp>
        <tr r="G72" s="12"/>
      </tp>
      <tp>
        <v>42929.618055555555</v>
        <stp/>
        <stp>*H</stp>
        <stp>VOD-LON</stp>
        <stp>BarTime</stp>
        <stp>I1</stp>
        <stp/>
        <stp>39</stp>
        <tr r="G71" s="12"/>
      </tp>
      <tp>
        <v>42929.613194444442</v>
        <stp/>
        <stp>*H</stp>
        <stp>VOD-LON</stp>
        <stp>BarTime</stp>
        <stp>I1</stp>
        <stp/>
        <stp>46</stp>
        <tr r="G64" s="12"/>
      </tp>
      <tp>
        <v>42929.612500000003</v>
        <stp/>
        <stp>*H</stp>
        <stp>VOD-LON</stp>
        <stp>BarTime</stp>
        <stp>I1</stp>
        <stp/>
        <stp>47</stp>
        <tr r="G63" s="12"/>
      </tp>
      <tp>
        <v>42929.614583333336</v>
        <stp/>
        <stp>*H</stp>
        <stp>VOD-LON</stp>
        <stp>BarTime</stp>
        <stp>I1</stp>
        <stp/>
        <stp>44</stp>
        <tr r="G66" s="12"/>
      </tp>
      <tp>
        <v>42929.613888888889</v>
        <stp/>
        <stp>*H</stp>
        <stp>VOD-LON</stp>
        <stp>BarTime</stp>
        <stp>I1</stp>
        <stp/>
        <stp>45</stp>
        <tr r="G65" s="12"/>
      </tp>
      <tp>
        <v>42929.615972222222</v>
        <stp/>
        <stp>*H</stp>
        <stp>VOD-LON</stp>
        <stp>BarTime</stp>
        <stp>I1</stp>
        <stp/>
        <stp>42</stp>
        <tr r="G68" s="12"/>
      </tp>
      <tp>
        <v>42929.615277777775</v>
        <stp/>
        <stp>*H</stp>
        <stp>VOD-LON</stp>
        <stp>BarTime</stp>
        <stp>I1</stp>
        <stp/>
        <stp>43</stp>
        <tr r="G67" s="12"/>
      </tp>
      <tp>
        <v>42929.617361111108</v>
        <stp/>
        <stp>*H</stp>
        <stp>VOD-LON</stp>
        <stp>BarTime</stp>
        <stp>I1</stp>
        <stp/>
        <stp>40</stp>
        <tr r="G70" s="12"/>
      </tp>
      <tp>
        <v>42929.616666666669</v>
        <stp/>
        <stp>*H</stp>
        <stp>VOD-LON</stp>
        <stp>BarTime</stp>
        <stp>I1</stp>
        <stp/>
        <stp>41</stp>
        <tr r="G69" s="12"/>
      </tp>
      <tp>
        <v>42929.611805555556</v>
        <stp/>
        <stp>*H</stp>
        <stp>VOD-LON</stp>
        <stp>BarTime</stp>
        <stp>I1</stp>
        <stp/>
        <stp>48</stp>
        <tr r="G62" s="12"/>
      </tp>
      <tp>
        <v>42929.611111111109</v>
        <stp/>
        <stp>*H</stp>
        <stp>VOD-LON</stp>
        <stp>BarTime</stp>
        <stp>I1</stp>
        <stp/>
        <stp>49</stp>
        <tr r="G61" s="12"/>
      </tp>
      <tp>
        <v>42929.606249999997</v>
        <stp/>
        <stp>*H</stp>
        <stp>VOD-LON</stp>
        <stp>BarTime</stp>
        <stp>I1</stp>
        <stp/>
        <stp>56</stp>
        <tr r="G54" s="12"/>
      </tp>
      <tp>
        <v>42929.605555555558</v>
        <stp/>
        <stp>*H</stp>
        <stp>VOD-LON</stp>
        <stp>BarTime</stp>
        <stp>I1</stp>
        <stp/>
        <stp>57</stp>
        <tr r="G53" s="12"/>
      </tp>
      <tp>
        <v>42929.607638888891</v>
        <stp/>
        <stp>*H</stp>
        <stp>VOD-LON</stp>
        <stp>BarTime</stp>
        <stp>I1</stp>
        <stp/>
        <stp>54</stp>
        <tr r="G56" s="12"/>
      </tp>
      <tp>
        <v>42929.606944444444</v>
        <stp/>
        <stp>*H</stp>
        <stp>VOD-LON</stp>
        <stp>BarTime</stp>
        <stp>I1</stp>
        <stp/>
        <stp>55</stp>
        <tr r="G55" s="12"/>
      </tp>
      <tp>
        <v>42929.609027777777</v>
        <stp/>
        <stp>*H</stp>
        <stp>VOD-LON</stp>
        <stp>BarTime</stp>
        <stp>I1</stp>
        <stp/>
        <stp>52</stp>
        <tr r="G58" s="12"/>
      </tp>
      <tp>
        <v>42929.60833333333</v>
        <stp/>
        <stp>*H</stp>
        <stp>VOD-LON</stp>
        <stp>BarTime</stp>
        <stp>I1</stp>
        <stp/>
        <stp>53</stp>
        <tr r="G57" s="12"/>
      </tp>
      <tp>
        <v>42929.61041666667</v>
        <stp/>
        <stp>*H</stp>
        <stp>VOD-LON</stp>
        <stp>BarTime</stp>
        <stp>I1</stp>
        <stp/>
        <stp>50</stp>
        <tr r="G60" s="12"/>
      </tp>
      <tp>
        <v>42929.609722222223</v>
        <stp/>
        <stp>*H</stp>
        <stp>VOD-LON</stp>
        <stp>BarTime</stp>
        <stp>I1</stp>
        <stp/>
        <stp>51</stp>
        <tr r="G59" s="12"/>
      </tp>
      <tp>
        <v>42929.604861111111</v>
        <stp/>
        <stp>*H</stp>
        <stp>VOD-LON</stp>
        <stp>BarTime</stp>
        <stp>I1</stp>
        <stp/>
        <stp>58</stp>
        <tr r="G52" s="12"/>
      </tp>
      <tp>
        <v>42929.604166666664</v>
        <stp/>
        <stp>*H</stp>
        <stp>VOD-LON</stp>
        <stp>BarTime</stp>
        <stp>I1</stp>
        <stp/>
        <stp>59</stp>
        <tr r="G51" s="12"/>
      </tp>
      <tp>
        <v>42929.599305555559</v>
        <stp/>
        <stp>*H</stp>
        <stp>VOD-LON</stp>
        <stp>BarTime</stp>
        <stp>I1</stp>
        <stp/>
        <stp>66</stp>
        <tr r="G44" s="12"/>
      </tp>
      <tp>
        <v>42929.598611111112</v>
        <stp/>
        <stp>*H</stp>
        <stp>VOD-LON</stp>
        <stp>BarTime</stp>
        <stp>I1</stp>
        <stp/>
        <stp>67</stp>
        <tr r="G43" s="12"/>
      </tp>
      <tp>
        <v>42929.600694444445</v>
        <stp/>
        <stp>*H</stp>
        <stp>VOD-LON</stp>
        <stp>BarTime</stp>
        <stp>I1</stp>
        <stp/>
        <stp>64</stp>
        <tr r="G46" s="12"/>
      </tp>
      <tp>
        <v>42929.599999999999</v>
        <stp/>
        <stp>*H</stp>
        <stp>VOD-LON</stp>
        <stp>BarTime</stp>
        <stp>I1</stp>
        <stp/>
        <stp>65</stp>
        <tr r="G45" s="12"/>
      </tp>
      <tp>
        <v>42929.602083333331</v>
        <stp/>
        <stp>*H</stp>
        <stp>VOD-LON</stp>
        <stp>BarTime</stp>
        <stp>I1</stp>
        <stp/>
        <stp>62</stp>
        <tr r="G48" s="12"/>
      </tp>
      <tp>
        <v>42929.601388888892</v>
        <stp/>
        <stp>*H</stp>
        <stp>VOD-LON</stp>
        <stp>BarTime</stp>
        <stp>I1</stp>
        <stp/>
        <stp>63</stp>
        <tr r="G47" s="12"/>
      </tp>
      <tp>
        <v>42929.603472222225</v>
        <stp/>
        <stp>*H</stp>
        <stp>VOD-LON</stp>
        <stp>BarTime</stp>
        <stp>I1</stp>
        <stp/>
        <stp>60</stp>
        <tr r="G50" s="12"/>
      </tp>
      <tp>
        <v>42929.602777777778</v>
        <stp/>
        <stp>*H</stp>
        <stp>VOD-LON</stp>
        <stp>BarTime</stp>
        <stp>I1</stp>
        <stp/>
        <stp>61</stp>
        <tr r="G49" s="12"/>
      </tp>
      <tp>
        <v>42929.597916666666</v>
        <stp/>
        <stp>*H</stp>
        <stp>VOD-LON</stp>
        <stp>BarTime</stp>
        <stp>I1</stp>
        <stp/>
        <stp>68</stp>
        <tr r="G42" s="12"/>
      </tp>
      <tp>
        <v>42929.597222222219</v>
        <stp/>
        <stp>*H</stp>
        <stp>VOD-LON</stp>
        <stp>BarTime</stp>
        <stp>I1</stp>
        <stp/>
        <stp>69</stp>
        <tr r="G41" s="12"/>
      </tp>
      <tp>
        <v>42929.592361111114</v>
        <stp/>
        <stp>*H</stp>
        <stp>VOD-LON</stp>
        <stp>BarTime</stp>
        <stp>I1</stp>
        <stp/>
        <stp>76</stp>
        <tr r="G34" s="12"/>
      </tp>
      <tp>
        <v>42929.591666666667</v>
        <stp/>
        <stp>*H</stp>
        <stp>VOD-LON</stp>
        <stp>BarTime</stp>
        <stp>I1</stp>
        <stp/>
        <stp>77</stp>
        <tr r="G33" s="12"/>
      </tp>
      <tp>
        <v>42929.59375</v>
        <stp/>
        <stp>*H</stp>
        <stp>VOD-LON</stp>
        <stp>BarTime</stp>
        <stp>I1</stp>
        <stp/>
        <stp>74</stp>
        <tr r="G36" s="12"/>
      </tp>
      <tp>
        <v>42929.593055555553</v>
        <stp/>
        <stp>*H</stp>
        <stp>VOD-LON</stp>
        <stp>BarTime</stp>
        <stp>I1</stp>
        <stp/>
        <stp>75</stp>
        <tr r="G35" s="12"/>
      </tp>
      <tp>
        <v>42929.595138888886</v>
        <stp/>
        <stp>*H</stp>
        <stp>VOD-LON</stp>
        <stp>BarTime</stp>
        <stp>I1</stp>
        <stp/>
        <stp>72</stp>
        <tr r="G38" s="12"/>
      </tp>
      <tp>
        <v>42929.594444444447</v>
        <stp/>
        <stp>*H</stp>
        <stp>VOD-LON</stp>
        <stp>BarTime</stp>
        <stp>I1</stp>
        <stp/>
        <stp>73</stp>
        <tr r="G37" s="12"/>
      </tp>
      <tp>
        <v>42929.59652777778</v>
        <stp/>
        <stp>*H</stp>
        <stp>VOD-LON</stp>
        <stp>BarTime</stp>
        <stp>I1</stp>
        <stp/>
        <stp>70</stp>
        <tr r="G40" s="12"/>
      </tp>
      <tp>
        <v>42929.595833333333</v>
        <stp/>
        <stp>*H</stp>
        <stp>VOD-LON</stp>
        <stp>BarTime</stp>
        <stp>I1</stp>
        <stp/>
        <stp>71</stp>
        <tr r="G39" s="12"/>
      </tp>
      <tp>
        <v>42929.59097222222</v>
        <stp/>
        <stp>*H</stp>
        <stp>VOD-LON</stp>
        <stp>BarTime</stp>
        <stp>I1</stp>
        <stp/>
        <stp>78</stp>
        <tr r="G32" s="12"/>
      </tp>
      <tp>
        <v>42929.590277777781</v>
        <stp/>
        <stp>*H</stp>
        <stp>VOD-LON</stp>
        <stp>BarTime</stp>
        <stp>I1</stp>
        <stp/>
        <stp>79</stp>
        <tr r="G31" s="12"/>
      </tp>
      <tp>
        <v>36029</v>
        <stp/>
        <stp>LAM-LON.Volume</stp>
        <tr r="D7" s="5"/>
      </tp>
      <tp>
        <v>195995</v>
        <stp/>
        <stp>IGG-LON.Volume</stp>
        <tr r="D6" s="5"/>
      </tp>
      <tp>
        <v>22380354</v>
        <stp/>
        <stp>VOD-LON.Volume</stp>
        <tr r="D10" s="5"/>
        <tr r="I5" s="5"/>
      </tp>
      <tp>
        <v>278659</v>
        <stp/>
        <stp>RTN-LON.Volume</stp>
        <tr r="D9" s="5"/>
        <tr r="I4" s="5"/>
      </tp>
      <tp>
        <v>2904257</v>
        <stp/>
        <stp>MEO-XET.Volume</stp>
        <tr r="D8" s="5"/>
      </tp>
      <tp>
        <v>42929.645370370374</v>
        <stp/>
        <stp>FR-EEB.Last_Time</stp>
        <tr r="E5" s="5"/>
      </tp>
    </main>
    <main first="esrtd">
      <tp>
        <v>560</v>
        <stp/>
        <stp>DNLM-LON.Last</stp>
        <tr r="C3" s="5"/>
      </tp>
    </main>
    <main first="esrtd">
      <tp t="s">
        <v/>
        <stp/>
        <stp>.Last</stp>
        <tr r="H19" s="5"/>
        <tr r="H17" s="5"/>
        <tr r="H40" s="5"/>
        <tr r="H46" s="5"/>
        <tr r="H22" s="5"/>
        <tr r="H16" s="5"/>
        <tr r="H13" s="5"/>
        <tr r="H7" s="5"/>
        <tr r="H31" s="5"/>
        <tr r="H50" s="5"/>
        <tr r="H24" s="5"/>
        <tr r="H34" s="5"/>
        <tr r="H45" s="5"/>
        <tr r="H6" s="5"/>
        <tr r="H43" s="5"/>
        <tr r="H38" s="5"/>
        <tr r="H36" s="5"/>
        <tr r="H42" s="5"/>
        <tr r="H33" s="5"/>
        <tr r="H12" s="5"/>
        <tr r="H29" s="5"/>
        <tr r="H25" s="5"/>
        <tr r="H14" s="5"/>
        <tr r="H27" s="5"/>
        <tr r="H35" s="5"/>
        <tr r="H18" s="5"/>
        <tr r="H11" s="5"/>
        <tr r="H20" s="5"/>
        <tr r="H23" s="5"/>
        <tr r="H47" s="5"/>
        <tr r="H49" s="5"/>
        <tr r="H44" s="5"/>
        <tr r="H39" s="5"/>
        <tr r="H32" s="5"/>
        <tr r="H9" s="5"/>
        <tr r="H8" s="5"/>
        <tr r="H30" s="5"/>
        <tr r="H48" s="5"/>
        <tr r="H41" s="5"/>
        <tr r="H28" s="5"/>
        <tr r="H21" s="5"/>
        <tr r="H26" s="5"/>
        <tr r="H37" s="5"/>
        <tr r="H15" s="5"/>
        <tr r="H10" s="5"/>
        <tr r="C54" s="5"/>
        <tr r="M3" s="5"/>
        <tr r="M53" s="5"/>
        <tr r="M25" s="5"/>
        <tr r="C18" s="5"/>
        <tr r="M40" s="5"/>
        <tr r="C24" s="5"/>
        <tr r="M38" s="5"/>
        <tr r="C28" s="5"/>
        <tr r="M15" s="5"/>
        <tr r="M10" s="5"/>
        <tr r="M51" s="5"/>
        <tr r="C29" s="5"/>
        <tr r="M28" s="5"/>
        <tr r="C11" s="5"/>
        <tr r="M22" s="5"/>
        <tr r="C46" s="5"/>
        <tr r="C47" s="5"/>
        <tr r="M20" s="5"/>
        <tr r="C35" s="5"/>
        <tr r="C25" s="5"/>
        <tr r="C42" s="5"/>
        <tr r="M11" s="5"/>
        <tr r="M8" s="5"/>
        <tr r="M45" s="5"/>
        <tr r="C17" s="5"/>
        <tr r="C39" s="5"/>
        <tr r="C43" s="5"/>
        <tr r="C53" s="5"/>
        <tr r="M56" s="5"/>
        <tr r="C36" s="5"/>
        <tr r="M35" s="5"/>
        <tr r="M47" s="5"/>
        <tr r="M21" s="5"/>
        <tr r="C41" s="5"/>
        <tr r="M31" s="5"/>
        <tr r="C50" s="5"/>
        <tr r="C31" s="5"/>
        <tr r="M34" s="5"/>
        <tr r="C20" s="5"/>
        <tr r="M42" s="5"/>
        <tr r="C56" s="5"/>
        <tr r="M9" s="5"/>
        <tr r="M55" s="5"/>
        <tr r="C26" s="5"/>
        <tr r="M6" s="5"/>
        <tr r="M5" s="5"/>
        <tr r="C22" s="5"/>
        <tr r="M14" s="5"/>
        <tr r="C23" s="5"/>
        <tr r="M23" s="5"/>
        <tr r="C51" s="5"/>
        <tr r="M27" s="5"/>
        <tr r="M39" s="5"/>
        <tr r="M36" s="5"/>
        <tr r="M48" s="5"/>
        <tr r="M43" s="5"/>
        <tr r="C30" s="5"/>
        <tr r="M32" s="5"/>
        <tr r="C33" s="5"/>
        <tr r="M17" s="5"/>
        <tr r="M4" s="5"/>
        <tr r="M16" s="5"/>
        <tr r="M33" s="5"/>
        <tr r="M18" s="5"/>
        <tr r="M50" s="5"/>
        <tr r="M7" s="5"/>
        <tr r="M49" s="5"/>
        <tr r="M41" s="5"/>
        <tr r="C55" s="5"/>
        <tr r="C52" s="5"/>
        <tr r="C40" s="5"/>
        <tr r="M46" s="5"/>
        <tr r="M24" s="5"/>
        <tr r="C13" s="5"/>
        <tr r="C45" s="5"/>
        <tr r="M26" s="5"/>
        <tr r="C15" s="5"/>
        <tr r="C38" s="5"/>
        <tr r="C14" s="5"/>
        <tr r="C44" s="5"/>
        <tr r="C16" s="5"/>
        <tr r="M54" s="5"/>
        <tr r="M19" s="5"/>
        <tr r="M30" s="5"/>
        <tr r="C32" s="5"/>
        <tr r="C37" s="5"/>
        <tr r="M13" s="5"/>
        <tr r="C48" s="5"/>
        <tr r="C49" s="5"/>
        <tr r="M12" s="5"/>
        <tr r="M52" s="5"/>
        <tr r="C34" s="5"/>
        <tr r="M37" s="5"/>
        <tr r="C27" s="5"/>
        <tr r="C21" s="5"/>
        <tr r="M29" s="5"/>
        <tr r="C19" s="5"/>
        <tr r="M44" s="5"/>
        <tr r="C12" s="5"/>
      </tp>
    </main>
    <main first="esrtd">
      <tp>
        <v>343</v>
        <stp/>
        <stp>FENR-LON.Last</stp>
        <tr r="C4" s="5"/>
      </tp>
    </main>
    <main first="esrtd">
      <tp>
        <v>63.83</v>
        <stp/>
        <stp>FR-EEB.Last</stp>
        <tr r="C5" s="5"/>
      </tp>
    </main>
    <main first="esrtd">
      <tp>
        <v>42929.541666666664</v>
        <stp/>
        <stp>*H</stp>
        <stp>VOD-LON</stp>
        <stp>Intraday_Date</stp>
        <stp>I1</stp>
        <stp/>
        <stp>88</stp>
        <tr r="H22" s="12"/>
      </tp>
      <tp>
        <v>42929.541666666664</v>
        <stp/>
        <stp>*H</stp>
        <stp>VOD-LON</stp>
        <stp>Intraday_Date</stp>
        <stp>I1</stp>
        <stp/>
        <stp>89</stp>
        <tr r="H21" s="12"/>
      </tp>
      <tp>
        <v>42929.541666666664</v>
        <stp/>
        <stp>*H</stp>
        <stp>VOD-LON</stp>
        <stp>Intraday_Date</stp>
        <stp>I1</stp>
        <stp/>
        <stp>82</stp>
        <tr r="H28" s="12"/>
      </tp>
      <tp>
        <v>42929.541666666664</v>
        <stp/>
        <stp>*H</stp>
        <stp>VOD-LON</stp>
        <stp>Intraday_Date</stp>
        <stp>I1</stp>
        <stp/>
        <stp>83</stp>
        <tr r="H27" s="12"/>
      </tp>
      <tp>
        <v>42929.541666666664</v>
        <stp/>
        <stp>*H</stp>
        <stp>VOD-LON</stp>
        <stp>Intraday_Date</stp>
        <stp>I1</stp>
        <stp/>
        <stp>80</stp>
        <tr r="H30" s="12"/>
      </tp>
      <tp>
        <v>42929.541666666664</v>
        <stp/>
        <stp>*H</stp>
        <stp>VOD-LON</stp>
        <stp>Intraday_Date</stp>
        <stp>I1</stp>
        <stp/>
        <stp>81</stp>
        <tr r="H29" s="12"/>
      </tp>
      <tp>
        <v>42929.541666666664</v>
        <stp/>
        <stp>*H</stp>
        <stp>VOD-LON</stp>
        <stp>Intraday_Date</stp>
        <stp>I1</stp>
        <stp/>
        <stp>86</stp>
        <tr r="H24" s="12"/>
      </tp>
      <tp>
        <v>42929.541666666664</v>
        <stp/>
        <stp>*H</stp>
        <stp>VOD-LON</stp>
        <stp>Intraday_Date</stp>
        <stp>I1</stp>
        <stp/>
        <stp>87</stp>
        <tr r="H23" s="12"/>
      </tp>
      <tp>
        <v>42929.541666666664</v>
        <stp/>
        <stp>*H</stp>
        <stp>VOD-LON</stp>
        <stp>Intraday_Date</stp>
        <stp>I1</stp>
        <stp/>
        <stp>84</stp>
        <tr r="H26" s="12"/>
      </tp>
      <tp>
        <v>42929.541666666664</v>
        <stp/>
        <stp>*H</stp>
        <stp>VOD-LON</stp>
        <stp>Intraday_Date</stp>
        <stp>I1</stp>
        <stp/>
        <stp>85</stp>
        <tr r="H25" s="12"/>
      </tp>
      <tp>
        <v>42929.541666666664</v>
        <stp/>
        <stp>*H</stp>
        <stp>VOD-LON</stp>
        <stp>Intraday_Date</stp>
        <stp>I1</stp>
        <stp/>
        <stp>92</stp>
        <tr r="H18" s="12"/>
      </tp>
      <tp>
        <v>42929.541666666664</v>
        <stp/>
        <stp>*H</stp>
        <stp>VOD-LON</stp>
        <stp>Intraday_Date</stp>
        <stp>I1</stp>
        <stp/>
        <stp>93</stp>
        <tr r="H17" s="12"/>
      </tp>
      <tp>
        <v>42929.541666666664</v>
        <stp/>
        <stp>*H</stp>
        <stp>VOD-LON</stp>
        <stp>Intraday_Date</stp>
        <stp>I1</stp>
        <stp/>
        <stp>90</stp>
        <tr r="H20" s="12"/>
      </tp>
      <tp>
        <v>42929.541666666664</v>
        <stp/>
        <stp>*H</stp>
        <stp>VOD-LON</stp>
        <stp>Intraday_Date</stp>
        <stp>I1</stp>
        <stp/>
        <stp>91</stp>
        <tr r="H19" s="12"/>
      </tp>
      <tp>
        <v>42929.541666666664</v>
        <stp/>
        <stp>*H</stp>
        <stp>VOD-LON</stp>
        <stp>Intraday_Date</stp>
        <stp>I1</stp>
        <stp/>
        <stp>94</stp>
        <tr r="H16" s="12"/>
      </tp>
      <tp>
        <v>42929.541666666664</v>
        <stp/>
        <stp>*H</stp>
        <stp>VOD-LON</stp>
        <stp>Intraday_Date</stp>
        <stp>I1</stp>
        <stp/>
        <stp>95</stp>
        <tr r="H15" s="12"/>
      </tp>
      <tp>
        <v>42929.541666666664</v>
        <stp/>
        <stp>*H</stp>
        <stp>VOD-LON</stp>
        <stp>Intraday_Date</stp>
        <stp>I1</stp>
        <stp/>
        <stp>68</stp>
        <tr r="H42" s="12"/>
      </tp>
      <tp>
        <v>42929.541666666664</v>
        <stp/>
        <stp>*H</stp>
        <stp>VOD-LON</stp>
        <stp>Intraday_Date</stp>
        <stp>I1</stp>
        <stp/>
        <stp>69</stp>
        <tr r="H41" s="12"/>
      </tp>
      <tp>
        <v>42929.541666666664</v>
        <stp/>
        <stp>*H</stp>
        <stp>VOD-LON</stp>
        <stp>Intraday_Date</stp>
        <stp>I1</stp>
        <stp/>
        <stp>62</stp>
        <tr r="H48" s="12"/>
      </tp>
      <tp>
        <v>42929.541666666664</v>
        <stp/>
        <stp>*H</stp>
        <stp>VOD-LON</stp>
        <stp>Intraday_Date</stp>
        <stp>I1</stp>
        <stp/>
        <stp>63</stp>
        <tr r="H47" s="12"/>
      </tp>
      <tp>
        <v>42929.541666666664</v>
        <stp/>
        <stp>*H</stp>
        <stp>VOD-LON</stp>
        <stp>Intraday_Date</stp>
        <stp>I1</stp>
        <stp/>
        <stp>60</stp>
        <tr r="H50" s="12"/>
      </tp>
      <tp>
        <v>42929.541666666664</v>
        <stp/>
        <stp>*H</stp>
        <stp>VOD-LON</stp>
        <stp>Intraday_Date</stp>
        <stp>I1</stp>
        <stp/>
        <stp>61</stp>
        <tr r="H49" s="12"/>
      </tp>
      <tp>
        <v>42929.541666666664</v>
        <stp/>
        <stp>*H</stp>
        <stp>VOD-LON</stp>
        <stp>Intraday_Date</stp>
        <stp>I1</stp>
        <stp/>
        <stp>66</stp>
        <tr r="H44" s="12"/>
      </tp>
      <tp>
        <v>42929.541666666664</v>
        <stp/>
        <stp>*H</stp>
        <stp>VOD-LON</stp>
        <stp>Intraday_Date</stp>
        <stp>I1</stp>
        <stp/>
        <stp>67</stp>
        <tr r="H43" s="12"/>
      </tp>
      <tp>
        <v>42929.541666666664</v>
        <stp/>
        <stp>*H</stp>
        <stp>VOD-LON</stp>
        <stp>Intraday_Date</stp>
        <stp>I1</stp>
        <stp/>
        <stp>64</stp>
        <tr r="H46" s="12"/>
      </tp>
      <tp>
        <v>42929.541666666664</v>
        <stp/>
        <stp>*H</stp>
        <stp>VOD-LON</stp>
        <stp>Intraday_Date</stp>
        <stp>I1</stp>
        <stp/>
        <stp>65</stp>
        <tr r="H45" s="12"/>
      </tp>
      <tp>
        <v>42929.541666666664</v>
        <stp/>
        <stp>*H</stp>
        <stp>VOD-LON</stp>
        <stp>Intraday_Date</stp>
        <stp>I1</stp>
        <stp/>
        <stp>78</stp>
        <tr r="H32" s="12"/>
      </tp>
      <tp>
        <v>42929.541666666664</v>
        <stp/>
        <stp>*H</stp>
        <stp>VOD-LON</stp>
        <stp>Intraday_Date</stp>
        <stp>I1</stp>
        <stp/>
        <stp>79</stp>
        <tr r="H31" s="12"/>
      </tp>
      <tp>
        <v>42929.541666666664</v>
        <stp/>
        <stp>*H</stp>
        <stp>VOD-LON</stp>
        <stp>Intraday_Date</stp>
        <stp>I1</stp>
        <stp/>
        <stp>72</stp>
        <tr r="H38" s="12"/>
      </tp>
      <tp>
        <v>42929.541666666664</v>
        <stp/>
        <stp>*H</stp>
        <stp>VOD-LON</stp>
        <stp>Intraday_Date</stp>
        <stp>I1</stp>
        <stp/>
        <stp>73</stp>
        <tr r="H37" s="12"/>
      </tp>
      <tp>
        <v>42929.541666666664</v>
        <stp/>
        <stp>*H</stp>
        <stp>VOD-LON</stp>
        <stp>Intraday_Date</stp>
        <stp>I1</stp>
        <stp/>
        <stp>70</stp>
        <tr r="H40" s="12"/>
      </tp>
      <tp>
        <v>42929.541666666664</v>
        <stp/>
        <stp>*H</stp>
        <stp>VOD-LON</stp>
        <stp>Intraday_Date</stp>
        <stp>I1</stp>
        <stp/>
        <stp>71</stp>
        <tr r="H39" s="12"/>
      </tp>
      <tp>
        <v>42929.541666666664</v>
        <stp/>
        <stp>*H</stp>
        <stp>VOD-LON</stp>
        <stp>Intraday_Date</stp>
        <stp>I1</stp>
        <stp/>
        <stp>76</stp>
        <tr r="H34" s="12"/>
      </tp>
      <tp>
        <v>42929.541666666664</v>
        <stp/>
        <stp>*H</stp>
        <stp>VOD-LON</stp>
        <stp>Intraday_Date</stp>
        <stp>I1</stp>
        <stp/>
        <stp>77</stp>
        <tr r="H33" s="12"/>
      </tp>
      <tp>
        <v>42929.541666666664</v>
        <stp/>
        <stp>*H</stp>
        <stp>VOD-LON</stp>
        <stp>Intraday_Date</stp>
        <stp>I1</stp>
        <stp/>
        <stp>74</stp>
        <tr r="H36" s="12"/>
      </tp>
      <tp>
        <v>42929.541666666664</v>
        <stp/>
        <stp>*H</stp>
        <stp>VOD-LON</stp>
        <stp>Intraday_Date</stp>
        <stp>I1</stp>
        <stp/>
        <stp>75</stp>
        <tr r="H35" s="12"/>
      </tp>
      <tp>
        <v>42929.541666666664</v>
        <stp/>
        <stp>*H</stp>
        <stp>VOD-LON</stp>
        <stp>Intraday_Date</stp>
        <stp>I1</stp>
        <stp/>
        <stp>48</stp>
        <tr r="H62" s="12"/>
      </tp>
      <tp>
        <v>42929.541666666664</v>
        <stp/>
        <stp>*H</stp>
        <stp>VOD-LON</stp>
        <stp>Intraday_Date</stp>
        <stp>I1</stp>
        <stp/>
        <stp>49</stp>
        <tr r="H61" s="12"/>
      </tp>
      <tp>
        <v>42929.541666666664</v>
        <stp/>
        <stp>*H</stp>
        <stp>VOD-LON</stp>
        <stp>Intraday_Date</stp>
        <stp>I1</stp>
        <stp/>
        <stp>42</stp>
        <tr r="H68" s="12"/>
      </tp>
      <tp>
        <v>42929.541666666664</v>
        <stp/>
        <stp>*H</stp>
        <stp>VOD-LON</stp>
        <stp>Intraday_Date</stp>
        <stp>I1</stp>
        <stp/>
        <stp>43</stp>
        <tr r="H67" s="12"/>
      </tp>
      <tp>
        <v>42929.541666666664</v>
        <stp/>
        <stp>*H</stp>
        <stp>VOD-LON</stp>
        <stp>Intraday_Date</stp>
        <stp>I1</stp>
        <stp/>
        <stp>40</stp>
        <tr r="H70" s="12"/>
      </tp>
      <tp>
        <v>42929.541666666664</v>
        <stp/>
        <stp>*H</stp>
        <stp>VOD-LON</stp>
        <stp>Intraday_Date</stp>
        <stp>I1</stp>
        <stp/>
        <stp>41</stp>
        <tr r="H69" s="12"/>
      </tp>
      <tp>
        <v>42929.541666666664</v>
        <stp/>
        <stp>*H</stp>
        <stp>VOD-LON</stp>
        <stp>Intraday_Date</stp>
        <stp>I1</stp>
        <stp/>
        <stp>46</stp>
        <tr r="H64" s="12"/>
      </tp>
      <tp>
        <v>42929.541666666664</v>
        <stp/>
        <stp>*H</stp>
        <stp>VOD-LON</stp>
        <stp>Intraday_Date</stp>
        <stp>I1</stp>
        <stp/>
        <stp>47</stp>
        <tr r="H63" s="12"/>
      </tp>
      <tp>
        <v>42929.541666666664</v>
        <stp/>
        <stp>*H</stp>
        <stp>VOD-LON</stp>
        <stp>Intraday_Date</stp>
        <stp>I1</stp>
        <stp/>
        <stp>44</stp>
        <tr r="H66" s="12"/>
      </tp>
      <tp>
        <v>42929.541666666664</v>
        <stp/>
        <stp>*H</stp>
        <stp>VOD-LON</stp>
        <stp>Intraday_Date</stp>
        <stp>I1</stp>
        <stp/>
        <stp>45</stp>
        <tr r="H65" s="12"/>
      </tp>
      <tp>
        <v>42929.541666666664</v>
        <stp/>
        <stp>*H</stp>
        <stp>VOD-LON</stp>
        <stp>Intraday_Date</stp>
        <stp>I1</stp>
        <stp/>
        <stp>58</stp>
        <tr r="H52" s="12"/>
      </tp>
      <tp>
        <v>42929.541666666664</v>
        <stp/>
        <stp>*H</stp>
        <stp>VOD-LON</stp>
        <stp>Intraday_Date</stp>
        <stp>I1</stp>
        <stp/>
        <stp>59</stp>
        <tr r="H51" s="12"/>
      </tp>
      <tp>
        <v>42929.541666666664</v>
        <stp/>
        <stp>*H</stp>
        <stp>VOD-LON</stp>
        <stp>Intraday_Date</stp>
        <stp>I1</stp>
        <stp/>
        <stp>52</stp>
        <tr r="H58" s="12"/>
      </tp>
      <tp>
        <v>42929.541666666664</v>
        <stp/>
        <stp>*H</stp>
        <stp>VOD-LON</stp>
        <stp>Intraday_Date</stp>
        <stp>I1</stp>
        <stp/>
        <stp>53</stp>
        <tr r="H57" s="12"/>
      </tp>
      <tp>
        <v>42929.541666666664</v>
        <stp/>
        <stp>*H</stp>
        <stp>VOD-LON</stp>
        <stp>Intraday_Date</stp>
        <stp>I1</stp>
        <stp/>
        <stp>50</stp>
        <tr r="H60" s="12"/>
      </tp>
      <tp>
        <v>42929.541666666664</v>
        <stp/>
        <stp>*H</stp>
        <stp>VOD-LON</stp>
        <stp>Intraday_Date</stp>
        <stp>I1</stp>
        <stp/>
        <stp>51</stp>
        <tr r="H59" s="12"/>
      </tp>
      <tp>
        <v>42929.541666666664</v>
        <stp/>
        <stp>*H</stp>
        <stp>VOD-LON</stp>
        <stp>Intraday_Date</stp>
        <stp>I1</stp>
        <stp/>
        <stp>56</stp>
        <tr r="H54" s="12"/>
      </tp>
      <tp>
        <v>42929.541666666664</v>
        <stp/>
        <stp>*H</stp>
        <stp>VOD-LON</stp>
        <stp>Intraday_Date</stp>
        <stp>I1</stp>
        <stp/>
        <stp>57</stp>
        <tr r="H53" s="12"/>
      </tp>
      <tp>
        <v>42929.541666666664</v>
        <stp/>
        <stp>*H</stp>
        <stp>VOD-LON</stp>
        <stp>Intraday_Date</stp>
        <stp>I1</stp>
        <stp/>
        <stp>54</stp>
        <tr r="H56" s="12"/>
      </tp>
      <tp>
        <v>42929.541666666664</v>
        <stp/>
        <stp>*H</stp>
        <stp>VOD-LON</stp>
        <stp>Intraday_Date</stp>
        <stp>I1</stp>
        <stp/>
        <stp>55</stp>
        <tr r="H55" s="12"/>
      </tp>
      <tp>
        <v>42929.541666666664</v>
        <stp/>
        <stp>*H</stp>
        <stp>VOD-LON</stp>
        <stp>Intraday_Date</stp>
        <stp>I1</stp>
        <stp/>
        <stp>28</stp>
        <tr r="H82" s="12"/>
      </tp>
      <tp>
        <v>42929.541666666664</v>
        <stp/>
        <stp>*H</stp>
        <stp>VOD-LON</stp>
        <stp>Intraday_Date</stp>
        <stp>I1</stp>
        <stp/>
        <stp>29</stp>
        <tr r="H81" s="12"/>
      </tp>
      <tp>
        <v>42929.541666666664</v>
        <stp/>
        <stp>*H</stp>
        <stp>VOD-LON</stp>
        <stp>Intraday_Date</stp>
        <stp>I1</stp>
        <stp/>
        <stp>22</stp>
        <tr r="H88" s="12"/>
      </tp>
      <tp>
        <v>42929.541666666664</v>
        <stp/>
        <stp>*H</stp>
        <stp>VOD-LON</stp>
        <stp>Intraday_Date</stp>
        <stp>I1</stp>
        <stp/>
        <stp>23</stp>
        <tr r="H87" s="12"/>
      </tp>
      <tp>
        <v>42929.541666666664</v>
        <stp/>
        <stp>*H</stp>
        <stp>VOD-LON</stp>
        <stp>Intraday_Date</stp>
        <stp>I1</stp>
        <stp/>
        <stp>20</stp>
        <tr r="H90" s="12"/>
      </tp>
      <tp>
        <v>42929.541666666664</v>
        <stp/>
        <stp>*H</stp>
        <stp>VOD-LON</stp>
        <stp>Intraday_Date</stp>
        <stp>I1</stp>
        <stp/>
        <stp>21</stp>
        <tr r="H89" s="12"/>
      </tp>
      <tp>
        <v>42929.541666666664</v>
        <stp/>
        <stp>*H</stp>
        <stp>VOD-LON</stp>
        <stp>Intraday_Date</stp>
        <stp>I1</stp>
        <stp/>
        <stp>26</stp>
        <tr r="H84" s="12"/>
      </tp>
      <tp>
        <v>42929.541666666664</v>
        <stp/>
        <stp>*H</stp>
        <stp>VOD-LON</stp>
        <stp>Intraday_Date</stp>
        <stp>I1</stp>
        <stp/>
        <stp>27</stp>
        <tr r="H83" s="12"/>
      </tp>
      <tp>
        <v>42929.541666666664</v>
        <stp/>
        <stp>*H</stp>
        <stp>VOD-LON</stp>
        <stp>Intraday_Date</stp>
        <stp>I1</stp>
        <stp/>
        <stp>24</stp>
        <tr r="H86" s="12"/>
      </tp>
      <tp>
        <v>42929.541666666664</v>
        <stp/>
        <stp>*H</stp>
        <stp>VOD-LON</stp>
        <stp>Intraday_Date</stp>
        <stp>I1</stp>
        <stp/>
        <stp>25</stp>
        <tr r="H85" s="12"/>
      </tp>
      <tp>
        <v>42929.541666666664</v>
        <stp/>
        <stp>*H</stp>
        <stp>VOD-LON</stp>
        <stp>Intraday_Date</stp>
        <stp>I1</stp>
        <stp/>
        <stp>38</stp>
        <tr r="H72" s="12"/>
      </tp>
      <tp>
        <v>42929.541666666664</v>
        <stp/>
        <stp>*H</stp>
        <stp>VOD-LON</stp>
        <stp>Intraday_Date</stp>
        <stp>I1</stp>
        <stp/>
        <stp>39</stp>
        <tr r="H71" s="12"/>
      </tp>
      <tp>
        <v>42929.541666666664</v>
        <stp/>
        <stp>*H</stp>
        <stp>VOD-LON</stp>
        <stp>Intraday_Date</stp>
        <stp>I1</stp>
        <stp/>
        <stp>32</stp>
        <tr r="H78" s="12"/>
      </tp>
      <tp>
        <v>42929.541666666664</v>
        <stp/>
        <stp>*H</stp>
        <stp>VOD-LON</stp>
        <stp>Intraday_Date</stp>
        <stp>I1</stp>
        <stp/>
        <stp>33</stp>
        <tr r="H77" s="12"/>
      </tp>
      <tp>
        <v>42929.541666666664</v>
        <stp/>
        <stp>*H</stp>
        <stp>VOD-LON</stp>
        <stp>Intraday_Date</stp>
        <stp>I1</stp>
        <stp/>
        <stp>30</stp>
        <tr r="H80" s="12"/>
      </tp>
      <tp>
        <v>42929.541666666664</v>
        <stp/>
        <stp>*H</stp>
        <stp>VOD-LON</stp>
        <stp>Intraday_Date</stp>
        <stp>I1</stp>
        <stp/>
        <stp>31</stp>
        <tr r="H79" s="12"/>
      </tp>
      <tp>
        <v>42929.541666666664</v>
        <stp/>
        <stp>*H</stp>
        <stp>VOD-LON</stp>
        <stp>Intraday_Date</stp>
        <stp>I1</stp>
        <stp/>
        <stp>36</stp>
        <tr r="H74" s="12"/>
      </tp>
      <tp>
        <v>42929.541666666664</v>
        <stp/>
        <stp>*H</stp>
        <stp>VOD-LON</stp>
        <stp>Intraday_Date</stp>
        <stp>I1</stp>
        <stp/>
        <stp>37</stp>
        <tr r="H73" s="12"/>
      </tp>
      <tp>
        <v>42929.541666666664</v>
        <stp/>
        <stp>*H</stp>
        <stp>VOD-LON</stp>
        <stp>Intraday_Date</stp>
        <stp>I1</stp>
        <stp/>
        <stp>34</stp>
        <tr r="H76" s="12"/>
      </tp>
      <tp>
        <v>42929.541666666664</v>
        <stp/>
        <stp>*H</stp>
        <stp>VOD-LON</stp>
        <stp>Intraday_Date</stp>
        <stp>I1</stp>
        <stp/>
        <stp>35</stp>
        <tr r="H75" s="12"/>
      </tp>
      <tp>
        <v>42929.541666666664</v>
        <stp/>
        <stp>*H</stp>
        <stp>VOD-LON</stp>
        <stp>Intraday_Date</stp>
        <stp>I1</stp>
        <stp/>
        <stp>18</stp>
        <tr r="H92" s="12"/>
      </tp>
      <tp>
        <v>42929.541666666664</v>
        <stp/>
        <stp>*H</stp>
        <stp>VOD-LON</stp>
        <stp>Intraday_Date</stp>
        <stp>I1</stp>
        <stp/>
        <stp>19</stp>
        <tr r="H91" s="12"/>
      </tp>
      <tp>
        <v>42929.541666666664</v>
        <stp/>
        <stp>*H</stp>
        <stp>VOD-LON</stp>
        <stp>Intraday_Date</stp>
        <stp>I1</stp>
        <stp/>
        <stp>12</stp>
        <tr r="H98" s="12"/>
      </tp>
      <tp>
        <v>42929.541666666664</v>
        <stp/>
        <stp>*H</stp>
        <stp>VOD-LON</stp>
        <stp>Intraday_Date</stp>
        <stp>I1</stp>
        <stp/>
        <stp>13</stp>
        <tr r="H97" s="12"/>
      </tp>
      <tp>
        <v>42929.541666666664</v>
        <stp/>
        <stp>*H</stp>
        <stp>VOD-LON</stp>
        <stp>Intraday_Date</stp>
        <stp>I1</stp>
        <stp/>
        <stp>10</stp>
        <tr r="H100" s="12"/>
      </tp>
      <tp>
        <v>42929.541666666664</v>
        <stp/>
        <stp>*H</stp>
        <stp>VOD-LON</stp>
        <stp>Intraday_Date</stp>
        <stp>I1</stp>
        <stp/>
        <stp>11</stp>
        <tr r="H99" s="12"/>
      </tp>
      <tp>
        <v>42929.541666666664</v>
        <stp/>
        <stp>*H</stp>
        <stp>VOD-LON</stp>
        <stp>Intraday_Date</stp>
        <stp>I1</stp>
        <stp/>
        <stp>16</stp>
        <tr r="H94" s="12"/>
      </tp>
      <tp>
        <v>42929.541666666664</v>
        <stp/>
        <stp>*H</stp>
        <stp>VOD-LON</stp>
        <stp>Intraday_Date</stp>
        <stp>I1</stp>
        <stp/>
        <stp>17</stp>
        <tr r="H93" s="12"/>
      </tp>
      <tp>
        <v>42929.541666666664</v>
        <stp/>
        <stp>*H</stp>
        <stp>VOD-LON</stp>
        <stp>Intraday_Date</stp>
        <stp>I1</stp>
        <stp/>
        <stp>14</stp>
        <tr r="H96" s="12"/>
      </tp>
      <tp>
        <v>42929.541666666664</v>
        <stp/>
        <stp>*H</stp>
        <stp>VOD-LON</stp>
        <stp>Intraday_Date</stp>
        <stp>I1</stp>
        <stp/>
        <stp>15</stp>
        <tr r="H95" s="12"/>
      </tp>
    </main>
    <main first="esrtd">
      <tp>
        <v>62.93</v>
        <stp/>
        <stp>*H(FR-EEB,Low,D,42928)</stp>
        <tr r="AB5" s="5"/>
      </tp>
      <tp>
        <v>61.810001</v>
        <stp/>
        <stp>*H(FR-EEB,Low,D,42927)</stp>
        <tr r="V5" s="5"/>
      </tp>
    </main>
    <main first="esrtd">
      <tp>
        <v>44.945</v>
        <stp/>
        <stp>BEKB-EEB.Last</stp>
        <tr r="H3" s="5"/>
      </tp>
      <tp t="s">
        <v/>
        <stp/>
        <stp>*H(,Open,D,42928)</stp>
        <tr r="Z21" s="5"/>
        <tr r="Z98" s="5"/>
        <tr r="Z53" s="5"/>
        <tr r="Z113" s="5"/>
        <tr r="Z14" s="5"/>
        <tr r="Z37" s="5"/>
        <tr r="Z132" s="5"/>
        <tr r="Z83" s="5"/>
        <tr r="Z77" s="5"/>
        <tr r="Z110" s="5"/>
        <tr r="Z65" s="5"/>
        <tr r="Z49" s="5"/>
        <tr r="Z93" s="5"/>
        <tr r="Z13" s="5"/>
        <tr r="Z24" s="5"/>
        <tr r="Z72" s="5"/>
        <tr r="Z100" s="5"/>
        <tr r="Z97" s="5"/>
        <tr r="Z90" s="5"/>
        <tr r="Z151" s="5"/>
        <tr r="Z32" s="5"/>
        <tr r="Z117" s="5"/>
        <tr r="Z101" s="5"/>
        <tr r="Z41" s="5"/>
        <tr r="Z64" s="5"/>
        <tr r="Z57" s="5"/>
        <tr r="Z29" s="5"/>
        <tr r="Z17" s="5"/>
        <tr r="Z129" s="5"/>
        <tr r="Z139" s="5"/>
        <tr r="Z89" s="5"/>
        <tr r="Z114" s="5"/>
        <tr r="Z33" s="5"/>
        <tr r="Z126" s="5"/>
        <tr r="Z144" s="5"/>
        <tr r="Z44" s="5"/>
        <tr r="Z28" s="5"/>
        <tr r="Z92" s="5"/>
        <tr r="Z147" s="5"/>
        <tr r="Z125" s="5"/>
        <tr r="Z104" s="5"/>
        <tr r="Z30" s="5"/>
        <tr r="Z12" s="5"/>
        <tr r="Z107" s="5"/>
        <tr r="Z74" s="5"/>
        <tr r="Z130" s="5"/>
        <tr r="Z18" s="5"/>
        <tr r="Z88" s="5"/>
        <tr r="Z36" s="5"/>
        <tr r="Z78" s="5"/>
        <tr r="Z54" s="5"/>
        <tr r="Z59" s="5"/>
        <tr r="Z112" s="5"/>
        <tr r="Z68" s="5"/>
        <tr r="Z108" s="5"/>
        <tr r="Z26" s="5"/>
        <tr r="Z122" s="5"/>
        <tr r="Z138" s="5"/>
        <tr r="Z43" s="5"/>
        <tr r="Z127" s="5"/>
        <tr r="Z27" s="5"/>
        <tr r="Z152" s="5"/>
        <tr r="Z62" s="5"/>
        <tr r="Z69" s="5"/>
        <tr r="Z79" s="5"/>
        <tr r="Z47" s="5"/>
        <tr r="Z94" s="5"/>
        <tr r="Z123" s="5"/>
        <tr r="Z124" s="5"/>
        <tr r="Z58" s="5"/>
        <tr r="Z86" s="5"/>
        <tr r="Z87" s="5"/>
        <tr r="Z84" s="5"/>
        <tr r="Z55" s="5"/>
        <tr r="Z115" s="5"/>
        <tr r="Z91" s="5"/>
        <tr r="Z133" s="5"/>
        <tr r="Z60" s="5"/>
        <tr r="Z95" s="5"/>
        <tr r="Z135" s="5"/>
        <tr r="Z111" s="5"/>
        <tr r="Z23" s="5"/>
        <tr r="Z119" s="5"/>
        <tr r="Z71" s="5"/>
        <tr r="Z48" s="5"/>
        <tr r="Z120" s="5"/>
        <tr r="Z45" s="5"/>
        <tr r="Z128" s="5"/>
        <tr r="Z76" s="5"/>
        <tr r="Z15" s="5"/>
        <tr r="Z40" s="5"/>
        <tr r="Z137" s="5"/>
        <tr r="Z118" s="5"/>
        <tr r="Z146" s="5"/>
        <tr r="Z149" s="5"/>
        <tr r="Z20" s="5"/>
        <tr r="Z150" s="5"/>
        <tr r="Z116" s="5"/>
        <tr r="Z39" s="5"/>
        <tr r="Z67" s="5"/>
        <tr r="Z50" s="5"/>
        <tr r="Z103" s="5"/>
        <tr r="Z70" s="5"/>
        <tr r="Z46" s="5"/>
        <tr r="Z56" s="5"/>
        <tr r="Z153" s="5"/>
        <tr r="Z82" s="5"/>
        <tr r="Z85" s="5"/>
        <tr r="Z66" s="5"/>
        <tr r="Z38" s="5"/>
        <tr r="Z121" s="5"/>
        <tr r="Z99" s="5"/>
        <tr r="Z31" s="5"/>
        <tr r="Z148" s="5"/>
        <tr r="Z52" s="5"/>
        <tr r="Z35" s="5"/>
        <tr r="Z109" s="5"/>
        <tr r="Z19" s="5"/>
        <tr r="Z34" s="5"/>
        <tr r="Z51" s="5"/>
        <tr r="Z22" s="5"/>
        <tr r="Z63" s="5"/>
        <tr r="Z143" s="5"/>
        <tr r="Z16" s="5"/>
        <tr r="Z25" s="5"/>
        <tr r="Z73" s="5"/>
        <tr r="Z106" s="5"/>
        <tr r="Z81" s="5"/>
        <tr r="Z42" s="5"/>
        <tr r="Z131" s="5"/>
        <tr r="Z134" s="5"/>
        <tr r="Z96" s="5"/>
        <tr r="Z61" s="5"/>
        <tr r="Z105" s="5"/>
        <tr r="Z80" s="5"/>
        <tr r="Z141" s="5"/>
        <tr r="Z142" s="5"/>
        <tr r="Z102" s="5"/>
        <tr r="Z136" s="5"/>
        <tr r="Z75" s="5"/>
        <tr r="Z145" s="5"/>
        <tr r="Z140" s="5"/>
      </tp>
      <tp>
        <v>44.240001999999997</v>
        <stp/>
        <stp>*H(BEKB-EEB,Open,D,42927)</stp>
        <tr r="T11" s="5"/>
      </tp>
      <tp>
        <v>44.63</v>
        <stp/>
        <stp>*H(BEKB-EEB,Open,D,42928)</stp>
        <tr r="Z11" s="5"/>
      </tp>
      <tp>
        <v>594</v>
        <stp/>
        <stp>*H(DNLM-LON,High,D,42927)</stp>
        <tr r="U3" s="5"/>
      </tp>
      <tp>
        <v>570</v>
        <stp/>
        <stp>*H(DNLM-LON,High,D,42928)</stp>
        <tr r="AA3" s="5"/>
      </tp>
    </main>
    <main first="esrtd">
      <tp t="s">
        <v/>
        <stp/>
        <stp>*H(,High,D,42928)</stp>
        <tr r="AA54" s="5"/>
        <tr r="AA90" s="5"/>
        <tr r="AA121" s="5"/>
        <tr r="AA140" s="5"/>
        <tr r="AA77" s="5"/>
        <tr r="AA81" s="5"/>
        <tr r="AA91" s="5"/>
        <tr r="AA61" s="5"/>
        <tr r="AA24" s="5"/>
        <tr r="AA27" s="5"/>
        <tr r="AA94" s="5"/>
        <tr r="AA38" s="5"/>
        <tr r="AA41" s="5"/>
        <tr r="AA89" s="5"/>
        <tr r="AA110" s="5"/>
        <tr r="AA66" s="5"/>
        <tr r="AA135" s="5"/>
        <tr r="AA79" s="5"/>
        <tr r="AA130" s="5"/>
        <tr r="AA53" s="5"/>
        <tr r="AA25" s="5"/>
        <tr r="AA39" s="5"/>
        <tr r="AA142" s="5"/>
        <tr r="AA103" s="5"/>
        <tr r="AA92" s="5"/>
        <tr r="AA127" s="5"/>
        <tr r="AA143" s="5"/>
        <tr r="AA74" s="5"/>
        <tr r="AA76" s="5"/>
        <tr r="AA100" s="5"/>
        <tr r="AA101" s="5"/>
        <tr r="AA105" s="5"/>
        <tr r="AA83" s="5"/>
        <tr r="AA15" s="5"/>
        <tr r="AA151" s="5"/>
        <tr r="AA98" s="5"/>
        <tr r="AA26" s="5"/>
        <tr r="AA147" s="5"/>
        <tr r="AA88" s="5"/>
        <tr r="AA56" s="5"/>
        <tr r="AA119" s="5"/>
        <tr r="AA73" s="5"/>
        <tr r="AA113" s="5"/>
        <tr r="AA97" s="5"/>
        <tr r="AA108" s="5"/>
        <tr r="AA31" s="5"/>
        <tr r="AA128" s="5"/>
        <tr r="AA51" s="5"/>
        <tr r="AA134" s="5"/>
        <tr r="AA107" s="5"/>
        <tr r="AA20" s="5"/>
        <tr r="AA23" s="5"/>
        <tr r="AA14" s="5"/>
        <tr r="AA131" s="5"/>
        <tr r="AA149" s="5"/>
        <tr r="AA19" s="5"/>
        <tr r="AA18" s="5"/>
        <tr r="AA144" s="5"/>
        <tr r="AA123" s="5"/>
        <tr r="AA133" s="5"/>
        <tr r="AA145" s="5"/>
        <tr r="AA42" s="5"/>
        <tr r="AA99" s="5"/>
        <tr r="AA58" s="5"/>
        <tr r="AA125" s="5"/>
        <tr r="AA68" s="5"/>
        <tr r="AA118" s="5"/>
        <tr r="AA153" s="5"/>
        <tr r="AA22" s="5"/>
        <tr r="AA62" s="5"/>
        <tr r="AA40" s="5"/>
        <tr r="AA114" s="5"/>
        <tr r="AA63" s="5"/>
        <tr r="AA12" s="5"/>
        <tr r="AA126" s="5"/>
        <tr r="AA78" s="5"/>
        <tr r="AA96" s="5"/>
        <tr r="AA29" s="5"/>
        <tr r="AA152" s="5"/>
        <tr r="AA150" s="5"/>
        <tr r="AA136" s="5"/>
        <tr r="AA57" s="5"/>
        <tr r="AA49" s="5"/>
        <tr r="AA21" s="5"/>
        <tr r="AA87" s="5"/>
        <tr r="AA111" s="5"/>
        <tr r="AA32" s="5"/>
        <tr r="AA37" s="5"/>
        <tr r="AA75" s="5"/>
        <tr r="AA52" s="5"/>
        <tr r="AA93" s="5"/>
        <tr r="AA30" s="5"/>
        <tr r="AA36" s="5"/>
        <tr r="AA117" s="5"/>
        <tr r="AA102" s="5"/>
        <tr r="AA104" s="5"/>
        <tr r="AA109" s="5"/>
        <tr r="AA28" s="5"/>
        <tr r="AA137" s="5"/>
        <tr r="AA82" s="5"/>
        <tr r="AA148" s="5"/>
        <tr r="AA43" s="5"/>
        <tr r="AA69" s="5"/>
        <tr r="AA138" s="5"/>
        <tr r="AA13" s="5"/>
        <tr r="AA35" s="5"/>
        <tr r="AA71" s="5"/>
        <tr r="AA59" s="5"/>
        <tr r="AA17" s="5"/>
        <tr r="AA80" s="5"/>
        <tr r="AA50" s="5"/>
        <tr r="AA65" s="5"/>
        <tr r="AA34" s="5"/>
        <tr r="AA85" s="5"/>
        <tr r="AA115" s="5"/>
        <tr r="AA84" s="5"/>
        <tr r="AA112" s="5"/>
        <tr r="AA60" s="5"/>
        <tr r="AA86" s="5"/>
        <tr r="AA16" s="5"/>
        <tr r="AA129" s="5"/>
        <tr r="AA72" s="5"/>
        <tr r="AA116" s="5"/>
        <tr r="AA122" s="5"/>
        <tr r="AA95" s="5"/>
        <tr r="AA64" s="5"/>
        <tr r="AA120" s="5"/>
        <tr r="AA45" s="5"/>
        <tr r="AA55" s="5"/>
        <tr r="AA48" s="5"/>
        <tr r="AA124" s="5"/>
        <tr r="AA33" s="5"/>
        <tr r="AA44" s="5"/>
        <tr r="AA139" s="5"/>
        <tr r="AA106" s="5"/>
        <tr r="AA46" s="5"/>
        <tr r="AA47" s="5"/>
        <tr r="AA70" s="5"/>
        <tr r="AA67" s="5"/>
        <tr r="AA141" s="5"/>
        <tr r="AA146" s="5"/>
        <tr r="AA132" s="5"/>
      </tp>
      <tp>
        <v>545.5</v>
        <stp/>
        <stp>*H(IGG-LON,Low,D,42927)</stp>
        <tr r="V6" s="5"/>
      </tp>
    </main>
    <main first="esrtd">
      <tp>
        <v>546.5</v>
        <stp/>
        <stp>*H(IGG-LON,Low,D,42928)</stp>
        <tr r="AB6" s="5"/>
      </tp>
      <tp>
        <v>222.1</v>
        <stp/>
        <stp>*H</stp>
        <stp>VOD-LON</stp>
        <stp>High</stp>
        <stp>I1</stp>
        <stp/>
        <stp>95</stp>
        <tr r="B15" s="12"/>
      </tp>
      <tp>
        <v>222.1</v>
        <stp/>
        <stp>*H</stp>
        <stp>VOD-LON</stp>
        <stp>High</stp>
        <stp>I1</stp>
        <stp/>
        <stp>94</stp>
        <tr r="B16" s="12"/>
      </tp>
      <tp>
        <v>222.15</v>
        <stp/>
        <stp>*H</stp>
        <stp>VOD-LON</stp>
        <stp>High</stp>
        <stp>I1</stp>
        <stp/>
        <stp>91</stp>
        <tr r="B19" s="12"/>
      </tp>
      <tp>
        <v>222.2</v>
        <stp/>
        <stp>*H</stp>
        <stp>VOD-LON</stp>
        <stp>High</stp>
        <stp>I1</stp>
        <stp/>
        <stp>90</stp>
        <tr r="B20" s="12"/>
      </tp>
      <tp>
        <v>222.1</v>
        <stp/>
        <stp>*H</stp>
        <stp>VOD-LON</stp>
        <stp>High</stp>
        <stp>I1</stp>
        <stp/>
        <stp>93</stp>
        <tr r="B17" s="12"/>
      </tp>
      <tp>
        <v>222.15</v>
        <stp/>
        <stp>*H</stp>
        <stp>VOD-LON</stp>
        <stp>High</stp>
        <stp>I1</stp>
        <stp/>
        <stp>92</stp>
        <tr r="B18" s="12"/>
      </tp>
      <tp>
        <v>222.25</v>
        <stp/>
        <stp>*H</stp>
        <stp>VOD-LON</stp>
        <stp>High</stp>
        <stp>I1</stp>
        <stp/>
        <stp>85</stp>
        <tr r="B25" s="12"/>
      </tp>
      <tp>
        <v>222.3</v>
        <stp/>
        <stp>*H</stp>
        <stp>VOD-LON</stp>
        <stp>High</stp>
        <stp>I1</stp>
        <stp/>
        <stp>84</stp>
        <tr r="B26" s="12"/>
      </tp>
      <tp>
        <v>222.15</v>
        <stp/>
        <stp>*H</stp>
        <stp>VOD-LON</stp>
        <stp>High</stp>
        <stp>I1</stp>
        <stp/>
        <stp>87</stp>
        <tr r="B23" s="12"/>
      </tp>
      <tp>
        <v>222.25</v>
        <stp/>
        <stp>*H</stp>
        <stp>VOD-LON</stp>
        <stp>High</stp>
        <stp>I1</stp>
        <stp/>
        <stp>86</stp>
        <tr r="B24" s="12"/>
      </tp>
      <tp>
        <v>222.35</v>
        <stp/>
        <stp>*H</stp>
        <stp>VOD-LON</stp>
        <stp>High</stp>
        <stp>I1</stp>
        <stp/>
        <stp>81</stp>
        <tr r="B29" s="12"/>
      </tp>
      <tp>
        <v>44.700001</v>
        <stp/>
        <stp>*H(BEKB-EEB,High,D,42927)</stp>
        <tr r="U11" s="5"/>
      </tp>
      <tp>
        <v>222.4</v>
        <stp/>
        <stp>*H</stp>
        <stp>VOD-LON</stp>
        <stp>High</stp>
        <stp>I1</stp>
        <stp/>
        <stp>80</stp>
        <tr r="B30" s="12"/>
      </tp>
      <tp>
        <v>222.3</v>
        <stp/>
        <stp>*H</stp>
        <stp>VOD-LON</stp>
        <stp>High</stp>
        <stp>I1</stp>
        <stp/>
        <stp>83</stp>
        <tr r="B27" s="12"/>
      </tp>
      <tp>
        <v>222.35</v>
        <stp/>
        <stp>*H</stp>
        <stp>VOD-LON</stp>
        <stp>High</stp>
        <stp>I1</stp>
        <stp/>
        <stp>82</stp>
        <tr r="B28" s="12"/>
      </tp>
      <tp>
        <v>222.2</v>
        <stp/>
        <stp>*H</stp>
        <stp>VOD-LON</stp>
        <stp>High</stp>
        <stp>I1</stp>
        <stp/>
        <stp>89</stp>
        <tr r="B21" s="12"/>
      </tp>
      <tp>
        <v>222.15</v>
        <stp/>
        <stp>*H</stp>
        <stp>VOD-LON</stp>
        <stp>High</stp>
        <stp>I1</stp>
        <stp/>
        <stp>88</stp>
        <tr r="B22" s="12"/>
      </tp>
      <tp>
        <v>221.8</v>
        <stp/>
        <stp>*H</stp>
        <stp>VOD-LON</stp>
        <stp>High</stp>
        <stp>I1</stp>
        <stp/>
        <stp>35</stp>
        <tr r="B75" s="12"/>
      </tp>
      <tp>
        <v>221.8</v>
        <stp/>
        <stp>*H</stp>
        <stp>VOD-LON</stp>
        <stp>High</stp>
        <stp>I1</stp>
        <stp/>
        <stp>34</stp>
        <tr r="B76" s="12"/>
      </tp>
      <tp>
        <v>222</v>
        <stp/>
        <stp>*H</stp>
        <stp>VOD-LON</stp>
        <stp>High</stp>
        <stp>I1</stp>
        <stp/>
        <stp>37</stp>
        <tr r="B73" s="12"/>
      </tp>
      <tp>
        <v>221.85</v>
        <stp/>
        <stp>*H</stp>
        <stp>VOD-LON</stp>
        <stp>High</stp>
        <stp>I1</stp>
        <stp/>
        <stp>36</stp>
        <tr r="B74" s="12"/>
      </tp>
      <tp>
        <v>221.8</v>
        <stp/>
        <stp>*H</stp>
        <stp>VOD-LON</stp>
        <stp>High</stp>
        <stp>I1</stp>
        <stp/>
        <stp>31</stp>
        <tr r="B79" s="12"/>
      </tp>
      <tp>
        <v>221.75</v>
        <stp/>
        <stp>*H</stp>
        <stp>VOD-LON</stp>
        <stp>High</stp>
        <stp>I1</stp>
        <stp/>
        <stp>30</stp>
        <tr r="B80" s="12"/>
      </tp>
      <tp>
        <v>221.85</v>
        <stp/>
        <stp>*H</stp>
        <stp>VOD-LON</stp>
        <stp>High</stp>
        <stp>I1</stp>
        <stp/>
        <stp>33</stp>
        <tr r="B77" s="12"/>
      </tp>
      <tp>
        <v>221.8</v>
        <stp/>
        <stp>*H</stp>
        <stp>VOD-LON</stp>
        <stp>High</stp>
        <stp>I1</stp>
        <stp/>
        <stp>32</stp>
        <tr r="B78" s="12"/>
      </tp>
      <tp>
        <v>222</v>
        <stp/>
        <stp>*H</stp>
        <stp>VOD-LON</stp>
        <stp>High</stp>
        <stp>I1</stp>
        <stp/>
        <stp>39</stp>
        <tr r="B71" s="12"/>
      </tp>
      <tp>
        <v>222</v>
        <stp/>
        <stp>*H</stp>
        <stp>VOD-LON</stp>
        <stp>High</stp>
        <stp>I1</stp>
        <stp/>
        <stp>38</stp>
        <tr r="B72" s="12"/>
      </tp>
      <tp>
        <v>221.5</v>
        <stp/>
        <stp>*H</stp>
        <stp>VOD-LON</stp>
        <stp>High</stp>
        <stp>I1</stp>
        <stp/>
        <stp>25</stp>
        <tr r="B85" s="12"/>
      </tp>
      <tp>
        <v>221.45</v>
        <stp/>
        <stp>*H</stp>
        <stp>VOD-LON</stp>
        <stp>High</stp>
        <stp>I1</stp>
        <stp/>
        <stp>24</stp>
        <tr r="B86" s="12"/>
      </tp>
      <tp>
        <v>221.55</v>
        <stp/>
        <stp>*H</stp>
        <stp>VOD-LON</stp>
        <stp>High</stp>
        <stp>I1</stp>
        <stp/>
        <stp>27</stp>
        <tr r="B83" s="12"/>
      </tp>
      <tp>
        <v>221.5</v>
        <stp/>
        <stp>*H</stp>
        <stp>VOD-LON</stp>
        <stp>High</stp>
        <stp>I1</stp>
        <stp/>
        <stp>26</stp>
        <tr r="B84" s="12"/>
      </tp>
      <tp>
        <v>221.3</v>
        <stp/>
        <stp>*H</stp>
        <stp>VOD-LON</stp>
        <stp>High</stp>
        <stp>I1</stp>
        <stp/>
        <stp>21</stp>
        <tr r="B89" s="12"/>
      </tp>
      <tp>
        <v>221.3</v>
        <stp/>
        <stp>*H</stp>
        <stp>VOD-LON</stp>
        <stp>High</stp>
        <stp>I1</stp>
        <stp/>
        <stp>20</stp>
        <tr r="B90" s="12"/>
      </tp>
      <tp>
        <v>221.35</v>
        <stp/>
        <stp>*H</stp>
        <stp>VOD-LON</stp>
        <stp>High</stp>
        <stp>I1</stp>
        <stp/>
        <stp>23</stp>
        <tr r="B87" s="12"/>
      </tp>
      <tp>
        <v>221.25</v>
        <stp/>
        <stp>*H</stp>
        <stp>VOD-LON</stp>
        <stp>High</stp>
        <stp>I1</stp>
        <stp/>
        <stp>22</stp>
        <tr r="B88" s="12"/>
      </tp>
      <tp>
        <v>221.75</v>
        <stp/>
        <stp>*H</stp>
        <stp>VOD-LON</stp>
        <stp>High</stp>
        <stp>I1</stp>
        <stp/>
        <stp>29</stp>
        <tr r="B81" s="12"/>
      </tp>
      <tp>
        <v>221.65</v>
        <stp/>
        <stp>*H</stp>
        <stp>VOD-LON</stp>
        <stp>High</stp>
        <stp>I1</stp>
        <stp/>
        <stp>28</stp>
        <tr r="B82" s="12"/>
      </tp>
      <tp>
        <v>221.05</v>
        <stp/>
        <stp>*H</stp>
        <stp>VOD-LON</stp>
        <stp>High</stp>
        <stp>I1</stp>
        <stp/>
        <stp>15</stp>
        <tr r="B95" s="12"/>
      </tp>
      <tp>
        <v>221</v>
        <stp/>
        <stp>*H</stp>
        <stp>VOD-LON</stp>
        <stp>High</stp>
        <stp>I1</stp>
        <stp/>
        <stp>14</stp>
        <tr r="B96" s="12"/>
      </tp>
      <tp>
        <v>221.25</v>
        <stp/>
        <stp>*H</stp>
        <stp>VOD-LON</stp>
        <stp>High</stp>
        <stp>I1</stp>
        <stp/>
        <stp>17</stp>
        <tr r="B93" s="12"/>
      </tp>
      <tp>
        <v>221.15</v>
        <stp/>
        <stp>*H</stp>
        <stp>VOD-LON</stp>
        <stp>High</stp>
        <stp>I1</stp>
        <stp/>
        <stp>16</stp>
        <tr r="B94" s="12"/>
      </tp>
      <tp>
        <v>220.8</v>
        <stp/>
        <stp>*H</stp>
        <stp>VOD-LON</stp>
        <stp>High</stp>
        <stp>I1</stp>
        <stp/>
        <stp>11</stp>
        <tr r="B99" s="12"/>
      </tp>
      <tp>
        <v>220.8</v>
        <stp/>
        <stp>*H</stp>
        <stp>VOD-LON</stp>
        <stp>High</stp>
        <stp>I1</stp>
        <stp/>
        <stp>10</stp>
        <tr r="B100" s="12"/>
      </tp>
      <tp>
        <v>220.95</v>
        <stp/>
        <stp>*H</stp>
        <stp>VOD-LON</stp>
        <stp>High</stp>
        <stp>I1</stp>
        <stp/>
        <stp>13</stp>
        <tr r="B97" s="12"/>
      </tp>
      <tp>
        <v>220.85</v>
        <stp/>
        <stp>*H</stp>
        <stp>VOD-LON</stp>
        <stp>High</stp>
        <stp>I1</stp>
        <stp/>
        <stp>12</stp>
        <tr r="B98" s="12"/>
      </tp>
      <tp>
        <v>221.3</v>
        <stp/>
        <stp>*H</stp>
        <stp>VOD-LON</stp>
        <stp>High</stp>
        <stp>I1</stp>
        <stp/>
        <stp>19</stp>
        <tr r="B91" s="12"/>
      </tp>
      <tp>
        <v>221.25</v>
        <stp/>
        <stp>*H</stp>
        <stp>VOD-LON</stp>
        <stp>High</stp>
        <stp>I1</stp>
        <stp/>
        <stp>18</stp>
        <tr r="B92" s="12"/>
      </tp>
      <tp>
        <v>222.15</v>
        <stp/>
        <stp>*H</stp>
        <stp>VOD-LON</stp>
        <stp>High</stp>
        <stp>I1</stp>
        <stp/>
        <stp>75</stp>
        <tr r="B35" s="12"/>
      </tp>
      <tp>
        <v>222.15</v>
        <stp/>
        <stp>*H</stp>
        <stp>VOD-LON</stp>
        <stp>High</stp>
        <stp>I1</stp>
        <stp/>
        <stp>74</stp>
        <tr r="B36" s="12"/>
      </tp>
      <tp>
        <v>222.3</v>
        <stp/>
        <stp>*H</stp>
        <stp>VOD-LON</stp>
        <stp>High</stp>
        <stp>I1</stp>
        <stp/>
        <stp>77</stp>
        <tr r="B33" s="12"/>
      </tp>
      <tp>
        <v>222.15</v>
        <stp/>
        <stp>*H</stp>
        <stp>VOD-LON</stp>
        <stp>High</stp>
        <stp>I1</stp>
        <stp/>
        <stp>76</stp>
        <tr r="B34" s="12"/>
      </tp>
      <tp>
        <v>222.1</v>
        <stp/>
        <stp>*H</stp>
        <stp>VOD-LON</stp>
        <stp>High</stp>
        <stp>I1</stp>
        <stp/>
        <stp>71</stp>
        <tr r="B39" s="12"/>
      </tp>
      <tp>
        <v>45</v>
        <stp/>
        <stp>*H(BEKB-EEB,High,D,42928)</stp>
        <tr r="AA11" s="5"/>
      </tp>
      <tp>
        <v>222</v>
        <stp/>
        <stp>*H</stp>
        <stp>VOD-LON</stp>
        <stp>High</stp>
        <stp>I1</stp>
        <stp/>
        <stp>70</stp>
        <tr r="B40" s="12"/>
      </tp>
      <tp>
        <v>222.15</v>
        <stp/>
        <stp>*H</stp>
        <stp>VOD-LON</stp>
        <stp>High</stp>
        <stp>I1</stp>
        <stp/>
        <stp>73</stp>
        <tr r="B37" s="12"/>
      </tp>
      <tp>
        <v>222.1</v>
        <stp/>
        <stp>*H</stp>
        <stp>VOD-LON</stp>
        <stp>High</stp>
        <stp>I1</stp>
        <stp/>
        <stp>72</stp>
        <tr r="B38" s="12"/>
      </tp>
      <tp>
        <v>222.35</v>
        <stp/>
        <stp>*H</stp>
        <stp>VOD-LON</stp>
        <stp>High</stp>
        <stp>I1</stp>
        <stp/>
        <stp>79</stp>
        <tr r="B31" s="12"/>
      </tp>
      <tp>
        <v>222.35</v>
        <stp/>
        <stp>*H</stp>
        <stp>VOD-LON</stp>
        <stp>High</stp>
        <stp>I1</stp>
        <stp/>
        <stp>78</stp>
        <tr r="B32" s="12"/>
      </tp>
      <tp>
        <v>221.95</v>
        <stp/>
        <stp>*H</stp>
        <stp>VOD-LON</stp>
        <stp>High</stp>
        <stp>I1</stp>
        <stp/>
        <stp>65</stp>
        <tr r="B45" s="12"/>
      </tp>
      <tp>
        <v>222</v>
        <stp/>
        <stp>*H</stp>
        <stp>VOD-LON</stp>
        <stp>High</stp>
        <stp>I1</stp>
        <stp/>
        <stp>64</stp>
        <tr r="B46" s="12"/>
      </tp>
      <tp>
        <v>222</v>
        <stp/>
        <stp>*H</stp>
        <stp>VOD-LON</stp>
        <stp>High</stp>
        <stp>I1</stp>
        <stp/>
        <stp>67</stp>
        <tr r="B43" s="12"/>
      </tp>
      <tp>
        <v>221.95</v>
        <stp/>
        <stp>*H</stp>
        <stp>VOD-LON</stp>
        <stp>High</stp>
        <stp>I1</stp>
        <stp/>
        <stp>66</stp>
        <tr r="B44" s="12"/>
      </tp>
      <tp>
        <v>222.1</v>
        <stp/>
        <stp>*H</stp>
        <stp>VOD-LON</stp>
        <stp>High</stp>
        <stp>I1</stp>
        <stp/>
        <stp>61</stp>
        <tr r="B49" s="12"/>
      </tp>
      <tp>
        <v>221.95</v>
        <stp/>
        <stp>*H</stp>
        <stp>VOD-LON</stp>
        <stp>High</stp>
        <stp>I1</stp>
        <stp/>
        <stp>60</stp>
        <tr r="B50" s="12"/>
      </tp>
      <tp>
        <v>222</v>
        <stp/>
        <stp>*H</stp>
        <stp>VOD-LON</stp>
        <stp>High</stp>
        <stp>I1</stp>
        <stp/>
        <stp>63</stp>
        <tr r="B47" s="12"/>
      </tp>
      <tp>
        <v>222.05</v>
        <stp/>
        <stp>*H</stp>
        <stp>VOD-LON</stp>
        <stp>High</stp>
        <stp>I1</stp>
        <stp/>
        <stp>62</stp>
        <tr r="B48" s="12"/>
      </tp>
      <tp>
        <v>221.9</v>
        <stp/>
        <stp>*H</stp>
        <stp>VOD-LON</stp>
        <stp>High</stp>
        <stp>I1</stp>
        <stp/>
        <stp>69</stp>
        <tr r="B41" s="12"/>
      </tp>
      <tp>
        <v>222</v>
        <stp/>
        <stp>*H</stp>
        <stp>VOD-LON</stp>
        <stp>High</stp>
        <stp>I1</stp>
        <stp/>
        <stp>68</stp>
        <tr r="B42" s="12"/>
      </tp>
      <tp>
        <v>221.9</v>
        <stp/>
        <stp>*H</stp>
        <stp>VOD-LON</stp>
        <stp>High</stp>
        <stp>I1</stp>
        <stp/>
        <stp>55</stp>
        <tr r="B55" s="12"/>
      </tp>
      <tp>
        <v>222</v>
        <stp/>
        <stp>*H</stp>
        <stp>VOD-LON</stp>
        <stp>High</stp>
        <stp>I1</stp>
        <stp/>
        <stp>54</stp>
        <tr r="B56" s="12"/>
      </tp>
      <tp>
        <v>221.95</v>
        <stp/>
        <stp>*H</stp>
        <stp>VOD-LON</stp>
        <stp>High</stp>
        <stp>I1</stp>
        <stp/>
        <stp>57</stp>
        <tr r="B53" s="12"/>
      </tp>
      <tp>
        <v>221.9</v>
        <stp/>
        <stp>*H</stp>
        <stp>VOD-LON</stp>
        <stp>High</stp>
        <stp>I1</stp>
        <stp/>
        <stp>56</stp>
        <tr r="B54" s="12"/>
      </tp>
      <tp>
        <v>221.95</v>
        <stp/>
        <stp>*H</stp>
        <stp>VOD-LON</stp>
        <stp>High</stp>
        <stp>I1</stp>
        <stp/>
        <stp>51</stp>
        <tr r="B59" s="12"/>
      </tp>
      <tp>
        <v>221.9</v>
        <stp/>
        <stp>*H</stp>
        <stp>VOD-LON</stp>
        <stp>High</stp>
        <stp>I1</stp>
        <stp/>
        <stp>50</stp>
        <tr r="B60" s="12"/>
      </tp>
      <tp>
        <v>222</v>
        <stp/>
        <stp>*H</stp>
        <stp>VOD-LON</stp>
        <stp>High</stp>
        <stp>I1</stp>
        <stp/>
        <stp>53</stp>
        <tr r="B57" s="12"/>
      </tp>
      <tp>
        <v>221.95</v>
        <stp/>
        <stp>*H</stp>
        <stp>VOD-LON</stp>
        <stp>High</stp>
        <stp>I1</stp>
        <stp/>
        <stp>52</stp>
        <tr r="B58" s="12"/>
      </tp>
      <tp>
        <v>221.95</v>
        <stp/>
        <stp>*H</stp>
        <stp>VOD-LON</stp>
        <stp>High</stp>
        <stp>I1</stp>
        <stp/>
        <stp>59</stp>
        <tr r="B51" s="12"/>
      </tp>
      <tp>
        <v>221.85</v>
        <stp/>
        <stp>*H</stp>
        <stp>VOD-LON</stp>
        <stp>High</stp>
        <stp>I1</stp>
        <stp/>
        <stp>58</stp>
        <tr r="B52" s="12"/>
      </tp>
      <tp>
        <v>222.15</v>
        <stp/>
        <stp>*H</stp>
        <stp>VOD-LON</stp>
        <stp>High</stp>
        <stp>I1</stp>
        <stp/>
        <stp>45</stp>
        <tr r="B65" s="12"/>
      </tp>
      <tp>
        <v>222.15</v>
        <stp/>
        <stp>*H</stp>
        <stp>VOD-LON</stp>
        <stp>High</stp>
        <stp>I1</stp>
        <stp/>
        <stp>44</stp>
        <tr r="B66" s="12"/>
      </tp>
      <tp>
        <v>222.1</v>
        <stp/>
        <stp>*H</stp>
        <stp>VOD-LON</stp>
        <stp>High</stp>
        <stp>I1</stp>
        <stp/>
        <stp>47</stp>
        <tr r="B63" s="12"/>
      </tp>
      <tp>
        <v>222.2</v>
        <stp/>
        <stp>*H</stp>
        <stp>VOD-LON</stp>
        <stp>High</stp>
        <stp>I1</stp>
        <stp/>
        <stp>46</stp>
        <tr r="B64" s="12"/>
      </tp>
      <tp>
        <v>222</v>
        <stp/>
        <stp>*H</stp>
        <stp>VOD-LON</stp>
        <stp>High</stp>
        <stp>I1</stp>
        <stp/>
        <stp>41</stp>
        <tr r="B69" s="12"/>
      </tp>
      <tp>
        <v>222</v>
        <stp/>
        <stp>*H</stp>
        <stp>VOD-LON</stp>
        <stp>High</stp>
        <stp>I1</stp>
        <stp/>
        <stp>40</stp>
        <tr r="B70" s="12"/>
      </tp>
      <tp>
        <v>222.05</v>
        <stp/>
        <stp>*H</stp>
        <stp>VOD-LON</stp>
        <stp>High</stp>
        <stp>I1</stp>
        <stp/>
        <stp>43</stp>
        <tr r="B67" s="12"/>
      </tp>
      <tp>
        <v>222</v>
        <stp/>
        <stp>*H</stp>
        <stp>VOD-LON</stp>
        <stp>High</stp>
        <stp>I1</stp>
        <stp/>
        <stp>42</stp>
        <tr r="B68" s="12"/>
      </tp>
      <tp>
        <v>222</v>
        <stp/>
        <stp>*H</stp>
        <stp>VOD-LON</stp>
        <stp>High</stp>
        <stp>I1</stp>
        <stp/>
        <stp>49</stp>
        <tr r="B61" s="12"/>
      </tp>
      <tp>
        <v>222.1</v>
        <stp/>
        <stp>*H</stp>
        <stp>VOD-LON</stp>
        <stp>High</stp>
        <stp>I1</stp>
        <stp/>
        <stp>48</stp>
        <tr r="B62" s="12"/>
      </tp>
      <tp>
        <v>594</v>
        <stp/>
        <stp>*H(DNLM-LON,Open,D,42927)</stp>
        <tr r="T3" s="5"/>
      </tp>
      <tp>
        <v>558</v>
        <stp/>
        <stp>*H(DNLM-LON,Open,D,42928)</stp>
        <tr r="Z3" s="5"/>
      </tp>
      <tp>
        <v>305.39999999999998</v>
        <stp/>
        <stp>*H(RTN-LON,Last,D,42928)</stp>
        <tr r="AC9" s="5"/>
      </tp>
      <tp>
        <v>303.10001</v>
        <stp/>
        <stp>*H(RTN-LON,Last,D,42927)</stp>
        <tr r="W9" s="5"/>
      </tp>
      <tp>
        <v>99</v>
        <stp/>
        <stp>*H(LAM-LON,Low,D,42928)</stp>
        <tr r="AB7" s="5"/>
      </tp>
      <tp>
        <v>100</v>
        <stp/>
        <stp>*H(LAM-LON,Low,D,42927)</stp>
        <tr r="V7" s="5"/>
      </tp>
    </main>
    <main first="esrtd">
      <tp>
        <v>223.15</v>
        <stp/>
        <stp>*H</stp>
        <stp>VOD-LON</stp>
        <stp>High</stp>
        <stp>I1</stp>
        <stp/>
        <stp>9000</stp>
        <tr r="B14" s="12"/>
      </tp>
      <tp>
        <v>222.45</v>
        <stp/>
        <stp>*H</stp>
        <stp>VOD-LON</stp>
        <stp>High</stp>
        <stp>I1</stp>
        <stp/>
        <stp>8000</stp>
        <tr r="B13" s="12"/>
      </tp>
      <tp>
        <v>218.35</v>
        <stp/>
        <stp>*H</stp>
        <stp>VOD-LON</stp>
        <stp>High</stp>
        <stp>I1</stp>
        <stp/>
        <stp>3000</stp>
        <tr r="B8" s="12"/>
      </tp>
      <tp>
        <v>218.45</v>
        <stp/>
        <stp>*H</stp>
        <stp>VOD-LON</stp>
        <stp>High</stp>
        <stp>I1</stp>
        <stp/>
        <stp>2000</stp>
        <tr r="B7" s="12"/>
      </tp>
      <tp>
        <v>217.85</v>
        <stp/>
        <stp>*H</stp>
        <stp>VOD-LON</stp>
        <stp>High</stp>
        <stp>I1</stp>
        <stp/>
        <stp>1000</stp>
        <tr r="B6" s="12"/>
      </tp>
      <tp>
        <v>223.9</v>
        <stp/>
        <stp>*H</stp>
        <stp>VOD-LON</stp>
        <stp>High</stp>
        <stp>I1</stp>
        <stp/>
        <stp>7000</stp>
        <tr r="B12" s="12"/>
      </tp>
      <tp>
        <v>222.35</v>
        <stp/>
        <stp>*H</stp>
        <stp>VOD-LON</stp>
        <stp>High</stp>
        <stp>I1</stp>
        <stp/>
        <stp>6000</stp>
        <tr r="B11" s="12"/>
      </tp>
      <tp>
        <v>219.95</v>
        <stp/>
        <stp>*H</stp>
        <stp>VOD-LON</stp>
        <stp>High</stp>
        <stp>I1</stp>
        <stp/>
        <stp>5000</stp>
        <tr r="B10" s="12"/>
      </tp>
      <tp>
        <v>216.95</v>
        <stp/>
        <stp>*H</stp>
        <stp>VOD-LON</stp>
        <stp>High</stp>
        <stp>I1</stp>
        <stp/>
        <stp>4000</stp>
        <tr r="B9" s="12"/>
      </tp>
    </main>
    <main first="esrtd">
      <tp>
        <v>221.55</v>
        <stp/>
        <stp>*H</stp>
        <stp>VOD-LON</stp>
        <stp>Open</stp>
        <stp>I1</stp>
        <stp/>
        <stp>27</stp>
        <tr r="E83" s="12"/>
      </tp>
      <tp>
        <v>221.5</v>
        <stp/>
        <stp>*H</stp>
        <stp>VOD-LON</stp>
        <stp>Open</stp>
        <stp>I1</stp>
        <stp/>
        <stp>26</stp>
        <tr r="E84" s="12"/>
      </tp>
      <tp>
        <v>221.5</v>
        <stp/>
        <stp>*H</stp>
        <stp>VOD-LON</stp>
        <stp>Open</stp>
        <stp>I1</stp>
        <stp/>
        <stp>25</stp>
        <tr r="E85" s="12"/>
      </tp>
      <tp>
        <v>221.45</v>
        <stp/>
        <stp>*H</stp>
        <stp>VOD-LON</stp>
        <stp>Open</stp>
        <stp>I1</stp>
        <stp/>
        <stp>24</stp>
        <tr r="E86" s="12"/>
      </tp>
      <tp>
        <v>221.35</v>
        <stp/>
        <stp>*H</stp>
        <stp>VOD-LON</stp>
        <stp>Open</stp>
        <stp>I1</stp>
        <stp/>
        <stp>23</stp>
        <tr r="E87" s="12"/>
      </tp>
      <tp>
        <v>221.25</v>
        <stp/>
        <stp>*H</stp>
        <stp>VOD-LON</stp>
        <stp>Open</stp>
        <stp>I1</stp>
        <stp/>
        <stp>22</stp>
        <tr r="E88" s="12"/>
      </tp>
      <tp>
        <v>221.25</v>
        <stp/>
        <stp>*H</stp>
        <stp>VOD-LON</stp>
        <stp>Open</stp>
        <stp>I1</stp>
        <stp/>
        <stp>21</stp>
        <tr r="E89" s="12"/>
      </tp>
      <tp>
        <v>221.3</v>
        <stp/>
        <stp>*H</stp>
        <stp>VOD-LON</stp>
        <stp>Open</stp>
        <stp>I1</stp>
        <stp/>
        <stp>20</stp>
        <tr r="E90" s="12"/>
      </tp>
      <tp>
        <v>221.75</v>
        <stp/>
        <stp>*H</stp>
        <stp>VOD-LON</stp>
        <stp>Open</stp>
        <stp>I1</stp>
        <stp/>
        <stp>29</stp>
        <tr r="E81" s="12"/>
      </tp>
      <tp>
        <v>221.65</v>
        <stp/>
        <stp>*H</stp>
        <stp>VOD-LON</stp>
        <stp>Open</stp>
        <stp>I1</stp>
        <stp/>
        <stp>28</stp>
        <tr r="E82" s="12"/>
      </tp>
      <tp>
        <v>222</v>
        <stp/>
        <stp>*H</stp>
        <stp>VOD-LON</stp>
        <stp>Open</stp>
        <stp>I1</stp>
        <stp/>
        <stp>37</stp>
        <tr r="E73" s="12"/>
      </tp>
      <tp>
        <v>221.85</v>
        <stp/>
        <stp>*H</stp>
        <stp>VOD-LON</stp>
        <stp>Open</stp>
        <stp>I1</stp>
        <stp/>
        <stp>36</stp>
        <tr r="E74" s="12"/>
      </tp>
      <tp>
        <v>221.75</v>
        <stp/>
        <stp>*H</stp>
        <stp>VOD-LON</stp>
        <stp>Open</stp>
        <stp>I1</stp>
        <stp/>
        <stp>35</stp>
        <tr r="E75" s="12"/>
      </tp>
      <tp>
        <v>221.8</v>
        <stp/>
        <stp>*H</stp>
        <stp>VOD-LON</stp>
        <stp>Open</stp>
        <stp>I1</stp>
        <stp/>
        <stp>34</stp>
        <tr r="E76" s="12"/>
      </tp>
      <tp>
        <v>221.8</v>
        <stp/>
        <stp>*H</stp>
        <stp>VOD-LON</stp>
        <stp>Open</stp>
        <stp>I1</stp>
        <stp/>
        <stp>33</stp>
        <tr r="E77" s="12"/>
      </tp>
      <tp>
        <v>221.8</v>
        <stp/>
        <stp>*H</stp>
        <stp>VOD-LON</stp>
        <stp>Open</stp>
        <stp>I1</stp>
        <stp/>
        <stp>32</stp>
        <tr r="E78" s="12"/>
      </tp>
      <tp>
        <v>221.8</v>
        <stp/>
        <stp>*H</stp>
        <stp>VOD-LON</stp>
        <stp>Open</stp>
        <stp>I1</stp>
        <stp/>
        <stp>31</stp>
        <tr r="E79" s="12"/>
      </tp>
      <tp>
        <v>221.75</v>
        <stp/>
        <stp>*H</stp>
        <stp>VOD-LON</stp>
        <stp>Open</stp>
        <stp>I1</stp>
        <stp/>
        <stp>30</stp>
        <tr r="E80" s="12"/>
      </tp>
      <tp>
        <v>221.9</v>
        <stp/>
        <stp>*H</stp>
        <stp>VOD-LON</stp>
        <stp>Open</stp>
        <stp>I1</stp>
        <stp/>
        <stp>39</stp>
        <tr r="E71" s="12"/>
      </tp>
      <tp>
        <v>222</v>
        <stp/>
        <stp>*H</stp>
        <stp>VOD-LON</stp>
        <stp>Open</stp>
        <stp>I1</stp>
        <stp/>
        <stp>38</stp>
        <tr r="E72" s="12"/>
      </tp>
      <tp>
        <v>221.2</v>
        <stp/>
        <stp>*H</stp>
        <stp>VOD-LON</stp>
        <stp>Open</stp>
        <stp>I1</stp>
        <stp/>
        <stp>17</stp>
        <tr r="E93" s="12"/>
      </tp>
      <tp>
        <v>221.15</v>
        <stp/>
        <stp>*H</stp>
        <stp>VOD-LON</stp>
        <stp>Open</stp>
        <stp>I1</stp>
        <stp/>
        <stp>16</stp>
        <tr r="E94" s="12"/>
      </tp>
      <tp>
        <v>221.05</v>
        <stp/>
        <stp>*H</stp>
        <stp>VOD-LON</stp>
        <stp>Open</stp>
        <stp>I1</stp>
        <stp/>
        <stp>15</stp>
        <tr r="E95" s="12"/>
      </tp>
      <tp>
        <v>221</v>
        <stp/>
        <stp>*H</stp>
        <stp>VOD-LON</stp>
        <stp>Open</stp>
        <stp>I1</stp>
        <stp/>
        <stp>14</stp>
        <tr r="E96" s="12"/>
      </tp>
      <tp>
        <v>220.95</v>
        <stp/>
        <stp>*H</stp>
        <stp>VOD-LON</stp>
        <stp>Open</stp>
        <stp>I1</stp>
        <stp/>
        <stp>13</stp>
        <tr r="E97" s="12"/>
      </tp>
      <tp>
        <v>220.85</v>
        <stp/>
        <stp>*H</stp>
        <stp>VOD-LON</stp>
        <stp>Open</stp>
        <stp>I1</stp>
        <stp/>
        <stp>12</stp>
        <tr r="E98" s="12"/>
      </tp>
      <tp>
        <v>220.75</v>
        <stp/>
        <stp>*H</stp>
        <stp>VOD-LON</stp>
        <stp>Open</stp>
        <stp>I1</stp>
        <stp/>
        <stp>11</stp>
        <tr r="E99" s="12"/>
      </tp>
      <tp>
        <v>220.6</v>
        <stp/>
        <stp>*H</stp>
        <stp>VOD-LON</stp>
        <stp>Open</stp>
        <stp>I1</stp>
        <stp/>
        <stp>10</stp>
        <tr r="E100" s="12"/>
      </tp>
      <tp>
        <v>221.3</v>
        <stp/>
        <stp>*H</stp>
        <stp>VOD-LON</stp>
        <stp>Open</stp>
        <stp>I1</stp>
        <stp/>
        <stp>19</stp>
        <tr r="E91" s="12"/>
      </tp>
      <tp>
        <v>221.25</v>
        <stp/>
        <stp>*H</stp>
        <stp>VOD-LON</stp>
        <stp>Open</stp>
        <stp>I1</stp>
        <stp/>
        <stp>18</stp>
        <tr r="E92" s="12"/>
      </tp>
      <tp>
        <v>222</v>
        <stp/>
        <stp>*H</stp>
        <stp>VOD-LON</stp>
        <stp>Open</stp>
        <stp>I1</stp>
        <stp/>
        <stp>67</stp>
        <tr r="E43" s="12"/>
      </tp>
      <tp>
        <v>221.95</v>
        <stp/>
        <stp>*H</stp>
        <stp>VOD-LON</stp>
        <stp>Open</stp>
        <stp>I1</stp>
        <stp/>
        <stp>66</stp>
        <tr r="E44" s="12"/>
      </tp>
      <tp>
        <v>221.95</v>
        <stp/>
        <stp>*H</stp>
        <stp>VOD-LON</stp>
        <stp>Open</stp>
        <stp>I1</stp>
        <stp/>
        <stp>65</stp>
        <tr r="E45" s="12"/>
      </tp>
      <tp>
        <v>221.95</v>
        <stp/>
        <stp>*H</stp>
        <stp>VOD-LON</stp>
        <stp>Open</stp>
        <stp>I1</stp>
        <stp/>
        <stp>64</stp>
        <tr r="E46" s="12"/>
      </tp>
      <tp>
        <v>222</v>
        <stp/>
        <stp>*H</stp>
        <stp>VOD-LON</stp>
        <stp>Open</stp>
        <stp>I1</stp>
        <stp/>
        <stp>63</stp>
        <tr r="E47" s="12"/>
      </tp>
      <tp>
        <v>222.05</v>
        <stp/>
        <stp>*H</stp>
        <stp>VOD-LON</stp>
        <stp>Open</stp>
        <stp>I1</stp>
        <stp/>
        <stp>62</stp>
        <tr r="E48" s="12"/>
      </tp>
      <tp>
        <v>222.1</v>
        <stp/>
        <stp>*H</stp>
        <stp>VOD-LON</stp>
        <stp>Open</stp>
        <stp>I1</stp>
        <stp/>
        <stp>61</stp>
        <tr r="E49" s="12"/>
      </tp>
      <tp>
        <v>221.95</v>
        <stp/>
        <stp>*H</stp>
        <stp>VOD-LON</stp>
        <stp>Open</stp>
        <stp>I1</stp>
        <stp/>
        <stp>60</stp>
        <tr r="E50" s="12"/>
      </tp>
      <tp>
        <v>221.9</v>
        <stp/>
        <stp>*H</stp>
        <stp>VOD-LON</stp>
        <stp>Open</stp>
        <stp>I1</stp>
        <stp/>
        <stp>69</stp>
        <tr r="E41" s="12"/>
      </tp>
      <tp>
        <v>221.95</v>
        <stp/>
        <stp>*H</stp>
        <stp>VOD-LON</stp>
        <stp>Open</stp>
        <stp>I1</stp>
        <stp/>
        <stp>68</stp>
        <tr r="E42" s="12"/>
      </tp>
      <tp>
        <v>222.3</v>
        <stp/>
        <stp>*H</stp>
        <stp>VOD-LON</stp>
        <stp>Open</stp>
        <stp>I1</stp>
        <stp/>
        <stp>77</stp>
        <tr r="E33" s="12"/>
      </tp>
      <tp>
        <v>222.15</v>
        <stp/>
        <stp>*H</stp>
        <stp>VOD-LON</stp>
        <stp>Open</stp>
        <stp>I1</stp>
        <stp/>
        <stp>76</stp>
        <tr r="E34" s="12"/>
      </tp>
      <tp>
        <v>222.15</v>
        <stp/>
        <stp>*H</stp>
        <stp>VOD-LON</stp>
        <stp>Open</stp>
        <stp>I1</stp>
        <stp/>
        <stp>75</stp>
        <tr r="E35" s="12"/>
      </tp>
      <tp>
        <v>222.15</v>
        <stp/>
        <stp>*H</stp>
        <stp>VOD-LON</stp>
        <stp>Open</stp>
        <stp>I1</stp>
        <stp/>
        <stp>74</stp>
        <tr r="E36" s="12"/>
      </tp>
      <tp>
        <v>222.15</v>
        <stp/>
        <stp>*H</stp>
        <stp>VOD-LON</stp>
        <stp>Open</stp>
        <stp>I1</stp>
        <stp/>
        <stp>73</stp>
        <tr r="E37" s="12"/>
      </tp>
      <tp>
        <v>222.1</v>
        <stp/>
        <stp>*H</stp>
        <stp>VOD-LON</stp>
        <stp>Open</stp>
        <stp>I1</stp>
        <stp/>
        <stp>72</stp>
        <tr r="E38" s="12"/>
      </tp>
      <tp>
        <v>222.1</v>
        <stp/>
        <stp>*H</stp>
        <stp>VOD-LON</stp>
        <stp>Open</stp>
        <stp>I1</stp>
        <stp/>
        <stp>71</stp>
        <tr r="E39" s="12"/>
      </tp>
      <tp>
        <v>222</v>
        <stp/>
        <stp>*H</stp>
        <stp>VOD-LON</stp>
        <stp>Open</stp>
        <stp>I1</stp>
        <stp/>
        <stp>70</stp>
        <tr r="E40" s="12"/>
      </tp>
      <tp>
        <v>222.35</v>
        <stp/>
        <stp>*H</stp>
        <stp>VOD-LON</stp>
        <stp>Open</stp>
        <stp>I1</stp>
        <stp/>
        <stp>79</stp>
        <tr r="E31" s="12"/>
      </tp>
      <tp>
        <v>222.35</v>
        <stp/>
        <stp>*H</stp>
        <stp>VOD-LON</stp>
        <stp>Open</stp>
        <stp>I1</stp>
        <stp/>
        <stp>78</stp>
        <tr r="E32" s="12"/>
      </tp>
      <tp>
        <v>222.1</v>
        <stp/>
        <stp>*H</stp>
        <stp>VOD-LON</stp>
        <stp>Open</stp>
        <stp>I1</stp>
        <stp/>
        <stp>47</stp>
        <tr r="E63" s="12"/>
      </tp>
      <tp>
        <v>222.1</v>
        <stp/>
        <stp>*H</stp>
        <stp>VOD-LON</stp>
        <stp>Open</stp>
        <stp>I1</stp>
        <stp/>
        <stp>46</stp>
        <tr r="E64" s="12"/>
      </tp>
      <tp>
        <v>222.15</v>
        <stp/>
        <stp>*H</stp>
        <stp>VOD-LON</stp>
        <stp>Open</stp>
        <stp>I1</stp>
        <stp/>
        <stp>45</stp>
        <tr r="E65" s="12"/>
      </tp>
      <tp>
        <v>222.15</v>
        <stp/>
        <stp>*H</stp>
        <stp>VOD-LON</stp>
        <stp>Open</stp>
        <stp>I1</stp>
        <stp/>
        <stp>44</stp>
        <tr r="E66" s="12"/>
      </tp>
      <tp>
        <v>222.05</v>
        <stp/>
        <stp>*H</stp>
        <stp>VOD-LON</stp>
        <stp>Open</stp>
        <stp>I1</stp>
        <stp/>
        <stp>43</stp>
        <tr r="E67" s="12"/>
      </tp>
      <tp>
        <v>222</v>
        <stp/>
        <stp>*H</stp>
        <stp>VOD-LON</stp>
        <stp>Open</stp>
        <stp>I1</stp>
        <stp/>
        <stp>42</stp>
        <tr r="E68" s="12"/>
      </tp>
      <tp>
        <v>221.9</v>
        <stp/>
        <stp>*H</stp>
        <stp>VOD-LON</stp>
        <stp>Open</stp>
        <stp>I1</stp>
        <stp/>
        <stp>41</stp>
        <tr r="E69" s="12"/>
      </tp>
      <tp>
        <v>222</v>
        <stp/>
        <stp>*H</stp>
        <stp>VOD-LON</stp>
        <stp>Open</stp>
        <stp>I1</stp>
        <stp/>
        <stp>40</stp>
        <tr r="E70" s="12"/>
      </tp>
      <tp>
        <v>221.85</v>
        <stp/>
        <stp>*H</stp>
        <stp>VOD-LON</stp>
        <stp>Open</stp>
        <stp>I1</stp>
        <stp/>
        <stp>49</stp>
        <tr r="E61" s="12"/>
      </tp>
      <tp>
        <v>222</v>
        <stp/>
        <stp>*H</stp>
        <stp>VOD-LON</stp>
        <stp>Open</stp>
        <stp>I1</stp>
        <stp/>
        <stp>48</stp>
        <tr r="E62" s="12"/>
      </tp>
      <tp>
        <v>221.9</v>
        <stp/>
        <stp>*H</stp>
        <stp>VOD-LON</stp>
        <stp>Open</stp>
        <stp>I1</stp>
        <stp/>
        <stp>57</stp>
        <tr r="E53" s="12"/>
      </tp>
      <tp>
        <v>221.9</v>
        <stp/>
        <stp>*H</stp>
        <stp>VOD-LON</stp>
        <stp>Open</stp>
        <stp>I1</stp>
        <stp/>
        <stp>56</stp>
        <tr r="E54" s="12"/>
      </tp>
      <tp>
        <v>221.85</v>
        <stp/>
        <stp>*H</stp>
        <stp>VOD-LON</stp>
        <stp>Open</stp>
        <stp>I1</stp>
        <stp/>
        <stp>55</stp>
        <tr r="E55" s="12"/>
      </tp>
      <tp>
        <v>221.95</v>
        <stp/>
        <stp>*H</stp>
        <stp>VOD-LON</stp>
        <stp>Open</stp>
        <stp>I1</stp>
        <stp/>
        <stp>54</stp>
        <tr r="E56" s="12"/>
      </tp>
      <tp>
        <v>222</v>
        <stp/>
        <stp>*H</stp>
        <stp>VOD-LON</stp>
        <stp>Open</stp>
        <stp>I1</stp>
        <stp/>
        <stp>53</stp>
        <tr r="E57" s="12"/>
      </tp>
      <tp>
        <v>221.95</v>
        <stp/>
        <stp>*H</stp>
        <stp>VOD-LON</stp>
        <stp>Open</stp>
        <stp>I1</stp>
        <stp/>
        <stp>52</stp>
        <tr r="E58" s="12"/>
      </tp>
      <tp>
        <v>221.95</v>
        <stp/>
        <stp>*H</stp>
        <stp>VOD-LON</stp>
        <stp>Open</stp>
        <stp>I1</stp>
        <stp/>
        <stp>51</stp>
        <tr r="E59" s="12"/>
      </tp>
      <tp>
        <v>221.9</v>
        <stp/>
        <stp>*H</stp>
        <stp>VOD-LON</stp>
        <stp>Open</stp>
        <stp>I1</stp>
        <stp/>
        <stp>50</stp>
        <tr r="E60" s="12"/>
      </tp>
      <tp>
        <v>221.85</v>
        <stp/>
        <stp>*H</stp>
        <stp>VOD-LON</stp>
        <stp>Open</stp>
        <stp>I1</stp>
        <stp/>
        <stp>59</stp>
        <tr r="E51" s="12"/>
      </tp>
      <tp>
        <v>221.75</v>
        <stp/>
        <stp>*H</stp>
        <stp>VOD-LON</stp>
        <stp>Open</stp>
        <stp>I1</stp>
        <stp/>
        <stp>58</stp>
        <tr r="E52" s="12"/>
      </tp>
      <tp>
        <v>222.15</v>
        <stp/>
        <stp>*H</stp>
        <stp>VOD-LON</stp>
        <stp>Open</stp>
        <stp>I1</stp>
        <stp/>
        <stp>87</stp>
        <tr r="E23" s="12"/>
      </tp>
      <tp>
        <v>222.2</v>
        <stp/>
        <stp>*H</stp>
        <stp>VOD-LON</stp>
        <stp>Open</stp>
        <stp>I1</stp>
        <stp/>
        <stp>86</stp>
        <tr r="E24" s="12"/>
      </tp>
      <tp>
        <v>222.25</v>
        <stp/>
        <stp>*H</stp>
        <stp>VOD-LON</stp>
        <stp>Open</stp>
        <stp>I1</stp>
        <stp/>
        <stp>85</stp>
        <tr r="E25" s="12"/>
      </tp>
      <tp>
        <v>222.3</v>
        <stp/>
        <stp>*H</stp>
        <stp>VOD-LON</stp>
        <stp>Open</stp>
        <stp>I1</stp>
        <stp/>
        <stp>84</stp>
        <tr r="E26" s="12"/>
      </tp>
      <tp>
        <v>222.3</v>
        <stp/>
        <stp>*H</stp>
        <stp>VOD-LON</stp>
        <stp>Open</stp>
        <stp>I1</stp>
        <stp/>
        <stp>83</stp>
        <tr r="E27" s="12"/>
      </tp>
      <tp>
        <v>222.35</v>
        <stp/>
        <stp>*H</stp>
        <stp>VOD-LON</stp>
        <stp>Open</stp>
        <stp>I1</stp>
        <stp/>
        <stp>82</stp>
        <tr r="E28" s="12"/>
      </tp>
      <tp>
        <v>222.35</v>
        <stp/>
        <stp>*H</stp>
        <stp>VOD-LON</stp>
        <stp>Open</stp>
        <stp>I1</stp>
        <stp/>
        <stp>81</stp>
        <tr r="E29" s="12"/>
      </tp>
      <tp>
        <v>222.4</v>
        <stp/>
        <stp>*H</stp>
        <stp>VOD-LON</stp>
        <stp>Open</stp>
        <stp>I1</stp>
        <stp/>
        <stp>80</stp>
        <tr r="E30" s="12"/>
      </tp>
      <tp>
        <v>222.2</v>
        <stp/>
        <stp>*H</stp>
        <stp>VOD-LON</stp>
        <stp>Open</stp>
        <stp>I1</stp>
        <stp/>
        <stp>89</stp>
        <tr r="E21" s="12"/>
      </tp>
      <tp>
        <v>222.15</v>
        <stp/>
        <stp>*H</stp>
        <stp>VOD-LON</stp>
        <stp>Open</stp>
        <stp>I1</stp>
        <stp/>
        <stp>88</stp>
        <tr r="E22" s="12"/>
      </tp>
      <tp>
        <v>222.05</v>
        <stp/>
        <stp>*H</stp>
        <stp>VOD-LON</stp>
        <stp>Open</stp>
        <stp>I1</stp>
        <stp/>
        <stp>95</stp>
        <tr r="E15" s="12"/>
      </tp>
      <tp>
        <v>222.1</v>
        <stp/>
        <stp>*H</stp>
        <stp>VOD-LON</stp>
        <stp>Open</stp>
        <stp>I1</stp>
        <stp/>
        <stp>94</stp>
        <tr r="E16" s="12"/>
      </tp>
      <tp>
        <v>222.1</v>
        <stp/>
        <stp>*H</stp>
        <stp>VOD-LON</stp>
        <stp>Open</stp>
        <stp>I1</stp>
        <stp/>
        <stp>93</stp>
        <tr r="E17" s="12"/>
      </tp>
      <tp>
        <v>222.15</v>
        <stp/>
        <stp>*H</stp>
        <stp>VOD-LON</stp>
        <stp>Open</stp>
        <stp>I1</stp>
        <stp/>
        <stp>92</stp>
        <tr r="E18" s="12"/>
      </tp>
      <tp>
        <v>222.15</v>
        <stp/>
        <stp>*H</stp>
        <stp>VOD-LON</stp>
        <stp>Open</stp>
        <stp>I1</stp>
        <stp/>
        <stp>91</stp>
        <tr r="E19" s="12"/>
      </tp>
      <tp>
        <v>222.2</v>
        <stp/>
        <stp>*H</stp>
        <stp>VOD-LON</stp>
        <stp>Open</stp>
        <stp>I1</stp>
        <stp/>
        <stp>90</stp>
        <tr r="E20" s="12"/>
      </tp>
      <tp>
        <v>64.349999999999994</v>
        <stp/>
        <stp>*H(FR-EEB,Last,D,42928)</stp>
        <tr r="AC5" s="5"/>
      </tp>
      <tp>
        <v>62.400002000000001</v>
        <stp/>
        <stp>*H(FR-EEB,Last,D,42927)</stp>
        <tr r="W5" s="5"/>
      </tp>
      <tp>
        <v>221.75</v>
        <stp/>
        <stp>*H</stp>
        <stp>VOD-LON</stp>
        <stp>Last</stp>
        <stp>I1</stp>
        <stp/>
        <stp>31</stp>
        <tr r="C79" s="12"/>
      </tp>
      <tp>
        <v>221.75</v>
        <stp/>
        <stp>*H</stp>
        <stp>VOD-LON</stp>
        <stp>Last</stp>
        <stp>I1</stp>
        <stp/>
        <stp>30</stp>
        <tr r="C80" s="12"/>
      </tp>
      <tp>
        <v>221.8</v>
        <stp/>
        <stp>*H</stp>
        <stp>VOD-LON</stp>
        <stp>Last</stp>
        <stp>I1</stp>
        <stp/>
        <stp>33</stp>
        <tr r="C77" s="12"/>
      </tp>
      <tp>
        <v>221.75</v>
        <stp/>
        <stp>*H</stp>
        <stp>VOD-LON</stp>
        <stp>Last</stp>
        <stp>I1</stp>
        <stp/>
        <stp>32</stp>
        <tr r="C78" s="12"/>
      </tp>
      <tp>
        <v>221.8</v>
        <stp/>
        <stp>*H</stp>
        <stp>VOD-LON</stp>
        <stp>Last</stp>
        <stp>I1</stp>
        <stp/>
        <stp>35</stp>
        <tr r="C75" s="12"/>
      </tp>
      <tp>
        <v>221.8</v>
        <stp/>
        <stp>*H</stp>
        <stp>VOD-LON</stp>
        <stp>Last</stp>
        <stp>I1</stp>
        <stp/>
        <stp>34</stp>
        <tr r="C76" s="12"/>
      </tp>
      <tp>
        <v>221.95</v>
        <stp/>
        <stp>*H</stp>
        <stp>VOD-LON</stp>
        <stp>Last</stp>
        <stp>I1</stp>
        <stp/>
        <stp>37</stp>
        <tr r="C73" s="12"/>
      </tp>
      <tp>
        <v>221.7</v>
        <stp/>
        <stp>*H</stp>
        <stp>VOD-LON</stp>
        <stp>Last</stp>
        <stp>I1</stp>
        <stp/>
        <stp>36</stp>
        <tr r="C74" s="12"/>
      </tp>
      <tp>
        <v>222</v>
        <stp/>
        <stp>*H</stp>
        <stp>VOD-LON</stp>
        <stp>Last</stp>
        <stp>I1</stp>
        <stp/>
        <stp>39</stp>
        <tr r="C71" s="12"/>
      </tp>
      <tp>
        <v>222</v>
        <stp/>
        <stp>*H</stp>
        <stp>VOD-LON</stp>
        <stp>Last</stp>
        <stp>I1</stp>
        <stp/>
        <stp>38</stp>
        <tr r="C72" s="12"/>
      </tp>
      <tp>
        <v>221.3</v>
        <stp/>
        <stp>*H</stp>
        <stp>VOD-LON</stp>
        <stp>Last</stp>
        <stp>I1</stp>
        <stp/>
        <stp>21</stp>
        <tr r="C89" s="12"/>
      </tp>
      <tp>
        <v>221.3</v>
        <stp/>
        <stp>*H</stp>
        <stp>VOD-LON</stp>
        <stp>Last</stp>
        <stp>I1</stp>
        <stp/>
        <stp>20</stp>
        <tr r="C90" s="12"/>
      </tp>
      <tp>
        <v>221.25</v>
        <stp/>
        <stp>*H</stp>
        <stp>VOD-LON</stp>
        <stp>Last</stp>
        <stp>I1</stp>
        <stp/>
        <stp>23</stp>
        <tr r="C87" s="12"/>
      </tp>
      <tp>
        <v>221.2</v>
        <stp/>
        <stp>*H</stp>
        <stp>VOD-LON</stp>
        <stp>Last</stp>
        <stp>I1</stp>
        <stp/>
        <stp>22</stp>
        <tr r="C88" s="12"/>
      </tp>
      <tp>
        <v>221.5</v>
        <stp/>
        <stp>*H</stp>
        <stp>VOD-LON</stp>
        <stp>Last</stp>
        <stp>I1</stp>
        <stp/>
        <stp>25</stp>
        <tr r="C85" s="12"/>
      </tp>
      <tp>
        <v>221.3</v>
        <stp/>
        <stp>*H</stp>
        <stp>VOD-LON</stp>
        <stp>Last</stp>
        <stp>I1</stp>
        <stp/>
        <stp>24</stp>
        <tr r="C86" s="12"/>
      </tp>
      <tp>
        <v>221.55</v>
        <stp/>
        <stp>*H</stp>
        <stp>VOD-LON</stp>
        <stp>Last</stp>
        <stp>I1</stp>
        <stp/>
        <stp>27</stp>
        <tr r="C83" s="12"/>
      </tp>
      <tp>
        <v>221.5</v>
        <stp/>
        <stp>*H</stp>
        <stp>VOD-LON</stp>
        <stp>Last</stp>
        <stp>I1</stp>
        <stp/>
        <stp>26</stp>
        <tr r="C84" s="12"/>
      </tp>
      <tp>
        <v>221.65</v>
        <stp/>
        <stp>*H</stp>
        <stp>VOD-LON</stp>
        <stp>Last</stp>
        <stp>I1</stp>
        <stp/>
        <stp>29</stp>
        <tr r="C81" s="12"/>
      </tp>
      <tp>
        <v>221.6</v>
        <stp/>
        <stp>*H</stp>
        <stp>VOD-LON</stp>
        <stp>Last</stp>
        <stp>I1</stp>
        <stp/>
        <stp>28</stp>
        <tr r="C82" s="12"/>
      </tp>
      <tp>
        <v>220.6</v>
        <stp/>
        <stp>*H</stp>
        <stp>VOD-LON</stp>
        <stp>Last</stp>
        <stp>I1</stp>
        <stp/>
        <stp>11</stp>
        <tr r="C99" s="12"/>
      </tp>
      <tp>
        <v>220.5</v>
        <stp/>
        <stp>*H</stp>
        <stp>VOD-LON</stp>
        <stp>Last</stp>
        <stp>I1</stp>
        <stp/>
        <stp>10</stp>
        <tr r="C100" s="12"/>
      </tp>
      <tp>
        <v>220.85</v>
        <stp/>
        <stp>*H</stp>
        <stp>VOD-LON</stp>
        <stp>Last</stp>
        <stp>I1</stp>
        <stp/>
        <stp>13</stp>
        <tr r="C97" s="12"/>
      </tp>
      <tp>
        <v>220.75</v>
        <stp/>
        <stp>*H</stp>
        <stp>VOD-LON</stp>
        <stp>Last</stp>
        <stp>I1</stp>
        <stp/>
        <stp>12</stp>
        <tr r="C98" s="12"/>
      </tp>
      <tp>
        <v>221.05</v>
        <stp/>
        <stp>*H</stp>
        <stp>VOD-LON</stp>
        <stp>Last</stp>
        <stp>I1</stp>
        <stp/>
        <stp>15</stp>
        <tr r="C95" s="12"/>
      </tp>
      <tp>
        <v>220.95</v>
        <stp/>
        <stp>*H</stp>
        <stp>VOD-LON</stp>
        <stp>Last</stp>
        <stp>I1</stp>
        <stp/>
        <stp>14</stp>
        <tr r="C96" s="12"/>
      </tp>
      <tp>
        <v>221.2</v>
        <stp/>
        <stp>*H</stp>
        <stp>VOD-LON</stp>
        <stp>Last</stp>
        <stp>I1</stp>
        <stp/>
        <stp>17</stp>
        <tr r="C93" s="12"/>
      </tp>
      <tp>
        <v>221.05</v>
        <stp/>
        <stp>*H</stp>
        <stp>VOD-LON</stp>
        <stp>Last</stp>
        <stp>I1</stp>
        <stp/>
        <stp>16</stp>
        <tr r="C94" s="12"/>
      </tp>
      <tp>
        <v>221.25</v>
        <stp/>
        <stp>*H</stp>
        <stp>VOD-LON</stp>
        <stp>Last</stp>
        <stp>I1</stp>
        <stp/>
        <stp>19</stp>
        <tr r="C91" s="12"/>
      </tp>
      <tp>
        <v>221.25</v>
        <stp/>
        <stp>*H</stp>
        <stp>VOD-LON</stp>
        <stp>Last</stp>
        <stp>I1</stp>
        <stp/>
        <stp>18</stp>
        <tr r="C92" s="12"/>
      </tp>
      <tp>
        <v>222.05</v>
        <stp/>
        <stp>*H</stp>
        <stp>VOD-LON</stp>
        <stp>Last</stp>
        <stp>I1</stp>
        <stp/>
        <stp>71</stp>
        <tr r="C39" s="12"/>
      </tp>
      <tp>
        <v>221.9</v>
        <stp/>
        <stp>*H</stp>
        <stp>VOD-LON</stp>
        <stp>Last</stp>
        <stp>I1</stp>
        <stp/>
        <stp>70</stp>
        <tr r="C40" s="12"/>
      </tp>
      <tp>
        <v>222.15</v>
        <stp/>
        <stp>*H</stp>
        <stp>VOD-LON</stp>
        <stp>Last</stp>
        <stp>I1</stp>
        <stp/>
        <stp>73</stp>
        <tr r="C37" s="12"/>
      </tp>
      <tp>
        <v>222.1</v>
        <stp/>
        <stp>*H</stp>
        <stp>VOD-LON</stp>
        <stp>Last</stp>
        <stp>I1</stp>
        <stp/>
        <stp>72</stp>
        <tr r="C38" s="12"/>
      </tp>
      <tp>
        <v>222.15</v>
        <stp/>
        <stp>*H</stp>
        <stp>VOD-LON</stp>
        <stp>Last</stp>
        <stp>I1</stp>
        <stp/>
        <stp>75</stp>
        <tr r="C35" s="12"/>
      </tp>
      <tp>
        <v>222.15</v>
        <stp/>
        <stp>*H</stp>
        <stp>VOD-LON</stp>
        <stp>Last</stp>
        <stp>I1</stp>
        <stp/>
        <stp>74</stp>
        <tr r="C36" s="12"/>
      </tp>
      <tp>
        <v>222.2</v>
        <stp/>
        <stp>*H</stp>
        <stp>VOD-LON</stp>
        <stp>Last</stp>
        <stp>I1</stp>
        <stp/>
        <stp>77</stp>
        <tr r="C33" s="12"/>
      </tp>
      <tp>
        <v>222.1</v>
        <stp/>
        <stp>*H</stp>
        <stp>VOD-LON</stp>
        <stp>Last</stp>
        <stp>I1</stp>
        <stp/>
        <stp>76</stp>
        <tr r="C34" s="12"/>
      </tp>
      <tp>
        <v>222.35</v>
        <stp/>
        <stp>*H</stp>
        <stp>VOD-LON</stp>
        <stp>Last</stp>
        <stp>I1</stp>
        <stp/>
        <stp>79</stp>
        <tr r="C31" s="12"/>
      </tp>
      <tp>
        <v>222.35</v>
        <stp/>
        <stp>*H</stp>
        <stp>VOD-LON</stp>
        <stp>Last</stp>
        <stp>I1</stp>
        <stp/>
        <stp>78</stp>
        <tr r="C32" s="12"/>
      </tp>
      <tp>
        <v>221.95</v>
        <stp/>
        <stp>*H</stp>
        <stp>VOD-LON</stp>
        <stp>Last</stp>
        <stp>I1</stp>
        <stp/>
        <stp>61</stp>
        <tr r="C49" s="12"/>
      </tp>
      <tp>
        <v>221.85</v>
        <stp/>
        <stp>*H</stp>
        <stp>VOD-LON</stp>
        <stp>Last</stp>
        <stp>I1</stp>
        <stp/>
        <stp>60</stp>
        <tr r="C50" s="12"/>
      </tp>
      <tp>
        <v>222</v>
        <stp/>
        <stp>*H</stp>
        <stp>VOD-LON</stp>
        <stp>Last</stp>
        <stp>I1</stp>
        <stp/>
        <stp>63</stp>
        <tr r="C47" s="12"/>
      </tp>
      <tp>
        <v>222.05</v>
        <stp/>
        <stp>*H</stp>
        <stp>VOD-LON</stp>
        <stp>Last</stp>
        <stp>I1</stp>
        <stp/>
        <stp>62</stp>
        <tr r="C48" s="12"/>
      </tp>
      <tp>
        <v>221.9</v>
        <stp/>
        <stp>*H</stp>
        <stp>VOD-LON</stp>
        <stp>Last</stp>
        <stp>I1</stp>
        <stp/>
        <stp>65</stp>
        <tr r="C45" s="12"/>
      </tp>
      <tp>
        <v>222</v>
        <stp/>
        <stp>*H</stp>
        <stp>VOD-LON</stp>
        <stp>Last</stp>
        <stp>I1</stp>
        <stp/>
        <stp>64</stp>
        <tr r="C46" s="12"/>
      </tp>
      <tp>
        <v>222</v>
        <stp/>
        <stp>*H</stp>
        <stp>VOD-LON</stp>
        <stp>Last</stp>
        <stp>I1</stp>
        <stp/>
        <stp>67</stp>
        <tr r="C43" s="12"/>
      </tp>
      <tp>
        <v>221.95</v>
        <stp/>
        <stp>*H</stp>
        <stp>VOD-LON</stp>
        <stp>Last</stp>
        <stp>I1</stp>
        <stp/>
        <stp>66</stp>
        <tr r="C44" s="12"/>
      </tp>
      <tp>
        <v>221.9</v>
        <stp/>
        <stp>*H</stp>
        <stp>VOD-LON</stp>
        <stp>Last</stp>
        <stp>I1</stp>
        <stp/>
        <stp>69</stp>
        <tr r="C41" s="12"/>
      </tp>
      <tp>
        <v>222</v>
        <stp/>
        <stp>*H</stp>
        <stp>VOD-LON</stp>
        <stp>Last</stp>
        <stp>I1</stp>
        <stp/>
        <stp>68</stp>
        <tr r="C42" s="12"/>
      </tp>
      <tp>
        <v>221.95</v>
        <stp/>
        <stp>*H</stp>
        <stp>VOD-LON</stp>
        <stp>Last</stp>
        <stp>I1</stp>
        <stp/>
        <stp>51</stp>
        <tr r="C59" s="12"/>
      </tp>
      <tp>
        <v>221.8</v>
        <stp/>
        <stp>*H</stp>
        <stp>VOD-LON</stp>
        <stp>Last</stp>
        <stp>I1</stp>
        <stp/>
        <stp>50</stp>
        <tr r="C60" s="12"/>
      </tp>
      <tp>
        <v>222</v>
        <stp/>
        <stp>*H</stp>
        <stp>VOD-LON</stp>
        <stp>Last</stp>
        <stp>I1</stp>
        <stp/>
        <stp>53</stp>
        <tr r="C57" s="12"/>
      </tp>
      <tp>
        <v>221.95</v>
        <stp/>
        <stp>*H</stp>
        <stp>VOD-LON</stp>
        <stp>Last</stp>
        <stp>I1</stp>
        <stp/>
        <stp>52</stp>
        <tr r="C58" s="12"/>
      </tp>
      <tp>
        <v>221.9</v>
        <stp/>
        <stp>*H</stp>
        <stp>VOD-LON</stp>
        <stp>Last</stp>
        <stp>I1</stp>
        <stp/>
        <stp>55</stp>
        <tr r="C55" s="12"/>
      </tp>
      <tp>
        <v>222</v>
        <stp/>
        <stp>*H</stp>
        <stp>VOD-LON</stp>
        <stp>Last</stp>
        <stp>I1</stp>
        <stp/>
        <stp>54</stp>
        <tr r="C56" s="12"/>
      </tp>
      <tp>
        <v>221.95</v>
        <stp/>
        <stp>*H</stp>
        <stp>VOD-LON</stp>
        <stp>Last</stp>
        <stp>I1</stp>
        <stp/>
        <stp>57</stp>
        <tr r="C53" s="12"/>
      </tp>
      <tp>
        <v>221.8</v>
        <stp/>
        <stp>*H</stp>
        <stp>VOD-LON</stp>
        <stp>Last</stp>
        <stp>I1</stp>
        <stp/>
        <stp>56</stp>
        <tr r="C54" s="12"/>
      </tp>
      <tp>
        <v>221.75</v>
        <stp/>
        <stp>*H</stp>
        <stp>VOD-LON</stp>
        <stp>Last</stp>
        <stp>I1</stp>
        <stp/>
        <stp>59</stp>
        <tr r="C51" s="12"/>
      </tp>
      <tp>
        <v>221.85</v>
        <stp/>
        <stp>*H</stp>
        <stp>VOD-LON</stp>
        <stp>Last</stp>
        <stp>I1</stp>
        <stp/>
        <stp>58</stp>
        <tr r="C52" s="12"/>
      </tp>
      <tp>
        <v>221.95</v>
        <stp/>
        <stp>*H</stp>
        <stp>VOD-LON</stp>
        <stp>Last</stp>
        <stp>I1</stp>
        <stp/>
        <stp>41</stp>
        <tr r="C69" s="12"/>
      </tp>
      <tp>
        <v>221.85</v>
        <stp/>
        <stp>*H</stp>
        <stp>VOD-LON</stp>
        <stp>Last</stp>
        <stp>I1</stp>
        <stp/>
        <stp>40</stp>
        <tr r="C70" s="12"/>
      </tp>
      <tp>
        <v>222</v>
        <stp/>
        <stp>*H</stp>
        <stp>VOD-LON</stp>
        <stp>Last</stp>
        <stp>I1</stp>
        <stp/>
        <stp>43</stp>
        <tr r="C67" s="12"/>
      </tp>
      <tp>
        <v>221.9</v>
        <stp/>
        <stp>*H</stp>
        <stp>VOD-LON</stp>
        <stp>Last</stp>
        <stp>I1</stp>
        <stp/>
        <stp>42</stp>
        <tr r="C68" s="12"/>
      </tp>
      <tp>
        <v>222.15</v>
        <stp/>
        <stp>*H</stp>
        <stp>VOD-LON</stp>
        <stp>Last</stp>
        <stp>I1</stp>
        <stp/>
        <stp>45</stp>
        <tr r="C65" s="12"/>
      </tp>
      <tp>
        <v>222</v>
        <stp/>
        <stp>*H</stp>
        <stp>VOD-LON</stp>
        <stp>Last</stp>
        <stp>I1</stp>
        <stp/>
        <stp>44</stp>
        <tr r="C66" s="12"/>
      </tp>
      <tp>
        <v>222.1</v>
        <stp/>
        <stp>*H</stp>
        <stp>VOD-LON</stp>
        <stp>Last</stp>
        <stp>I1</stp>
        <stp/>
        <stp>47</stp>
        <tr r="C63" s="12"/>
      </tp>
      <tp>
        <v>222.2</v>
        <stp/>
        <stp>*H</stp>
        <stp>VOD-LON</stp>
        <stp>Last</stp>
        <stp>I1</stp>
        <stp/>
        <stp>46</stp>
        <tr r="C64" s="12"/>
      </tp>
      <tp>
        <v>221.95</v>
        <stp/>
        <stp>*H</stp>
        <stp>VOD-LON</stp>
        <stp>Last</stp>
        <stp>I1</stp>
        <stp/>
        <stp>49</stp>
        <tr r="C61" s="12"/>
      </tp>
      <tp>
        <v>222.1</v>
        <stp/>
        <stp>*H</stp>
        <stp>VOD-LON</stp>
        <stp>Last</stp>
        <stp>I1</stp>
        <stp/>
        <stp>48</stp>
        <tr r="C62" s="12"/>
      </tp>
      <tp>
        <v>222.15</v>
        <stp/>
        <stp>*H</stp>
        <stp>VOD-LON</stp>
        <stp>Last</stp>
        <stp>I1</stp>
        <stp/>
        <stp>91</stp>
        <tr r="C19" s="12"/>
      </tp>
      <tp>
        <v>222.2</v>
        <stp/>
        <stp>*H</stp>
        <stp>VOD-LON</stp>
        <stp>Last</stp>
        <stp>I1</stp>
        <stp/>
        <stp>90</stp>
        <tr r="C20" s="12"/>
      </tp>
      <tp>
        <v>222.1</v>
        <stp/>
        <stp>*H</stp>
        <stp>VOD-LON</stp>
        <stp>Last</stp>
        <stp>I1</stp>
        <stp/>
        <stp>93</stp>
        <tr r="C17" s="12"/>
      </tp>
      <tp>
        <v>222.15</v>
        <stp/>
        <stp>*H</stp>
        <stp>VOD-LON</stp>
        <stp>Last</stp>
        <stp>I1</stp>
        <stp/>
        <stp>92</stp>
        <tr r="C18" s="12"/>
      </tp>
      <tp>
        <v>222.1</v>
        <stp/>
        <stp>*H</stp>
        <stp>VOD-LON</stp>
        <stp>Last</stp>
        <stp>I1</stp>
        <stp/>
        <stp>95</stp>
        <tr r="C15" s="12"/>
      </tp>
      <tp>
        <v>222.1</v>
        <stp/>
        <stp>*H</stp>
        <stp>VOD-LON</stp>
        <stp>Last</stp>
        <stp>I1</stp>
        <stp/>
        <stp>94</stp>
        <tr r="C16" s="12"/>
      </tp>
      <tp>
        <v>222.35</v>
        <stp/>
        <stp>*H</stp>
        <stp>VOD-LON</stp>
        <stp>Last</stp>
        <stp>I1</stp>
        <stp/>
        <stp>81</stp>
        <tr r="C29" s="12"/>
      </tp>
      <tp>
        <v>222.35</v>
        <stp/>
        <stp>*H</stp>
        <stp>VOD-LON</stp>
        <stp>Last</stp>
        <stp>I1</stp>
        <stp/>
        <stp>80</stp>
        <tr r="C30" s="12"/>
      </tp>
      <tp>
        <v>222.3</v>
        <stp/>
        <stp>*H</stp>
        <stp>VOD-LON</stp>
        <stp>Last</stp>
        <stp>I1</stp>
        <stp/>
        <stp>83</stp>
        <tr r="C27" s="12"/>
      </tp>
      <tp>
        <v>222.35</v>
        <stp/>
        <stp>*H</stp>
        <stp>VOD-LON</stp>
        <stp>Last</stp>
        <stp>I1</stp>
        <stp/>
        <stp>82</stp>
        <tr r="C28" s="12"/>
      </tp>
      <tp>
        <v>222.25</v>
        <stp/>
        <stp>*H</stp>
        <stp>VOD-LON</stp>
        <stp>Last</stp>
        <stp>I1</stp>
        <stp/>
        <stp>85</stp>
        <tr r="C25" s="12"/>
      </tp>
      <tp>
        <v>222.3</v>
        <stp/>
        <stp>*H</stp>
        <stp>VOD-LON</stp>
        <stp>Last</stp>
        <stp>I1</stp>
        <stp/>
        <stp>84</stp>
        <tr r="C26" s="12"/>
      </tp>
      <tp>
        <v>222.15</v>
        <stp/>
        <stp>*H</stp>
        <stp>VOD-LON</stp>
        <stp>Last</stp>
        <stp>I1</stp>
        <stp/>
        <stp>87</stp>
        <tr r="C23" s="12"/>
      </tp>
      <tp>
        <v>222.25</v>
        <stp/>
        <stp>*H</stp>
        <stp>VOD-LON</stp>
        <stp>Last</stp>
        <stp>I1</stp>
        <stp/>
        <stp>86</stp>
        <tr r="C24" s="12"/>
      </tp>
      <tp>
        <v>222.2</v>
        <stp/>
        <stp>*H</stp>
        <stp>VOD-LON</stp>
        <stp>Last</stp>
        <stp>I1</stp>
        <stp/>
        <stp>89</stp>
        <tr r="C21" s="12"/>
      </tp>
      <tp>
        <v>222.1</v>
        <stp/>
        <stp>*H</stp>
        <stp>VOD-LON</stp>
        <stp>Last</stp>
        <stp>I1</stp>
        <stp/>
        <stp>88</stp>
        <tr r="C22" s="12"/>
      </tp>
    </main>
    <main first="esrtd">
      <tp>
        <v>218.45</v>
        <stp/>
        <stp>*H</stp>
        <stp>VOD-LON</stp>
        <stp>Open</stp>
        <stp>I1</stp>
        <stp/>
        <stp>2000</stp>
        <tr r="E7" s="12"/>
      </tp>
      <tp>
        <v>218.3</v>
        <stp/>
        <stp>*H</stp>
        <stp>VOD-LON</stp>
        <stp>Open</stp>
        <stp>I1</stp>
        <stp/>
        <stp>3000</stp>
        <tr r="E8" s="12"/>
      </tp>
      <tp>
        <v>217.85</v>
        <stp/>
        <stp>*H</stp>
        <stp>VOD-LON</stp>
        <stp>Open</stp>
        <stp>I1</stp>
        <stp/>
        <stp>1000</stp>
        <tr r="E6" s="12"/>
      </tp>
      <tp>
        <v>222.35</v>
        <stp/>
        <stp>*H</stp>
        <stp>VOD-LON</stp>
        <stp>Open</stp>
        <stp>I1</stp>
        <stp/>
        <stp>6000</stp>
        <tr r="E11" s="12"/>
      </tp>
      <tp>
        <v>223.9</v>
        <stp/>
        <stp>*H</stp>
        <stp>VOD-LON</stp>
        <stp>Open</stp>
        <stp>I1</stp>
        <stp/>
        <stp>7000</stp>
        <tr r="E12" s="12"/>
      </tp>
      <tp>
        <v>216.9</v>
        <stp/>
        <stp>*H</stp>
        <stp>VOD-LON</stp>
        <stp>Open</stp>
        <stp>I1</stp>
        <stp/>
        <stp>4000</stp>
        <tr r="E9" s="12"/>
      </tp>
      <tp>
        <v>219.95</v>
        <stp/>
        <stp>*H</stp>
        <stp>VOD-LON</stp>
        <stp>Open</stp>
        <stp>I1</stp>
        <stp/>
        <stp>5000</stp>
        <tr r="E10" s="12"/>
      </tp>
      <tp>
        <v>222.4</v>
        <stp/>
        <stp>*H</stp>
        <stp>VOD-LON</stp>
        <stp>Open</stp>
        <stp>I1</stp>
        <stp/>
        <stp>8000</stp>
        <tr r="E13" s="12"/>
      </tp>
      <tp>
        <v>223.1</v>
        <stp/>
        <stp>*H</stp>
        <stp>VOD-LON</stp>
        <stp>Open</stp>
        <stp>I1</stp>
        <stp/>
        <stp>9000</stp>
        <tr r="E14" s="12"/>
      </tp>
      <tp>
        <v>100.5</v>
        <stp/>
        <stp>*H(LAM-LON,Last,D,42928)</stp>
        <tr r="AC7" s="5"/>
      </tp>
      <tp>
        <v>100</v>
        <stp/>
        <stp>*H(LAM-LON,Last,D,42927)</stp>
        <tr r="W7" s="5"/>
      </tp>
    </main>
    <main first="esrtd">
      <tp>
        <v>220.65</v>
        <stp/>
        <stp>*H</stp>
        <stp>VOD-LON</stp>
        <stp>Last</stp>
        <stp>I1</stp>
        <stp/>
        <stp>3</stp>
        <tr r="C107" s="12"/>
      </tp>
      <tp>
        <v>220.8</v>
        <stp/>
        <stp>*H</stp>
        <stp>VOD-LON</stp>
        <stp>Last</stp>
        <stp>I1</stp>
        <stp/>
        <stp>2</stp>
        <tr r="C108" s="12"/>
      </tp>
      <tp>
        <v>220.8</v>
        <stp/>
        <stp>*H</stp>
        <stp>VOD-LON</stp>
        <stp>Last</stp>
        <stp>I1</stp>
        <stp/>
        <stp>1</stp>
        <tr r="C109" s="12"/>
      </tp>
      <tp>
        <v>220.9</v>
        <stp/>
        <stp>*H</stp>
        <stp>VOD-LON</stp>
        <stp>Last</stp>
        <stp>I1</stp>
        <stp/>
        <stp>0</stp>
        <tr r="C110" s="12"/>
      </tp>
      <tp>
        <v>220.6</v>
        <stp/>
        <stp>*H</stp>
        <stp>VOD-LON</stp>
        <stp>Last</stp>
        <stp>I1</stp>
        <stp/>
        <stp>7</stp>
        <tr r="C103" s="12"/>
      </tp>
      <tp>
        <v>220.6</v>
        <stp/>
        <stp>*H</stp>
        <stp>VOD-LON</stp>
        <stp>Last</stp>
        <stp>I1</stp>
        <stp/>
        <stp>6</stp>
        <tr r="C104" s="12"/>
      </tp>
      <tp>
        <v>220.6</v>
        <stp/>
        <stp>*H</stp>
        <stp>VOD-LON</stp>
        <stp>Last</stp>
        <stp>I1</stp>
        <stp/>
        <stp>5</stp>
        <tr r="C105" s="12"/>
      </tp>
      <tp>
        <v>220.6</v>
        <stp/>
        <stp>*H</stp>
        <stp>VOD-LON</stp>
        <stp>Last</stp>
        <stp>I1</stp>
        <stp/>
        <stp>4</stp>
        <tr r="C106" s="12"/>
      </tp>
      <tp>
        <v>220.5</v>
        <stp/>
        <stp>*H</stp>
        <stp>VOD-LON</stp>
        <stp>Last</stp>
        <stp>I1</stp>
        <stp/>
        <stp>9</stp>
        <tr r="C101" s="12"/>
      </tp>
      <tp>
        <v>220.4</v>
        <stp/>
        <stp>*H</stp>
        <stp>VOD-LON</stp>
        <stp>Last</stp>
        <stp>I1</stp>
        <stp/>
        <stp>8</stp>
        <tr r="C102" s="12"/>
      </tp>
      <tp>
        <v>29.024999999999999</v>
        <stp/>
        <stp>*H(MEO-XET,Open,D,42927)</stp>
        <tr r="T8" s="5"/>
      </tp>
      <tp>
        <v>29.215</v>
        <stp/>
        <stp>*H(MEO-XET,Open,D,42928)</stp>
        <tr r="Z8" s="5"/>
      </tp>
      <tp>
        <v>28.99</v>
        <stp/>
        <stp>*H(MEO-XET,Low,D,42927)</stp>
        <tr r="V8" s="5"/>
      </tp>
      <tp>
        <v>28</v>
        <stp/>
        <stp>*H(MEO-XET,Low,D,42928)</stp>
        <tr r="AB8" s="5"/>
      </tp>
      <tp>
        <v>217.10001</v>
        <stp/>
        <stp>*H(VOD-LON,Low,D,42927)</stp>
        <tr r="V10" s="5"/>
      </tp>
      <tp>
        <v>217.85</v>
        <stp/>
        <stp>*H(VOD-LON,Low,D,42928)</stp>
        <tr r="AB10" s="5"/>
      </tp>
      <tp t="s">
        <v/>
        <stp/>
        <stp>.Volume</stp>
        <tr r="I11" s="5"/>
        <tr r="I34" s="5"/>
        <tr r="I21" s="5"/>
        <tr r="I50" s="5"/>
        <tr r="I42" s="5"/>
        <tr r="I13" s="5"/>
        <tr r="I22" s="5"/>
        <tr r="I48" s="5"/>
        <tr r="I26" s="5"/>
        <tr r="I45" s="5"/>
        <tr r="I35" s="5"/>
        <tr r="I15" s="5"/>
        <tr r="I32" s="5"/>
        <tr r="I30" s="5"/>
        <tr r="I43" s="5"/>
        <tr r="I24" s="5"/>
        <tr r="I23" s="5"/>
        <tr r="I31" s="5"/>
        <tr r="I25" s="5"/>
        <tr r="I49" s="5"/>
        <tr r="I27" s="5"/>
        <tr r="I17" s="5"/>
        <tr r="I28" s="5"/>
        <tr r="I39" s="5"/>
        <tr r="I29" s="5"/>
        <tr r="I44" s="5"/>
        <tr r="I14" s="5"/>
        <tr r="I46" s="5"/>
        <tr r="I38" s="5"/>
        <tr r="I36" s="5"/>
        <tr r="I6" s="5"/>
        <tr r="I8" s="5"/>
        <tr r="I33" s="5"/>
        <tr r="I18" s="5"/>
        <tr r="I41" s="5"/>
        <tr r="I12" s="5"/>
        <tr r="I37" s="5"/>
        <tr r="I19" s="5"/>
        <tr r="I40" s="5"/>
        <tr r="I47" s="5"/>
        <tr r="I10" s="5"/>
        <tr r="I7" s="5"/>
        <tr r="I16" s="5"/>
        <tr r="I9" s="5"/>
        <tr r="I20" s="5"/>
        <tr r="N41" s="5"/>
        <tr r="N43" s="5"/>
        <tr r="D34" s="5"/>
        <tr r="D13" s="5"/>
        <tr r="N16" s="5"/>
        <tr r="N49" s="5"/>
        <tr r="N22" s="5"/>
        <tr r="D42" s="5"/>
        <tr r="D21" s="5"/>
        <tr r="N3" s="5"/>
        <tr r="D29" s="5"/>
        <tr r="N44" s="5"/>
        <tr r="D28" s="5"/>
        <tr r="N27" s="5"/>
        <tr r="N11" s="5"/>
        <tr r="N40" s="5"/>
        <tr r="N38" s="5"/>
        <tr r="D32" s="5"/>
        <tr r="D22" s="5"/>
        <tr r="N34" s="5"/>
        <tr r="N10" s="5"/>
        <tr r="N33" s="5"/>
        <tr r="D36" s="5"/>
        <tr r="N6" s="5"/>
        <tr r="D35" s="5"/>
        <tr r="D39" s="5"/>
        <tr r="N45" s="5"/>
        <tr r="D16" s="5"/>
        <tr r="N30" s="5"/>
        <tr r="N20" s="5"/>
        <tr r="N14" s="5"/>
        <tr r="N52" s="5"/>
        <tr r="D47" s="5"/>
        <tr r="D44" s="5"/>
        <tr r="N31" s="5"/>
        <tr r="D40" s="5"/>
        <tr r="N19" s="5"/>
        <tr r="D46" s="5"/>
        <tr r="N42" s="5"/>
        <tr r="D55" s="5"/>
        <tr r="D17" s="5"/>
        <tr r="D33" s="5"/>
        <tr r="N18" s="5"/>
        <tr r="D51" s="5"/>
        <tr r="D23" s="5"/>
        <tr r="D15" s="5"/>
        <tr r="N23" s="5"/>
        <tr r="D24" s="5"/>
        <tr r="D20" s="5"/>
        <tr r="D54" s="5"/>
        <tr r="N24" s="5"/>
        <tr r="N53" s="5"/>
        <tr r="D50" s="5"/>
        <tr r="N7" s="5"/>
        <tr r="D26" s="5"/>
        <tr r="N26" s="5"/>
        <tr r="N5" s="5"/>
        <tr r="D30" s="5"/>
        <tr r="N35" s="5"/>
        <tr r="D31" s="5"/>
        <tr r="N48" s="5"/>
        <tr r="D37" s="5"/>
        <tr r="N15" s="5"/>
        <tr r="N56" s="5"/>
        <tr r="N32" s="5"/>
        <tr r="N39" s="5"/>
        <tr r="D41" s="5"/>
        <tr r="N12" s="5"/>
        <tr r="D19" s="5"/>
        <tr r="N8" s="5"/>
        <tr r="D52" s="5"/>
        <tr r="D27" s="5"/>
        <tr r="D49" s="5"/>
        <tr r="N50" s="5"/>
        <tr r="N47" s="5"/>
        <tr r="D53" s="5"/>
        <tr r="N9" s="5"/>
        <tr r="D56" s="5"/>
        <tr r="D18" s="5"/>
        <tr r="N13" s="5"/>
        <tr r="D45" s="5"/>
        <tr r="D43" s="5"/>
        <tr r="N51" s="5"/>
        <tr r="D48" s="5"/>
        <tr r="N4" s="5"/>
        <tr r="N17" s="5"/>
        <tr r="D38" s="5"/>
        <tr r="N25" s="5"/>
        <tr r="D14" s="5"/>
        <tr r="N28" s="5"/>
        <tr r="N37" s="5"/>
        <tr r="N46" s="5"/>
        <tr r="D25" s="5"/>
        <tr r="N36" s="5"/>
        <tr r="N29" s="5"/>
        <tr r="N54" s="5"/>
        <tr r="N21" s="5"/>
        <tr r="N55" s="5"/>
        <tr r="D11" s="5"/>
        <tr r="D12" s="5"/>
      </tp>
      <tp>
        <v>42907.541666666664</v>
        <stp/>
        <stp>*H</stp>
        <stp>VOD-LON</stp>
        <stp>Intraday_Date</stp>
        <stp>I1</stp>
        <stp/>
        <stp>8000</stp>
        <tr r="H13" s="12"/>
      </tp>
      <tp>
        <v>42905.541666666664</v>
        <stp/>
        <stp>*H</stp>
        <stp>VOD-LON</stp>
        <stp>Intraday_Date</stp>
        <stp>I1</stp>
        <stp/>
        <stp>9000</stp>
        <tr r="H14" s="12"/>
      </tp>
      <tp>
        <v>42913.541666666664</v>
        <stp/>
        <stp>*H</stp>
        <stp>VOD-LON</stp>
        <stp>Intraday_Date</stp>
        <stp>I1</stp>
        <stp/>
        <stp>6000</stp>
        <tr r="H11" s="12"/>
      </tp>
      <tp>
        <v>42909.541666666664</v>
        <stp/>
        <stp>*H</stp>
        <stp>VOD-LON</stp>
        <stp>Intraday_Date</stp>
        <stp>I1</stp>
        <stp/>
        <stp>7000</stp>
        <tr r="H12" s="12"/>
      </tp>
      <tp>
        <v>42919.541666666664</v>
        <stp/>
        <stp>*H</stp>
        <stp>VOD-LON</stp>
        <stp>Intraday_Date</stp>
        <stp>I1</stp>
        <stp/>
        <stp>4000</stp>
        <tr r="H9" s="12"/>
      </tp>
      <tp>
        <v>42915.541666666664</v>
        <stp/>
        <stp>*H</stp>
        <stp>VOD-LON</stp>
        <stp>Intraday_Date</stp>
        <stp>I1</stp>
        <stp/>
        <stp>5000</stp>
        <tr r="H10" s="12"/>
      </tp>
      <tp>
        <v>42923.541666666664</v>
        <stp/>
        <stp>*H</stp>
        <stp>VOD-LON</stp>
        <stp>Intraday_Date</stp>
        <stp>I1</stp>
        <stp/>
        <stp>2000</stp>
        <tr r="H7" s="12"/>
      </tp>
      <tp>
        <v>42921.541666666664</v>
        <stp/>
        <stp>*H</stp>
        <stp>VOD-LON</stp>
        <stp>Intraday_Date</stp>
        <stp>I1</stp>
        <stp/>
        <stp>3000</stp>
        <tr r="H8" s="12"/>
      </tp>
      <tp>
        <v>42927.541666666664</v>
        <stp/>
        <stp>*H</stp>
        <stp>VOD-LON</stp>
        <stp>Intraday_Date</stp>
        <stp>I1</stp>
        <stp/>
        <stp>1000</stp>
        <tr r="H6" s="12"/>
      </tp>
      <tp>
        <v>336.5</v>
        <stp/>
        <stp>*H(FENR-LON,Last,D,42928)</stp>
        <tr r="AC4" s="5"/>
      </tp>
      <tp>
        <v>333.75</v>
        <stp/>
        <stp>*H(FENR-LON,Last,D,42927)</stp>
        <tr r="W4" s="5"/>
      </tp>
      <tp>
        <v>29.379999000000002</v>
        <stp/>
        <stp>*H(MEO-XET,High,D,42927)</stp>
        <tr r="U8" s="5"/>
      </tp>
      <tp>
        <v>30.05</v>
        <stp/>
        <stp>*H(MEO-XET,High,D,42928)</stp>
        <tr r="AA8" s="5"/>
      </tp>
    </main>
    <main first="esrtd">
      <tp>
        <v>550</v>
        <stp/>
        <stp>*H(IGG-LON,Last,D,42928)</stp>
        <tr r="AC6" s="5"/>
      </tp>
      <tp>
        <v>547.5</v>
        <stp/>
        <stp>*H(IGG-LON,Last,D,42927)</stp>
        <tr r="W6" s="5"/>
      </tp>
    </main>
    <main first="esrtd">
      <tp>
        <v>220.45</v>
        <stp/>
        <stp>*H(VOD-LON,Last,D,42928)</stp>
        <tr r="AC10" s="5"/>
      </tp>
      <tp>
        <v>217.5</v>
        <stp/>
        <stp>*H(VOD-LON,Last,D,42927)</stp>
        <tr r="W10" s="5"/>
      </tp>
      <tp>
        <v>22352</v>
        <stp/>
        <stp>*H</stp>
        <stp>VOD-LON</stp>
        <stp>Volume</stp>
        <stp>I1</stp>
        <stp/>
        <stp>30</stp>
        <tr r="F80" s="12"/>
      </tp>
      <tp>
        <v>132164</v>
        <stp/>
        <stp>*H</stp>
        <stp>VOD-LON</stp>
        <stp>Volume</stp>
        <stp>I1</stp>
        <stp/>
        <stp>31</stp>
        <tr r="F79" s="12"/>
      </tp>
      <tp>
        <v>14211</v>
        <stp/>
        <stp>*H</stp>
        <stp>VOD-LON</stp>
        <stp>Volume</stp>
        <stp>I1</stp>
        <stp/>
        <stp>32</stp>
        <tr r="F78" s="12"/>
      </tp>
      <tp>
        <v>61260</v>
        <stp/>
        <stp>*H</stp>
        <stp>VOD-LON</stp>
        <stp>Volume</stp>
        <stp>I1</stp>
        <stp/>
        <stp>33</stp>
        <tr r="F77" s="12"/>
      </tp>
      <tp>
        <v>34344</v>
        <stp/>
        <stp>*H</stp>
        <stp>VOD-LON</stp>
        <stp>Volume</stp>
        <stp>I1</stp>
        <stp/>
        <stp>34</stp>
        <tr r="F76" s="12"/>
      </tp>
      <tp>
        <v>49221</v>
        <stp/>
        <stp>*H</stp>
        <stp>VOD-LON</stp>
        <stp>Volume</stp>
        <stp>I1</stp>
        <stp/>
        <stp>35</stp>
        <tr r="F75" s="12"/>
      </tp>
      <tp>
        <v>201806</v>
        <stp/>
        <stp>*H</stp>
        <stp>VOD-LON</stp>
        <stp>Volume</stp>
        <stp>I1</stp>
        <stp/>
        <stp>36</stp>
        <tr r="F74" s="12"/>
      </tp>
      <tp>
        <v>340161</v>
        <stp/>
        <stp>*H</stp>
        <stp>VOD-LON</stp>
        <stp>Volume</stp>
        <stp>I1</stp>
        <stp/>
        <stp>37</stp>
        <tr r="F73" s="12"/>
      </tp>
      <tp>
        <v>22204</v>
        <stp/>
        <stp>*H</stp>
        <stp>VOD-LON</stp>
        <stp>Volume</stp>
        <stp>I1</stp>
        <stp/>
        <stp>38</stp>
        <tr r="F72" s="12"/>
      </tp>
      <tp>
        <v>87429</v>
        <stp/>
        <stp>*H</stp>
        <stp>VOD-LON</stp>
        <stp>Volume</stp>
        <stp>I1</stp>
        <stp/>
        <stp>39</stp>
        <tr r="F71" s="12"/>
      </tp>
      <tp>
        <v>1500</v>
        <stp/>
        <stp>*H</stp>
        <stp>VOD-LON</stp>
        <stp>Volume</stp>
        <stp>I1</stp>
        <stp/>
        <stp>20</stp>
        <tr r="F90" s="12"/>
      </tp>
      <tp>
        <v>30900</v>
        <stp/>
        <stp>*H</stp>
        <stp>VOD-LON</stp>
        <stp>Volume</stp>
        <stp>I1</stp>
        <stp/>
        <stp>21</stp>
        <tr r="F89" s="12"/>
      </tp>
      <tp>
        <v>123969</v>
        <stp/>
        <stp>*H</stp>
        <stp>VOD-LON</stp>
        <stp>Volume</stp>
        <stp>I1</stp>
        <stp/>
        <stp>22</stp>
        <tr r="F88" s="12"/>
      </tp>
      <tp>
        <v>41280</v>
        <stp/>
        <stp>*H</stp>
        <stp>VOD-LON</stp>
        <stp>Volume</stp>
        <stp>I1</stp>
        <stp/>
        <stp>23</stp>
        <tr r="F87" s="12"/>
      </tp>
      <tp>
        <v>42402</v>
        <stp/>
        <stp>*H</stp>
        <stp>VOD-LON</stp>
        <stp>Volume</stp>
        <stp>I1</stp>
        <stp/>
        <stp>24</stp>
        <tr r="F86" s="12"/>
      </tp>
      <tp>
        <v>4822</v>
        <stp/>
        <stp>*H</stp>
        <stp>VOD-LON</stp>
        <stp>Volume</stp>
        <stp>I1</stp>
        <stp/>
        <stp>25</stp>
        <tr r="F85" s="12"/>
      </tp>
      <tp>
        <v>11224</v>
        <stp/>
        <stp>*H</stp>
        <stp>VOD-LON</stp>
        <stp>Volume</stp>
        <stp>I1</stp>
        <stp/>
        <stp>26</stp>
        <tr r="F84" s="12"/>
      </tp>
      <tp>
        <v>77147</v>
        <stp/>
        <stp>*H</stp>
        <stp>VOD-LON</stp>
        <stp>Volume</stp>
        <stp>I1</stp>
        <stp/>
        <stp>27</stp>
        <tr r="F83" s="12"/>
      </tp>
      <tp>
        <v>87986</v>
        <stp/>
        <stp>*H</stp>
        <stp>VOD-LON</stp>
        <stp>Volume</stp>
        <stp>I1</stp>
        <stp/>
        <stp>28</stp>
        <tr r="F82" s="12"/>
      </tp>
      <tp>
        <v>85967</v>
        <stp/>
        <stp>*H</stp>
        <stp>VOD-LON</stp>
        <stp>Volume</stp>
        <stp>I1</stp>
        <stp/>
        <stp>29</stp>
        <tr r="F81" s="12"/>
      </tp>
      <tp>
        <v>367739</v>
        <stp/>
        <stp>*H</stp>
        <stp>VOD-LON</stp>
        <stp>Volume</stp>
        <stp>I1</stp>
        <stp/>
        <stp>10</stp>
        <tr r="F100" s="12"/>
      </tp>
      <tp>
        <v>310269</v>
        <stp/>
        <stp>*H</stp>
        <stp>VOD-LON</stp>
        <stp>Volume</stp>
        <stp>I1</stp>
        <stp/>
        <stp>11</stp>
        <tr r="F99" s="12"/>
      </tp>
      <tp>
        <v>322155</v>
        <stp/>
        <stp>*H</stp>
        <stp>VOD-LON</stp>
        <stp>Volume</stp>
        <stp>I1</stp>
        <stp/>
        <stp>12</stp>
        <tr r="F98" s="12"/>
      </tp>
      <tp>
        <v>106157</v>
        <stp/>
        <stp>*H</stp>
        <stp>VOD-LON</stp>
        <stp>Volume</stp>
        <stp>I1</stp>
        <stp/>
        <stp>13</stp>
        <tr r="F97" s="12"/>
      </tp>
      <tp>
        <v>125769</v>
        <stp/>
        <stp>*H</stp>
        <stp>VOD-LON</stp>
        <stp>Volume</stp>
        <stp>I1</stp>
        <stp/>
        <stp>14</stp>
        <tr r="F96" s="12"/>
      </tp>
      <tp>
        <v>8120</v>
        <stp/>
        <stp>*H</stp>
        <stp>VOD-LON</stp>
        <stp>Volume</stp>
        <stp>I1</stp>
        <stp/>
        <stp>15</stp>
        <tr r="F95" s="12"/>
      </tp>
      <tp>
        <v>77269</v>
        <stp/>
        <stp>*H</stp>
        <stp>VOD-LON</stp>
        <stp>Volume</stp>
        <stp>I1</stp>
        <stp/>
        <stp>16</stp>
        <tr r="F94" s="12"/>
      </tp>
      <tp>
        <v>271890</v>
        <stp/>
        <stp>*H</stp>
        <stp>VOD-LON</stp>
        <stp>Volume</stp>
        <stp>I1</stp>
        <stp/>
        <stp>17</stp>
        <tr r="F93" s="12"/>
      </tp>
      <tp>
        <v>11292</v>
        <stp/>
        <stp>*H</stp>
        <stp>VOD-LON</stp>
        <stp>Volume</stp>
        <stp>I1</stp>
        <stp/>
        <stp>18</stp>
        <tr r="F92" s="12"/>
      </tp>
      <tp>
        <v>6567</v>
        <stp/>
        <stp>*H</stp>
        <stp>VOD-LON</stp>
        <stp>Volume</stp>
        <stp>I1</stp>
        <stp/>
        <stp>19</stp>
        <tr r="F91" s="12"/>
      </tp>
      <tp>
        <v>100227</v>
        <stp/>
        <stp>*H</stp>
        <stp>VOD-LON</stp>
        <stp>Volume</stp>
        <stp>I1</stp>
        <stp/>
        <stp>70</stp>
        <tr r="F40" s="12"/>
      </tp>
      <tp>
        <v>33757</v>
        <stp/>
        <stp>*H</stp>
        <stp>VOD-LON</stp>
        <stp>Volume</stp>
        <stp>I1</stp>
        <stp/>
        <stp>71</stp>
        <tr r="F39" s="12"/>
      </tp>
      <tp>
        <v>4646</v>
        <stp/>
        <stp>*H</stp>
        <stp>VOD-LON</stp>
        <stp>Volume</stp>
        <stp>I1</stp>
        <stp/>
        <stp>72</stp>
        <tr r="F38" s="12"/>
      </tp>
      <tp>
        <v>100</v>
        <stp/>
        <stp>*H</stp>
        <stp>VOD-LON</stp>
        <stp>Volume</stp>
        <stp>I1</stp>
        <stp/>
        <stp>73</stp>
        <tr r="F37" s="12"/>
      </tp>
      <tp>
        <v>20538</v>
        <stp/>
        <stp>*H</stp>
        <stp>VOD-LON</stp>
        <stp>Volume</stp>
        <stp>I1</stp>
        <stp/>
        <stp>74</stp>
        <tr r="F36" s="12"/>
      </tp>
      <tp>
        <v>29719</v>
        <stp/>
        <stp>*H</stp>
        <stp>VOD-LON</stp>
        <stp>Volume</stp>
        <stp>I1</stp>
        <stp/>
        <stp>75</stp>
        <tr r="F35" s="12"/>
      </tp>
      <tp>
        <v>26381</v>
        <stp/>
        <stp>*H</stp>
        <stp>VOD-LON</stp>
        <stp>Volume</stp>
        <stp>I1</stp>
        <stp/>
        <stp>76</stp>
        <tr r="F34" s="12"/>
      </tp>
      <tp>
        <v>21591</v>
        <stp/>
        <stp>*H</stp>
        <stp>VOD-LON</stp>
        <stp>Volume</stp>
        <stp>I1</stp>
        <stp/>
        <stp>77</stp>
        <tr r="F33" s="12"/>
      </tp>
      <tp>
        <v>25092</v>
        <stp/>
        <stp>*H</stp>
        <stp>VOD-LON</stp>
        <stp>Volume</stp>
        <stp>I1</stp>
        <stp/>
        <stp>78</stp>
        <tr r="F32" s="12"/>
      </tp>
      <tp>
        <v>3698</v>
        <stp/>
        <stp>*H</stp>
        <stp>VOD-LON</stp>
        <stp>Volume</stp>
        <stp>I1</stp>
        <stp/>
        <stp>79</stp>
        <tr r="F31" s="12"/>
      </tp>
      <tp>
        <v>111624</v>
        <stp/>
        <stp>*H</stp>
        <stp>VOD-LON</stp>
        <stp>Volume</stp>
        <stp>I1</stp>
        <stp/>
        <stp>60</stp>
        <tr r="F50" s="12"/>
      </tp>
      <tp>
        <v>166419</v>
        <stp/>
        <stp>*H</stp>
        <stp>VOD-LON</stp>
        <stp>Volume</stp>
        <stp>I1</stp>
        <stp/>
        <stp>61</stp>
        <tr r="F49" s="12"/>
      </tp>
      <tp>
        <v>45182</v>
        <stp/>
        <stp>*H</stp>
        <stp>VOD-LON</stp>
        <stp>Volume</stp>
        <stp>I1</stp>
        <stp/>
        <stp>62</stp>
        <tr r="F48" s="12"/>
      </tp>
      <tp>
        <v>26960</v>
        <stp/>
        <stp>*H</stp>
        <stp>VOD-LON</stp>
        <stp>Volume</stp>
        <stp>I1</stp>
        <stp/>
        <stp>63</stp>
        <tr r="F47" s="12"/>
      </tp>
      <tp>
        <v>74825</v>
        <stp/>
        <stp>*H</stp>
        <stp>VOD-LON</stp>
        <stp>Volume</stp>
        <stp>I1</stp>
        <stp/>
        <stp>64</stp>
        <tr r="F46" s="12"/>
      </tp>
      <tp>
        <v>39819</v>
        <stp/>
        <stp>*H</stp>
        <stp>VOD-LON</stp>
        <stp>Volume</stp>
        <stp>I1</stp>
        <stp/>
        <stp>65</stp>
        <tr r="F45" s="12"/>
      </tp>
      <tp>
        <v>10998</v>
        <stp/>
        <stp>*H</stp>
        <stp>VOD-LON</stp>
        <stp>Volume</stp>
        <stp>I1</stp>
        <stp/>
        <stp>66</stp>
        <tr r="F44" s="12"/>
      </tp>
      <tp>
        <v>4101</v>
        <stp/>
        <stp>*H</stp>
        <stp>VOD-LON</stp>
        <stp>Volume</stp>
        <stp>I1</stp>
        <stp/>
        <stp>67</stp>
        <tr r="F43" s="12"/>
      </tp>
      <tp>
        <v>40856</v>
        <stp/>
        <stp>*H</stp>
        <stp>VOD-LON</stp>
        <stp>Volume</stp>
        <stp>I1</stp>
        <stp/>
        <stp>68</stp>
        <tr r="F42" s="12"/>
      </tp>
      <tp>
        <v>40741</v>
        <stp/>
        <stp>*H</stp>
        <stp>VOD-LON</stp>
        <stp>Volume</stp>
        <stp>I1</stp>
        <stp/>
        <stp>69</stp>
        <tr r="F41" s="12"/>
      </tp>
      <tp>
        <v>155739</v>
        <stp/>
        <stp>*H</stp>
        <stp>VOD-LON</stp>
        <stp>Volume</stp>
        <stp>I1</stp>
        <stp/>
        <stp>50</stp>
        <tr r="F60" s="12"/>
      </tp>
      <tp>
        <v>24114</v>
        <stp/>
        <stp>*H</stp>
        <stp>VOD-LON</stp>
        <stp>Volume</stp>
        <stp>I1</stp>
        <stp/>
        <stp>51</stp>
        <tr r="F59" s="12"/>
      </tp>
      <tp>
        <v>16663</v>
        <stp/>
        <stp>*H</stp>
        <stp>VOD-LON</stp>
        <stp>Volume</stp>
        <stp>I1</stp>
        <stp/>
        <stp>52</stp>
        <tr r="F58" s="12"/>
      </tp>
      <tp>
        <v>38498</v>
        <stp/>
        <stp>*H</stp>
        <stp>VOD-LON</stp>
        <stp>Volume</stp>
        <stp>I1</stp>
        <stp/>
        <stp>53</stp>
        <tr r="F57" s="12"/>
      </tp>
      <tp>
        <v>30143</v>
        <stp/>
        <stp>*H</stp>
        <stp>VOD-LON</stp>
        <stp>Volume</stp>
        <stp>I1</stp>
        <stp/>
        <stp>54</stp>
        <tr r="F56" s="12"/>
      </tp>
      <tp>
        <v>33666</v>
        <stp/>
        <stp>*H</stp>
        <stp>VOD-LON</stp>
        <stp>Volume</stp>
        <stp>I1</stp>
        <stp/>
        <stp>55</stp>
        <tr r="F55" s="12"/>
      </tp>
      <tp>
        <v>147558</v>
        <stp/>
        <stp>*H</stp>
        <stp>VOD-LON</stp>
        <stp>Volume</stp>
        <stp>I1</stp>
        <stp/>
        <stp>56</stp>
        <tr r="F54" s="12"/>
      </tp>
      <tp>
        <v>36657</v>
        <stp/>
        <stp>*H</stp>
        <stp>VOD-LON</stp>
        <stp>Volume</stp>
        <stp>I1</stp>
        <stp/>
        <stp>57</stp>
        <tr r="F53" s="12"/>
      </tp>
      <tp>
        <v>13725</v>
        <stp/>
        <stp>*H</stp>
        <stp>VOD-LON</stp>
        <stp>Volume</stp>
        <stp>I1</stp>
        <stp/>
        <stp>58</stp>
        <tr r="F52" s="12"/>
      </tp>
      <tp>
        <v>226658</v>
        <stp/>
        <stp>*H</stp>
        <stp>VOD-LON</stp>
        <stp>Volume</stp>
        <stp>I1</stp>
        <stp/>
        <stp>59</stp>
        <tr r="F51" s="12"/>
      </tp>
      <tp>
        <v>150967</v>
        <stp/>
        <stp>*H</stp>
        <stp>VOD-LON</stp>
        <stp>Volume</stp>
        <stp>I1</stp>
        <stp/>
        <stp>40</stp>
        <tr r="F70" s="12"/>
      </tp>
      <tp>
        <v>117612</v>
        <stp/>
        <stp>*H</stp>
        <stp>VOD-LON</stp>
        <stp>Volume</stp>
        <stp>I1</stp>
        <stp/>
        <stp>41</stp>
        <tr r="F69" s="12"/>
      </tp>
      <tp>
        <v>144714</v>
        <stp/>
        <stp>*H</stp>
        <stp>VOD-LON</stp>
        <stp>Volume</stp>
        <stp>I1</stp>
        <stp/>
        <stp>42</stp>
        <tr r="F68" s="12"/>
      </tp>
      <tp>
        <v>100204</v>
        <stp/>
        <stp>*H</stp>
        <stp>VOD-LON</stp>
        <stp>Volume</stp>
        <stp>I1</stp>
        <stp/>
        <stp>43</stp>
        <tr r="F67" s="12"/>
      </tp>
      <tp>
        <v>89071</v>
        <stp/>
        <stp>*H</stp>
        <stp>VOD-LON</stp>
        <stp>Volume</stp>
        <stp>I1</stp>
        <stp/>
        <stp>44</stp>
        <tr r="F66" s="12"/>
      </tp>
      <tp>
        <v>32117</v>
        <stp/>
        <stp>*H</stp>
        <stp>VOD-LON</stp>
        <stp>Volume</stp>
        <stp>I1</stp>
        <stp/>
        <stp>45</stp>
        <tr r="F65" s="12"/>
      </tp>
      <tp>
        <v>43083</v>
        <stp/>
        <stp>*H</stp>
        <stp>VOD-LON</stp>
        <stp>Volume</stp>
        <stp>I1</stp>
        <stp/>
        <stp>46</stp>
        <tr r="F64" s="12"/>
      </tp>
      <tp>
        <v>41804</v>
        <stp/>
        <stp>*H</stp>
        <stp>VOD-LON</stp>
        <stp>Volume</stp>
        <stp>I1</stp>
        <stp/>
        <stp>47</stp>
        <tr r="F63" s="12"/>
      </tp>
      <tp>
        <v>62371</v>
        <stp/>
        <stp>*H</stp>
        <stp>VOD-LON</stp>
        <stp>Volume</stp>
        <stp>I1</stp>
        <stp/>
        <stp>48</stp>
        <tr r="F62" s="12"/>
      </tp>
      <tp>
        <v>49352</v>
        <stp/>
        <stp>*H</stp>
        <stp>VOD-LON</stp>
        <stp>Volume</stp>
        <stp>I1</stp>
        <stp/>
        <stp>49</stp>
        <tr r="F61" s="12"/>
      </tp>
      <tp>
        <v>16335</v>
        <stp/>
        <stp>*H</stp>
        <stp>VOD-LON</stp>
        <stp>Volume</stp>
        <stp>I1</stp>
        <stp/>
        <stp>90</stp>
        <tr r="F20" s="12"/>
      </tp>
      <tp>
        <v>17671</v>
        <stp/>
        <stp>*H</stp>
        <stp>VOD-LON</stp>
        <stp>Volume</stp>
        <stp>I1</stp>
        <stp/>
        <stp>91</stp>
        <tr r="F19" s="12"/>
      </tp>
      <tp>
        <v>593</v>
        <stp/>
        <stp>*H</stp>
        <stp>VOD-LON</stp>
        <stp>Volume</stp>
        <stp>I1</stp>
        <stp/>
        <stp>92</stp>
        <tr r="F18" s="12"/>
      </tp>
      <tp>
        <v>16002</v>
        <stp/>
        <stp>*H</stp>
        <stp>VOD-LON</stp>
        <stp>Volume</stp>
        <stp>I1</stp>
        <stp/>
        <stp>93</stp>
        <tr r="F17" s="12"/>
      </tp>
      <tp>
        <v>15895</v>
        <stp/>
        <stp>*H</stp>
        <stp>VOD-LON</stp>
        <stp>Volume</stp>
        <stp>I1</stp>
        <stp/>
        <stp>94</stp>
        <tr r="F16" s="12"/>
      </tp>
      <tp>
        <v>13169</v>
        <stp/>
        <stp>*H</stp>
        <stp>VOD-LON</stp>
        <stp>Volume</stp>
        <stp>I1</stp>
        <stp/>
        <stp>95</stp>
        <tr r="F15" s="12"/>
      </tp>
      <tp>
        <v>34656</v>
        <stp/>
        <stp>*H</stp>
        <stp>VOD-LON</stp>
        <stp>Volume</stp>
        <stp>I1</stp>
        <stp/>
        <stp>80</stp>
        <tr r="F30" s="12"/>
      </tp>
      <tp>
        <v>4389</v>
        <stp/>
        <stp>*H</stp>
        <stp>VOD-LON</stp>
        <stp>Volume</stp>
        <stp>I1</stp>
        <stp/>
        <stp>81</stp>
        <tr r="F29" s="12"/>
      </tp>
      <tp>
        <v>19011</v>
        <stp/>
        <stp>*H</stp>
        <stp>VOD-LON</stp>
        <stp>Volume</stp>
        <stp>I1</stp>
        <stp/>
        <stp>82</stp>
        <tr r="F28" s="12"/>
      </tp>
      <tp>
        <v>111132</v>
        <stp/>
        <stp>*H</stp>
        <stp>VOD-LON</stp>
        <stp>Volume</stp>
        <stp>I1</stp>
        <stp/>
        <stp>83</stp>
        <tr r="F27" s="12"/>
      </tp>
      <tp>
        <v>13645</v>
        <stp/>
        <stp>*H</stp>
        <stp>VOD-LON</stp>
        <stp>Volume</stp>
        <stp>I1</stp>
        <stp/>
        <stp>84</stp>
        <tr r="F26" s="12"/>
      </tp>
      <tp>
        <v>1000</v>
        <stp/>
        <stp>*H</stp>
        <stp>VOD-LON</stp>
        <stp>Volume</stp>
        <stp>I1</stp>
        <stp/>
        <stp>85</stp>
        <tr r="F25" s="12"/>
      </tp>
      <tp>
        <v>29347</v>
        <stp/>
        <stp>*H</stp>
        <stp>VOD-LON</stp>
        <stp>Volume</stp>
        <stp>I1</stp>
        <stp/>
        <stp>86</stp>
        <tr r="F24" s="12"/>
      </tp>
      <tp>
        <v>29369</v>
        <stp/>
        <stp>*H</stp>
        <stp>VOD-LON</stp>
        <stp>Volume</stp>
        <stp>I1</stp>
        <stp/>
        <stp>87</stp>
        <tr r="F23" s="12"/>
      </tp>
      <tp>
        <v>11388</v>
        <stp/>
        <stp>*H</stp>
        <stp>VOD-LON</stp>
        <stp>Volume</stp>
        <stp>I1</stp>
        <stp/>
        <stp>88</stp>
        <tr r="F22" s="12"/>
      </tp>
      <tp>
        <v>11520</v>
        <stp/>
        <stp>*H</stp>
        <stp>VOD-LON</stp>
        <stp>Volume</stp>
        <stp>I1</stp>
        <stp/>
        <stp>89</stp>
        <tr r="F21" s="12"/>
      </tp>
    </main>
    <main first="esrtd">
      <tp>
        <v>61.849997999999999</v>
        <stp/>
        <stp>*H(FR-EEB,Open,D,42927)</stp>
        <tr r="T5" s="5"/>
      </tp>
      <tp>
        <v>63.47</v>
        <stp/>
        <stp>*H(FR-EEB,Open,D,42928)</stp>
        <tr r="Z5" s="5"/>
      </tp>
      <tp>
        <v>313.29998999999998</v>
        <stp/>
        <stp>*H(RTN-LON,High,D,42927)</stp>
        <tr r="U9" s="5"/>
      </tp>
      <tp>
        <v>313</v>
        <stp/>
        <stp>*H(RTN-LON,High,D,42928)</stp>
        <tr r="AA9" s="5"/>
      </tp>
    </main>
    <main first="esrtd">
      <tp>
        <v>218.35</v>
        <stp/>
        <stp>*H</stp>
        <stp>VOD-LON</stp>
        <stp>Last</stp>
        <stp>I1</stp>
        <stp/>
        <stp>3000</stp>
        <tr r="C8" s="12"/>
      </tp>
      <tp>
        <v>218.45</v>
        <stp/>
        <stp>*H</stp>
        <stp>VOD-LON</stp>
        <stp>Last</stp>
        <stp>I1</stp>
        <stp/>
        <stp>2000</stp>
        <tr r="C7" s="12"/>
      </tp>
      <tp>
        <v>217.75</v>
        <stp/>
        <stp>*H</stp>
        <stp>VOD-LON</stp>
        <stp>Last</stp>
        <stp>I1</stp>
        <stp/>
        <stp>1000</stp>
        <tr r="C6" s="12"/>
      </tp>
      <tp>
        <v>223.9</v>
        <stp/>
        <stp>*H</stp>
        <stp>VOD-LON</stp>
        <stp>Last</stp>
        <stp>I1</stp>
        <stp/>
        <stp>7000</stp>
        <tr r="C12" s="12"/>
      </tp>
      <tp>
        <v>222.3</v>
        <stp/>
        <stp>*H</stp>
        <stp>VOD-LON</stp>
        <stp>Last</stp>
        <stp>I1</stp>
        <stp/>
        <stp>6000</stp>
        <tr r="C11" s="12"/>
      </tp>
      <tp>
        <v>219.95</v>
        <stp/>
        <stp>*H</stp>
        <stp>VOD-LON</stp>
        <stp>Last</stp>
        <stp>I1</stp>
        <stp/>
        <stp>5000</stp>
        <tr r="C10" s="12"/>
      </tp>
      <tp>
        <v>216.95</v>
        <stp/>
        <stp>*H</stp>
        <stp>VOD-LON</stp>
        <stp>Last</stp>
        <stp>I1</stp>
        <stp/>
        <stp>4000</stp>
        <tr r="C9" s="12"/>
      </tp>
      <tp>
        <v>223.15</v>
        <stp/>
        <stp>*H</stp>
        <stp>VOD-LON</stp>
        <stp>Last</stp>
        <stp>I1</stp>
        <stp/>
        <stp>9000</stp>
        <tr r="C14" s="12"/>
      </tp>
      <tp>
        <v>222.45</v>
        <stp/>
        <stp>*H</stp>
        <stp>VOD-LON</stp>
        <stp>Last</stp>
        <stp>I1</stp>
        <stp/>
        <stp>8000</stp>
        <tr r="C13" s="12"/>
      </tp>
      <tp>
        <v>298.8</v>
        <stp/>
        <stp>*H(RTN-LON,Low,D,42928)</stp>
        <tr r="AB9" s="5"/>
      </tp>
      <tp>
        <v>100</v>
        <stp/>
        <stp>*H(LAM-LON,Open,D,42927)</stp>
        <tr r="T7" s="5"/>
      </tp>
      <tp>
        <v>100</v>
        <stp/>
        <stp>*H(LAM-LON,Open,D,42928)</stp>
        <tr r="Z7" s="5"/>
      </tp>
      <tp>
        <v>302.10001</v>
        <stp/>
        <stp>*H(RTN-LON,Low,D,42927)</stp>
        <tr r="V9" s="5"/>
      </tp>
    </main>
    <main first="esrtd">
      <tp>
        <v>62.779998999999997</v>
        <stp/>
        <stp>*H(FR-EEB,High,D,42927)</stp>
        <tr r="U5" s="5"/>
      </tp>
      <tp>
        <v>64.97</v>
        <stp/>
        <stp>*H(FR-EEB,High,D,42928)</stp>
        <tr r="AA5" s="5"/>
      </tp>
      <tp>
        <v>312</v>
        <stp/>
        <stp>*H(RTN-LON,Open,D,42927)</stp>
        <tr r="T9" s="5"/>
      </tp>
      <tp>
        <v>306.7</v>
        <stp/>
        <stp>*H(RTN-LON,Open,D,42928)</stp>
        <tr r="Z9" s="5"/>
      </tp>
    </main>
    <main first="esrtd">
      <tp>
        <v>220.65</v>
        <stp/>
        <stp>*H</stp>
        <stp>VOD-LON</stp>
        <stp>Open</stp>
        <stp>I1</stp>
        <stp/>
        <stp>2</stp>
        <tr r="E108" s="12"/>
      </tp>
      <tp>
        <v>220.6</v>
        <stp/>
        <stp>*H</stp>
        <stp>VOD-LON</stp>
        <stp>Open</stp>
        <stp>I1</stp>
        <stp/>
        <stp>3</stp>
        <tr r="E107" s="12"/>
      </tp>
      <tp>
        <v>220.8</v>
        <stp/>
        <stp>*H</stp>
        <stp>VOD-LON</stp>
        <stp>Open</stp>
        <stp>I1</stp>
        <stp/>
        <stp>0</stp>
        <tr r="E110" s="12"/>
      </tp>
      <tp>
        <v>220.8</v>
        <stp/>
        <stp>*H</stp>
        <stp>VOD-LON</stp>
        <stp>Open</stp>
        <stp>I1</stp>
        <stp/>
        <stp>1</stp>
        <tr r="E109" s="12"/>
      </tp>
      <tp>
        <v>220.6</v>
        <stp/>
        <stp>*H</stp>
        <stp>VOD-LON</stp>
        <stp>Open</stp>
        <stp>I1</stp>
        <stp/>
        <stp>6</stp>
        <tr r="E104" s="12"/>
      </tp>
      <tp>
        <v>220.45</v>
        <stp/>
        <stp>*H</stp>
        <stp>VOD-LON</stp>
        <stp>Open</stp>
        <stp>I1</stp>
        <stp/>
        <stp>7</stp>
        <tr r="E103" s="12"/>
      </tp>
      <tp>
        <v>220.6</v>
        <stp/>
        <stp>*H</stp>
        <stp>VOD-LON</stp>
        <stp>Open</stp>
        <stp>I1</stp>
        <stp/>
        <stp>4</stp>
        <tr r="E106" s="12"/>
      </tp>
      <tp>
        <v>220.65</v>
        <stp/>
        <stp>*H</stp>
        <stp>VOD-LON</stp>
        <stp>Open</stp>
        <stp>I1</stp>
        <stp/>
        <stp>5</stp>
        <tr r="E105" s="12"/>
      </tp>
      <tp>
        <v>220.5</v>
        <stp/>
        <stp>*H</stp>
        <stp>VOD-LON</stp>
        <stp>Open</stp>
        <stp>I1</stp>
        <stp/>
        <stp>8</stp>
        <tr r="E102" s="12"/>
      </tp>
      <tp>
        <v>220.5</v>
        <stp/>
        <stp>*H</stp>
        <stp>VOD-LON</stp>
        <stp>Open</stp>
        <stp>I1</stp>
        <stp/>
        <stp>9</stp>
        <tr r="E101" s="12"/>
      </tp>
      <tp>
        <v>101.25</v>
        <stp/>
        <stp>*H(LAM-LON,High,D,42927)</stp>
        <tr r="U7" s="5"/>
      </tp>
      <tp>
        <v>101</v>
        <stp/>
        <stp>*H(LAM-LON,High,D,42928)</stp>
        <tr r="AA7" s="5"/>
      </tp>
      <tp>
        <v>42913.472222222219</v>
        <stp/>
        <stp>*H</stp>
        <stp>VOD-LON</stp>
        <stp>Intraday_Time</stp>
        <stp>I1</stp>
        <stp/>
        <stp>6000</stp>
        <tr r="I11" s="12"/>
      </tp>
      <tp>
        <v>42909.45</v>
        <stp/>
        <stp>*H</stp>
        <stp>VOD-LON</stp>
        <stp>Intraday_Time</stp>
        <stp>I1</stp>
        <stp/>
        <stp>7000</stp>
        <tr r="I12" s="12"/>
      </tp>
      <tp>
        <v>42919.534722222219</v>
        <stp/>
        <stp>*H</stp>
        <stp>VOD-LON</stp>
        <stp>Intraday_Time</stp>
        <stp>I1</stp>
        <stp/>
        <stp>4000</stp>
        <tr r="I9" s="12"/>
      </tp>
      <tp>
        <v>42915.490972222222</v>
        <stp/>
        <stp>*H</stp>
        <stp>VOD-LON</stp>
        <stp>Intraday_Time</stp>
        <stp>I1</stp>
        <stp/>
        <stp>5000</stp>
        <tr r="I10" s="12"/>
      </tp>
      <tp>
        <v>42923.603472222225</v>
        <stp/>
        <stp>*H</stp>
        <stp>VOD-LON</stp>
        <stp>Intraday_Time</stp>
        <stp>I1</stp>
        <stp/>
        <stp>2000</stp>
        <tr r="I7" s="12"/>
      </tp>
      <tp>
        <v>42921.582638888889</v>
        <stp/>
        <stp>*H</stp>
        <stp>VOD-LON</stp>
        <stp>Intraday_Time</stp>
        <stp>I1</stp>
        <stp/>
        <stp>3000</stp>
        <tr r="I8" s="12"/>
      </tp>
      <tp>
        <v>42927.669444444444</v>
        <stp/>
        <stp>*H</stp>
        <stp>VOD-LON</stp>
        <stp>Intraday_Time</stp>
        <stp>I1</stp>
        <stp/>
        <stp>1000</stp>
        <tr r="I6" s="12"/>
      </tp>
      <tp>
        <v>42907.415277777778</v>
        <stp/>
        <stp>*H</stp>
        <stp>VOD-LON</stp>
        <stp>Intraday_Time</stp>
        <stp>I1</stp>
        <stp/>
        <stp>8000</stp>
        <tr r="I13" s="12"/>
      </tp>
      <tp>
        <v>42905.385416666664</v>
        <stp/>
        <stp>*H</stp>
        <stp>VOD-LON</stp>
        <stp>Intraday_Time</stp>
        <stp>I1</stp>
        <stp/>
        <stp>9000</stp>
        <tr r="I14" s="12"/>
      </tp>
    </main>
    <main first="esrtd">
      <tp>
        <v>220.5</v>
        <stp/>
        <stp>*H</stp>
        <stp>VOD-LON</stp>
        <stp>Low</stp>
        <stp>I1</stp>
        <stp/>
        <stp>9</stp>
        <tr r="D101" s="12"/>
      </tp>
      <tp>
        <v>220.4</v>
        <stp/>
        <stp>*H</stp>
        <stp>VOD-LON</stp>
        <stp>Low</stp>
        <stp>I1</stp>
        <stp/>
        <stp>8</stp>
        <tr r="D102" s="12"/>
      </tp>
      <tp>
        <v>220.45</v>
        <stp/>
        <stp>*H</stp>
        <stp>VOD-LON</stp>
        <stp>Low</stp>
        <stp>I1</stp>
        <stp/>
        <stp>7</stp>
        <tr r="D103" s="12"/>
      </tp>
      <tp>
        <v>220.6</v>
        <stp/>
        <stp>*H</stp>
        <stp>VOD-LON</stp>
        <stp>Low</stp>
        <stp>I1</stp>
        <stp/>
        <stp>6</stp>
        <tr r="D104" s="12"/>
      </tp>
      <tp>
        <v>220.6</v>
        <stp/>
        <stp>*H</stp>
        <stp>VOD-LON</stp>
        <stp>Low</stp>
        <stp>I1</stp>
        <stp/>
        <stp>5</stp>
        <tr r="D105" s="12"/>
      </tp>
      <tp>
        <v>220.5</v>
        <stp/>
        <stp>*H</stp>
        <stp>VOD-LON</stp>
        <stp>Low</stp>
        <stp>I1</stp>
        <stp/>
        <stp>4</stp>
        <tr r="D106" s="12"/>
      </tp>
      <tp>
        <v>220.6</v>
        <stp/>
        <stp>*H</stp>
        <stp>VOD-LON</stp>
        <stp>Low</stp>
        <stp>I1</stp>
        <stp/>
        <stp>3</stp>
        <tr r="D107" s="12"/>
      </tp>
      <tp>
        <v>220.65</v>
        <stp/>
        <stp>*H</stp>
        <stp>VOD-LON</stp>
        <stp>Low</stp>
        <stp>I1</stp>
        <stp/>
        <stp>2</stp>
        <tr r="D108" s="12"/>
      </tp>
      <tp>
        <v>220.8</v>
        <stp/>
        <stp>*H</stp>
        <stp>VOD-LON</stp>
        <stp>Low</stp>
        <stp>I1</stp>
        <stp/>
        <stp>1</stp>
        <tr r="D109" s="12"/>
      </tp>
      <tp>
        <v>220.8</v>
        <stp/>
        <stp>*H</stp>
        <stp>VOD-LON</stp>
        <stp>Low</stp>
        <stp>I1</stp>
        <stp/>
        <stp>0</stp>
        <tr r="D110" s="12"/>
      </tp>
    </main>
    <main first="esrtd">
      <tp>
        <v>223.1</v>
        <stp/>
        <stp>*H</stp>
        <stp>VOD-LON</stp>
        <stp>Low</stp>
        <stp>I1</stp>
        <stp/>
        <stp>9000</stp>
        <tr r="D14" s="12"/>
      </tp>
      <tp>
        <v>222.4</v>
        <stp/>
        <stp>*H</stp>
        <stp>VOD-LON</stp>
        <stp>Low</stp>
        <stp>I1</stp>
        <stp/>
        <stp>8000</stp>
        <tr r="D13" s="12"/>
      </tp>
      <tp>
        <v>223.9</v>
        <stp/>
        <stp>*H</stp>
        <stp>VOD-LON</stp>
        <stp>Low</stp>
        <stp>I1</stp>
        <stp/>
        <stp>7000</stp>
        <tr r="D12" s="12"/>
      </tp>
      <tp>
        <v>222.2</v>
        <stp/>
        <stp>*H</stp>
        <stp>VOD-LON</stp>
        <stp>Low</stp>
        <stp>I1</stp>
        <stp/>
        <stp>6000</stp>
        <tr r="D11" s="12"/>
      </tp>
      <tp>
        <v>219.95</v>
        <stp/>
        <stp>*H</stp>
        <stp>VOD-LON</stp>
        <stp>Low</stp>
        <stp>I1</stp>
        <stp/>
        <stp>5000</stp>
        <tr r="D10" s="12"/>
      </tp>
      <tp>
        <v>216.9</v>
        <stp/>
        <stp>*H</stp>
        <stp>VOD-LON</stp>
        <stp>Low</stp>
        <stp>I1</stp>
        <stp/>
        <stp>4000</stp>
        <tr r="D9" s="12"/>
      </tp>
      <tp>
        <v>218.25</v>
        <stp/>
        <stp>*H</stp>
        <stp>VOD-LON</stp>
        <stp>Low</stp>
        <stp>I1</stp>
        <stp/>
        <stp>3000</stp>
        <tr r="D8" s="12"/>
      </tp>
      <tp>
        <v>218.45</v>
        <stp/>
        <stp>*H</stp>
        <stp>VOD-LON</stp>
        <stp>Low</stp>
        <stp>I1</stp>
        <stp/>
        <stp>2000</stp>
        <tr r="D7" s="12"/>
      </tp>
      <tp>
        <v>217.75</v>
        <stp/>
        <stp>*H</stp>
        <stp>VOD-LON</stp>
        <stp>Low</stp>
        <stp>I1</stp>
        <stp/>
        <stp>1000</stp>
        <tr r="D6" s="12"/>
      </tp>
      <tp>
        <v>220.55</v>
        <stp/>
        <stp>*H</stp>
        <stp>VOD-LON</stp>
        <stp>High</stp>
        <stp>I1</stp>
        <stp/>
        <stp>9</stp>
        <tr r="B101" s="12"/>
      </tp>
      <tp>
        <v>220.5</v>
        <stp/>
        <stp>*H</stp>
        <stp>VOD-LON</stp>
        <stp>High</stp>
        <stp>I1</stp>
        <stp/>
        <stp>8</stp>
        <tr r="B102" s="12"/>
      </tp>
      <tp>
        <v>220.65</v>
        <stp/>
        <stp>*H</stp>
        <stp>VOD-LON</stp>
        <stp>High</stp>
        <stp>I1</stp>
        <stp/>
        <stp>3</stp>
        <tr r="B107" s="12"/>
      </tp>
      <tp>
        <v>220.8</v>
        <stp/>
        <stp>*H</stp>
        <stp>VOD-LON</stp>
        <stp>High</stp>
        <stp>I1</stp>
        <stp/>
        <stp>2</stp>
        <tr r="B108" s="12"/>
      </tp>
      <tp>
        <v>220.8</v>
        <stp/>
        <stp>*H</stp>
        <stp>VOD-LON</stp>
        <stp>High</stp>
        <stp>I1</stp>
        <stp/>
        <stp>1</stp>
        <tr r="B109" s="12"/>
      </tp>
      <tp>
        <v>220.9</v>
        <stp/>
        <stp>*H</stp>
        <stp>VOD-LON</stp>
        <stp>High</stp>
        <stp>I1</stp>
        <stp/>
        <stp>0</stp>
        <tr r="B110" s="12"/>
      </tp>
      <tp>
        <v>220.6</v>
        <stp/>
        <stp>*H</stp>
        <stp>VOD-LON</stp>
        <stp>High</stp>
        <stp>I1</stp>
        <stp/>
        <stp>7</stp>
        <tr r="B103" s="12"/>
      </tp>
      <tp>
        <v>220.65</v>
        <stp/>
        <stp>*H</stp>
        <stp>VOD-LON</stp>
        <stp>High</stp>
        <stp>I1</stp>
        <stp/>
        <stp>6</stp>
        <tr r="B104" s="12"/>
      </tp>
      <tp>
        <v>220.65</v>
        <stp/>
        <stp>*H</stp>
        <stp>VOD-LON</stp>
        <stp>High</stp>
        <stp>I1</stp>
        <stp/>
        <stp>5</stp>
        <tr r="B105" s="12"/>
      </tp>
      <tp>
        <v>220.6</v>
        <stp/>
        <stp>*H</stp>
        <stp>VOD-LON</stp>
        <stp>High</stp>
        <stp>I1</stp>
        <stp/>
        <stp>4</stp>
        <tr r="B106" s="12"/>
      </tp>
      <tp>
        <v>545</v>
        <stp/>
        <stp>*H(DNLM-LON,Last,D,42928)</stp>
        <tr r="AC3" s="5"/>
      </tp>
      <tp>
        <v>557</v>
        <stp/>
        <stp>*H(DNLM-LON,Last,D,42927)</stp>
        <tr r="W3" s="5"/>
      </tp>
    </main>
    <main first="esrtd">
      <tp>
        <v>44.41</v>
        <stp/>
        <stp>*H(BEKB-EEB,Low,D,42928)</stp>
        <tr r="AB11" s="5"/>
      </tp>
      <tp>
        <v>44.240001999999997</v>
        <stp/>
        <stp>*H(BEKB-EEB,Low,D,42927)</stp>
        <tr r="V11" s="5"/>
      </tp>
    </main>
    <main first="esrtd">
      <tp t="s">
        <v/>
        <stp/>
        <stp>*H(,Last,D,42928)</stp>
        <tr r="AC21" s="5"/>
        <tr r="AC107" s="5"/>
        <tr r="AC89" s="5"/>
        <tr r="AC135" s="5"/>
        <tr r="AC147" s="5"/>
        <tr r="AC146" s="5"/>
        <tr r="AC58" s="5"/>
        <tr r="AC75" s="5"/>
        <tr r="AC85" s="5"/>
        <tr r="AC22" s="5"/>
        <tr r="AC92" s="5"/>
        <tr r="AC148" s="5"/>
        <tr r="AC62" s="5"/>
        <tr r="AC119" s="5"/>
        <tr r="AC80" s="5"/>
        <tr r="AC124" s="5"/>
        <tr r="AC83" s="5"/>
        <tr r="AC36" s="5"/>
        <tr r="AC35" s="5"/>
        <tr r="AC49" s="5"/>
        <tr r="AC141" s="5"/>
        <tr r="AC24" s="5"/>
        <tr r="AC90" s="5"/>
        <tr r="AC110" s="5"/>
        <tr r="AC72" s="5"/>
        <tr r="AC20" s="5"/>
        <tr r="AC138" s="5"/>
        <tr r="AC144" s="5"/>
        <tr r="AC98" s="5"/>
        <tr r="AC16" s="5"/>
        <tr r="AC63" s="5"/>
        <tr r="AC99" s="5"/>
        <tr r="AC149" s="5"/>
        <tr r="AC40" s="5"/>
        <tr r="AC38" s="5"/>
        <tr r="AC57" s="5"/>
        <tr r="AC82" s="5"/>
        <tr r="AC91" s="5"/>
        <tr r="AC137" s="5"/>
        <tr r="AC93" s="5"/>
        <tr r="AC59" s="5"/>
        <tr r="AC53" s="5"/>
        <tr r="AC96" s="5"/>
        <tr r="AC31" s="5"/>
        <tr r="AC145" s="5"/>
        <tr r="AC152" s="5"/>
        <tr r="AC70" s="5"/>
        <tr r="AC52" s="5"/>
        <tr r="AC132" s="5"/>
        <tr r="AC34" s="5"/>
        <tr r="AC50" s="5"/>
        <tr r="AC111" s="5"/>
        <tr r="AC104" s="5"/>
        <tr r="AC12" s="5"/>
        <tr r="AC69" s="5"/>
        <tr r="AC101" s="5"/>
        <tr r="AC74" s="5"/>
        <tr r="AC71" s="5"/>
        <tr r="AC129" s="5"/>
        <tr r="AC17" s="5"/>
        <tr r="AC87" s="5"/>
        <tr r="AC133" s="5"/>
        <tr r="AC100" s="5"/>
        <tr r="AC120" s="5"/>
        <tr r="AC60" s="5"/>
        <tr r="AC68" s="5"/>
        <tr r="AC61" s="5"/>
        <tr r="AC114" s="5"/>
        <tr r="AC27" s="5"/>
        <tr r="AC54" s="5"/>
        <tr r="AC151" s="5"/>
        <tr r="AC140" s="5"/>
        <tr r="AC150" s="5"/>
        <tr r="AC103" s="5"/>
        <tr r="AC121" s="5"/>
        <tr r="AC142" s="5"/>
        <tr r="AC115" s="5"/>
        <tr r="AC123" s="5"/>
        <tr r="AC73" s="5"/>
        <tr r="AC130" s="5"/>
        <tr r="AC143" s="5"/>
        <tr r="AC51" s="5"/>
        <tr r="AC116" s="5"/>
        <tr r="AC127" s="5"/>
        <tr r="AC125" s="5"/>
        <tr r="AC95" s="5"/>
        <tr r="AC42" s="5"/>
        <tr r="AC76" s="5"/>
        <tr r="AC105" s="5"/>
        <tr r="AC44" s="5"/>
        <tr r="AC79" s="5"/>
        <tr r="AC56" s="5"/>
        <tr r="AC19" s="5"/>
        <tr r="AC30" s="5"/>
        <tr r="AC28" s="5"/>
        <tr r="AC15" s="5"/>
        <tr r="AC122" s="5"/>
        <tr r="AC139" s="5"/>
        <tr r="AC113" s="5"/>
        <tr r="AC77" s="5"/>
        <tr r="AC117" s="5"/>
        <tr r="AC41" s="5"/>
        <tr r="AC88" s="5"/>
        <tr r="AC78" s="5"/>
        <tr r="AC128" s="5"/>
        <tr r="AC106" s="5"/>
        <tr r="AC65" s="5"/>
        <tr r="AC102" s="5"/>
        <tr r="AC84" s="5"/>
        <tr r="AC37" s="5"/>
        <tr r="AC33" s="5"/>
        <tr r="AC13" s="5"/>
        <tr r="AC81" s="5"/>
        <tr r="AC66" s="5"/>
        <tr r="AC46" s="5"/>
        <tr r="AC32" s="5"/>
        <tr r="AC55" s="5"/>
        <tr r="AC29" s="5"/>
        <tr r="AC112" s="5"/>
        <tr r="AC43" s="5"/>
        <tr r="AC86" s="5"/>
        <tr r="AC94" s="5"/>
        <tr r="AC18" s="5"/>
        <tr r="AC67" s="5"/>
        <tr r="AC153" s="5"/>
        <tr r="AC136" s="5"/>
        <tr r="AC126" s="5"/>
        <tr r="AC25" s="5"/>
        <tr r="AC47" s="5"/>
        <tr r="AC131" s="5"/>
        <tr r="AC14" s="5"/>
        <tr r="AC48" s="5"/>
        <tr r="AC26" s="5"/>
        <tr r="AC109" s="5"/>
        <tr r="AC134" s="5"/>
        <tr r="AC64" s="5"/>
        <tr r="AC118" s="5"/>
        <tr r="AC108" s="5"/>
        <tr r="AC39" s="5"/>
        <tr r="AC23" s="5"/>
        <tr r="AC97" s="5"/>
        <tr r="AC45" s="5"/>
      </tp>
      <tp>
        <v>44.795000000000002</v>
        <stp/>
        <stp>*H(BEKB-EEB,Last,D,42928)</stp>
        <tr r="AC11" s="5"/>
      </tp>
      <tp>
        <v>44.505001</v>
        <stp/>
        <stp>*H(BEKB-EEB,Last,D,42927)</stp>
        <tr r="W11" s="5"/>
      </tp>
    </main>
    <main first="rtdsrv.ac5e4684c38b484199bc03619d7ebdd9">
      <tp t="e">
        <v>#N/A</v>
        <stp/>
        <stp>ExcelTrader_104</stp>
        <stp>68536039</stp>
        <tr r="M3" s="7"/>
        <tr r="L3" s="7"/>
        <tr r="K3" s="7"/>
        <tr r="F3" s="7"/>
        <tr r="O3" s="7"/>
        <tr r="B3" s="7"/>
        <tr r="P3" s="7"/>
        <tr r="C3" s="7"/>
        <tr r="N3" s="7"/>
        <tr r="I3" s="7"/>
        <tr r="G3" s="7"/>
        <tr r="J3" s="7"/>
        <tr r="H3" s="7"/>
        <tr r="E3" s="7"/>
        <tr r="D3" s="7"/>
        <tr r="Q3" s="7"/>
      </tp>
    </main>
    <main first="esrtd">
      <tp t="s">
        <v/>
        <stp/>
        <stp>*H(,Low,D,42928)</stp>
        <tr r="AB126" s="5"/>
        <tr r="AB64" s="5"/>
        <tr r="AB96" s="5"/>
        <tr r="AB133" s="5"/>
        <tr r="AB66" s="5"/>
        <tr r="AB148" s="5"/>
        <tr r="AB85" s="5"/>
        <tr r="AB33" s="5"/>
        <tr r="AB14" s="5"/>
        <tr r="AB40" s="5"/>
        <tr r="AB77" s="5"/>
        <tr r="AB134" s="5"/>
        <tr r="AB16" s="5"/>
        <tr r="AB39" s="5"/>
        <tr r="AB127" s="5"/>
        <tr r="AB81" s="5"/>
        <tr r="AB41" s="5"/>
        <tr r="AB139" s="5"/>
        <tr r="AB12" s="5"/>
        <tr r="AB107" s="5"/>
        <tr r="AB62" s="5"/>
        <tr r="AB93" s="5"/>
        <tr r="AB144" s="5"/>
        <tr r="AB74" s="5"/>
        <tr r="AB140" s="5"/>
        <tr r="AB115" s="5"/>
        <tr r="AB116" s="5"/>
        <tr r="AB137" s="5"/>
        <tr r="AB94" s="5"/>
        <tr r="AB30" s="5"/>
        <tr r="AB123" s="5"/>
        <tr r="AB29" s="5"/>
        <tr r="AB71" s="5"/>
        <tr r="AB38" s="5"/>
        <tr r="AB143" s="5"/>
        <tr r="AB57" s="5"/>
        <tr r="AB32" s="5"/>
        <tr r="AB117" s="5"/>
        <tr r="AB95" s="5"/>
        <tr r="AB53" s="5"/>
        <tr r="AB55" s="5"/>
        <tr r="AB102" s="5"/>
        <tr r="AB88" s="5"/>
        <tr r="AB17" s="5"/>
        <tr r="AB106" s="5"/>
        <tr r="AB70" s="5"/>
        <tr r="AB54" s="5"/>
        <tr r="AB138" s="5"/>
        <tr r="AB47" s="5"/>
        <tr r="AB48" s="5"/>
        <tr r="AB79" s="5"/>
        <tr r="AB22" s="5"/>
        <tr r="AB135" s="5"/>
        <tr r="AB26" s="5"/>
        <tr r="AB87" s="5"/>
        <tr r="AB141" s="5"/>
        <tr r="AB83" s="5"/>
        <tr r="AB150" s="5"/>
        <tr r="AB100" s="5"/>
        <tr r="AB129" s="5"/>
        <tr r="AB136" s="5"/>
        <tr r="AB120" s="5"/>
        <tr r="AB15" s="5"/>
        <tr r="AB108" s="5"/>
        <tr r="AB98" s="5"/>
        <tr r="AB142" s="5"/>
        <tr r="AB19" s="5"/>
        <tr r="AB97" s="5"/>
        <tr r="AB18" s="5"/>
        <tr r="AB122" s="5"/>
        <tr r="AB72" s="5"/>
        <tr r="AB151" s="5"/>
        <tr r="AB23" s="5"/>
        <tr r="AB101" s="5"/>
        <tr r="AB124" s="5"/>
        <tr r="AB65" s="5"/>
        <tr r="AB132" s="5"/>
        <tr r="AB80" s="5"/>
        <tr r="AB131" s="5"/>
        <tr r="AB89" s="5"/>
        <tr r="AB61" s="5"/>
        <tr r="AB69" s="5"/>
        <tr r="AB50" s="5"/>
        <tr r="AB82" s="5"/>
        <tr r="AB91" s="5"/>
        <tr r="AB128" s="5"/>
        <tr r="AB25" s="5"/>
        <tr r="AB49" s="5"/>
        <tr r="AB45" s="5"/>
        <tr r="AB119" s="5"/>
        <tr r="AB73" s="5"/>
        <tr r="AB149" s="5"/>
        <tr r="AB86" s="5"/>
        <tr r="AB103" s="5"/>
        <tr r="AB46" s="5"/>
        <tr r="AB145" s="5"/>
        <tr r="AB51" s="5"/>
        <tr r="AB105" s="5"/>
        <tr r="AB109" s="5"/>
        <tr r="AB153" s="5"/>
        <tr r="AB68" s="5"/>
        <tr r="AB113" s="5"/>
        <tr r="AB34" s="5"/>
        <tr r="AB130" s="5"/>
        <tr r="AB112" s="5"/>
        <tr r="AB125" s="5"/>
        <tr r="AB104" s="5"/>
        <tr r="AB118" s="5"/>
        <tr r="AB99" s="5"/>
        <tr r="AB78" s="5"/>
        <tr r="AB110" s="5"/>
        <tr r="AB31" s="5"/>
        <tr r="AB13" s="5"/>
        <tr r="AB146" s="5"/>
        <tr r="AB75" s="5"/>
        <tr r="AB21" s="5"/>
        <tr r="AB76" s="5"/>
        <tr r="AB58" s="5"/>
        <tr r="AB147" s="5"/>
        <tr r="AB37" s="5"/>
        <tr r="AB44" s="5"/>
        <tr r="AB27" s="5"/>
        <tr r="AB90" s="5"/>
        <tr r="AB111" s="5"/>
        <tr r="AB152" s="5"/>
        <tr r="AB56" s="5"/>
        <tr r="AB92" s="5"/>
        <tr r="AB36" s="5"/>
        <tr r="AB35" s="5"/>
        <tr r="AB52" s="5"/>
        <tr r="AB121" s="5"/>
        <tr r="AB60" s="5"/>
        <tr r="AB114" s="5"/>
        <tr r="AB42" s="5"/>
        <tr r="AB20" s="5"/>
        <tr r="AB63" s="5"/>
        <tr r="AB84" s="5"/>
        <tr r="AB43" s="5"/>
        <tr r="AB24" s="5"/>
        <tr r="AB59" s="5"/>
        <tr r="AB28" s="5"/>
        <tr r="AB67" s="5"/>
      </tp>
      <tp>
        <v>219.64999</v>
        <stp/>
        <stp>*H(VOD-LON,Open,D,42927)</stp>
        <tr r="T10" s="5"/>
      </tp>
      <tp>
        <v>218.5</v>
        <stp/>
        <stp>*H(VOD-LON,Open,D,42928)</stp>
        <tr r="Z10" s="5"/>
      </tp>
    </main>
    <main first="esrtd">
      <tp>
        <v>553</v>
        <stp/>
        <stp>*H(IGG-LON,High,D,42927)</stp>
        <tr r="U6" s="5"/>
      </tp>
      <tp>
        <v>331.25</v>
        <stp/>
        <stp>*H(FENR-LON,Low,D,42927)</stp>
        <tr r="V4" s="5"/>
      </tp>
      <tp>
        <v>330</v>
        <stp/>
        <stp>*H(FENR-LON,Low,D,42928)</stp>
        <tr r="AB4" s="5"/>
      </tp>
      <tp>
        <v>554.5</v>
        <stp/>
        <stp>*H(IGG-LON,High,D,42928)</stp>
        <tr r="AA6" s="5"/>
      </tp>
    </main>
    <main first="esrtd">
      <tp>
        <v>220.3</v>
        <stp/>
        <stp>*H(VOD-LON,High,D,42927)</stp>
        <tr r="U10" s="5"/>
      </tp>
      <tp>
        <v>226.95</v>
        <stp/>
        <stp>*H(VOD-LON,High,D,42928)</stp>
        <tr r="AA10" s="5"/>
      </tp>
    </main>
    <main first="esrtd">
      <tp>
        <v>541.5</v>
        <stp/>
        <stp>*H(DNLM-LON,Low,D,42928)</stp>
        <tr r="AB3" s="5"/>
      </tp>
      <tp>
        <v>555.5</v>
        <stp/>
        <stp>*H(DNLM-LON,Low,D,42927)</stp>
        <tr r="V3" s="5"/>
      </tp>
      <tp>
        <v>553</v>
        <stp/>
        <stp>*H(IGG-LON,Open,D,42927)</stp>
        <tr r="T6" s="5"/>
      </tp>
      <tp>
        <v>547.5</v>
        <stp/>
        <stp>*H(IGG-LON,Open,D,42928)</stp>
        <tr r="Z6" s="5"/>
      </tp>
      <tp>
        <v>732595</v>
        <stp/>
        <stp>*H(FR-EEB,Volume,D,42927)</stp>
        <tr r="X5" s="5"/>
      </tp>
    </main>
    <main first="esrtd">
      <tp>
        <v>905831</v>
        <stp/>
        <stp>*H(FR-EEB,Volume,D,42928)</stp>
        <tr r="AD5" s="5"/>
      </tp>
    </main>
    <main first="rtdsrv.ac5e4684c38b484199bc03619d7ebdd9">
      <tp t="e">
        <v>#N/A</v>
        <stp/>
        <stp>ExcelTrader_99</stp>
        <stp>BEKB:xbru_CfdOnShare</stp>
        <tr r="F3" s="10"/>
        <tr r="D3" s="10"/>
        <tr r="E3" s="10"/>
        <tr r="C3" s="10"/>
      </tp>
    </main>
    <main first="esrtd">
      <tp>
        <v>336</v>
        <stp/>
        <stp>*H(FENR-LON,Open,D,42927)</stp>
        <tr r="T4" s="5"/>
      </tp>
    </main>
    <main first="esrtd">
      <tp>
        <v>334</v>
        <stp/>
        <stp>*H(FENR-LON,Open,D,42928)</stp>
        <tr r="Z4" s="5"/>
      </tp>
    </main>
    <main first="esrtd">
      <tp>
        <v>336.75</v>
        <stp/>
        <stp>*H(FENR-LON,High,D,42927)</stp>
        <tr r="U4" s="5"/>
      </tp>
      <tp>
        <v>339</v>
        <stp/>
        <stp>*H(FENR-LON,High,D,42928)</stp>
        <tr r="AA4" s="5"/>
      </tp>
    </main>
    <main first="esrtd">
      <tp>
        <v>29.184999999999999</v>
        <stp/>
        <stp>*H(MEO-XET,Last,D,42928)</stp>
        <tr r="AC8" s="5"/>
      </tp>
      <tp>
        <v>29.215</v>
        <stp/>
        <stp>*H(MEO-XET,Last,D,42927)</stp>
        <tr r="W8" s="5"/>
      </tp>
    </main>
    <main first="esrtd">
      <tp>
        <v>271098</v>
        <stp/>
        <stp>FENR-LON.Volume</stp>
        <tr r="D4" s="5"/>
      </tp>
      <tp>
        <v>93162</v>
        <stp/>
        <stp>DNLM-LON.Volume</stp>
        <tr r="D3" s="5"/>
      </tp>
      <tp>
        <v>31016</v>
        <stp/>
        <stp>BEKB-EEB.Volume</stp>
        <tr r="I3" s="5"/>
      </tp>
      <tp>
        <v>450993</v>
        <stp/>
        <stp>*H(IGG-LON,Volume,D,42928)</stp>
        <tr r="AD6" s="5"/>
      </tp>
      <tp>
        <v>498671</v>
        <stp/>
        <stp>*H(IGG-LON,Volume,D,42927)</stp>
        <tr r="X6" s="5"/>
      </tp>
    </main>
    <main first="esrtd">
      <tp>
        <v>95148</v>
        <stp/>
        <stp>*H(LAM-LON,Volume,D,42928)</stp>
        <tr r="AD7" s="5"/>
      </tp>
      <tp>
        <v>39208</v>
        <stp/>
        <stp>*H(LAM-LON,Volume,D,42927)</stp>
        <tr r="X7" s="5"/>
      </tp>
    </main>
    <main first="rtdsrv.ac5e4684c38b484199bc03619d7ebdd9">
      <tp t="e">
        <v>#N/A</v>
        <stp/>
        <stp>ExcelTrader_103</stp>
        <stp>185758187</stp>
        <tr r="W36" s="10"/>
        <tr r="Q36" s="10"/>
        <tr r="U36" s="10"/>
        <tr r="R36" s="10"/>
        <tr r="V36" s="10"/>
        <tr r="T36" s="10"/>
        <tr r="S36" s="10"/>
      </tp>
      <tp t="e">
        <v>#N/A</v>
        <stp/>
        <stp>ExcelTrader_103</stp>
        <stp>185757191</stp>
        <tr r="S28" s="10"/>
        <tr r="R28" s="10"/>
        <tr r="Q28" s="10"/>
        <tr r="W28" s="10"/>
        <tr r="V28" s="10"/>
        <tr r="T28" s="10"/>
        <tr r="U28" s="10"/>
      </tp>
      <tp t="e">
        <v>#N/A</v>
        <stp/>
        <stp>ExcelTrader_103</stp>
        <stp>185758151</stp>
        <tr r="U35" s="10"/>
        <tr r="R35" s="10"/>
        <tr r="V35" s="10"/>
        <tr r="W35" s="10"/>
        <tr r="T35" s="10"/>
        <tr r="S35" s="10"/>
        <tr r="Q35" s="10"/>
      </tp>
      <tp t="e">
        <v>#N/A</v>
        <stp/>
        <stp>ExcelTrader_103</stp>
        <stp>185756131</stp>
        <tr r="T15" s="10"/>
        <tr r="V15" s="10"/>
        <tr r="U15" s="10"/>
        <tr r="S15" s="10"/>
        <tr r="W15" s="10"/>
        <tr r="R15" s="10"/>
        <tr r="Q15" s="10"/>
      </tp>
      <tp t="e">
        <v>#N/A</v>
        <stp/>
        <stp>ExcelTrader_103</stp>
        <stp>185757101</stp>
        <tr r="S26" s="10"/>
        <tr r="U26" s="10"/>
        <tr r="T26" s="10"/>
        <tr r="Q26" s="10"/>
        <tr r="W26" s="10"/>
        <tr r="R26" s="10"/>
        <tr r="V26" s="10"/>
      </tp>
      <tp t="e">
        <v>#N/A</v>
        <stp/>
        <stp>ExcelTrader_103</stp>
        <stp>185757111</stp>
        <tr r="W27" s="10"/>
        <tr r="R27" s="10"/>
        <tr r="T27" s="10"/>
        <tr r="V27" s="10"/>
        <tr r="S27" s="10"/>
        <tr r="U27" s="10"/>
        <tr r="Q27" s="10"/>
      </tp>
      <tp t="e">
        <v>#N/A</v>
        <stp/>
        <stp>ExcelTrader_103</stp>
        <stp>185756111</stp>
        <tr r="T14" s="10"/>
        <tr r="S14" s="10"/>
        <tr r="W14" s="10"/>
        <tr r="V14" s="10"/>
        <tr r="U14" s="10"/>
        <tr r="R14" s="10"/>
        <tr r="Q14" s="10"/>
      </tp>
    </main>
    <main first="esrtd">
      <tp>
        <v>20637</v>
        <stp/>
        <stp>*H</stp>
        <stp>VOD-LON</stp>
        <stp>Volume</stp>
        <stp>I1</stp>
        <stp/>
        <stp>3000</stp>
        <tr r="F8" s="12"/>
      </tp>
      <tp>
        <v>704</v>
        <stp/>
        <stp>*H</stp>
        <stp>VOD-LON</stp>
        <stp>Volume</stp>
        <stp>I1</stp>
        <stp/>
        <stp>2000</stp>
        <tr r="F7" s="12"/>
      </tp>
      <tp>
        <v>89222</v>
        <stp/>
        <stp>*H</stp>
        <stp>VOD-LON</stp>
        <stp>Volume</stp>
        <stp>I1</stp>
        <stp/>
        <stp>1000</stp>
        <tr r="F6" s="12"/>
      </tp>
      <tp>
        <v>22262</v>
        <stp/>
        <stp>*H</stp>
        <stp>VOD-LON</stp>
        <stp>Volume</stp>
        <stp>I1</stp>
        <stp/>
        <stp>7000</stp>
        <tr r="F12" s="12"/>
      </tp>
      <tp>
        <v>122753</v>
        <stp/>
        <stp>*H</stp>
        <stp>VOD-LON</stp>
        <stp>Volume</stp>
        <stp>I1</stp>
        <stp/>
        <stp>6000</stp>
        <tr r="F11" s="12"/>
      </tp>
      <tp>
        <v>11901</v>
        <stp/>
        <stp>*H</stp>
        <stp>VOD-LON</stp>
        <stp>Volume</stp>
        <stp>I1</stp>
        <stp/>
        <stp>5000</stp>
        <tr r="F10" s="12"/>
      </tp>
      <tp>
        <v>20279</v>
        <stp/>
        <stp>*H</stp>
        <stp>VOD-LON</stp>
        <stp>Volume</stp>
        <stp>I1</stp>
        <stp/>
        <stp>4000</stp>
        <tr r="F9" s="12"/>
      </tp>
      <tp>
        <v>22964</v>
        <stp/>
        <stp>*H</stp>
        <stp>VOD-LON</stp>
        <stp>Volume</stp>
        <stp>I1</stp>
        <stp/>
        <stp>9000</stp>
        <tr r="F14" s="12"/>
      </tp>
      <tp>
        <v>26295</v>
        <stp/>
        <stp>*H</stp>
        <stp>VOD-LON</stp>
        <stp>Volume</stp>
        <stp>I1</stp>
        <stp/>
        <stp>8000</stp>
        <tr r="F13" s="12"/>
      </tp>
    </main>
    <main first="rtdsrv.ac5e4684c38b484199bc03619d7ebdd9">
      <tp t="e">
        <v>#N/A</v>
        <stp/>
        <stp>ExcelTrader_103</stp>
        <stp>185756089</stp>
        <tr r="R13" s="10"/>
        <tr r="Q13" s="10"/>
        <tr r="U13" s="10"/>
        <tr r="T13" s="10"/>
        <tr r="W13" s="10"/>
        <tr r="S13" s="10"/>
        <tr r="V13" s="10"/>
      </tp>
      <tp t="e">
        <v>#N/A</v>
        <stp/>
        <stp>ExcelTrader_103</stp>
        <stp>185757055</stp>
        <tr r="S25" s="10"/>
        <tr r="T25" s="10"/>
        <tr r="W25" s="10"/>
        <tr r="V25" s="10"/>
        <tr r="R25" s="10"/>
        <tr r="Q25" s="10"/>
        <tr r="U25" s="10"/>
      </tp>
    </main>
    <main first="esrtd">
      <tp>
        <v>52839</v>
        <stp/>
        <stp>*H</stp>
        <stp>VOD-LON</stp>
        <stp>Volume</stp>
        <stp>I1</stp>
        <stp/>
        <stp>3</stp>
        <tr r="F107" s="12"/>
      </tp>
      <tp>
        <v>68445</v>
        <stp/>
        <stp>*H</stp>
        <stp>VOD-LON</stp>
        <stp>Volume</stp>
        <stp>I1</stp>
        <stp/>
        <stp>2</stp>
        <tr r="F108" s="12"/>
      </tp>
      <tp>
        <v>8100</v>
        <stp/>
        <stp>*H</stp>
        <stp>VOD-LON</stp>
        <stp>Volume</stp>
        <stp>I1</stp>
        <stp/>
        <stp>1</stp>
        <tr r="F109" s="12"/>
      </tp>
      <tp>
        <v>198264</v>
        <stp/>
        <stp>*H</stp>
        <stp>VOD-LON</stp>
        <stp>Volume</stp>
        <stp>I1</stp>
        <stp/>
        <stp>0</stp>
        <tr r="F110" s="12"/>
      </tp>
      <tp>
        <v>88366</v>
        <stp/>
        <stp>*H</stp>
        <stp>VOD-LON</stp>
        <stp>Volume</stp>
        <stp>I1</stp>
        <stp/>
        <stp>7</stp>
        <tr r="F103" s="12"/>
      </tp>
      <tp>
        <v>37131</v>
        <stp/>
        <stp>*H</stp>
        <stp>VOD-LON</stp>
        <stp>Volume</stp>
        <stp>I1</stp>
        <stp/>
        <stp>6</stp>
        <tr r="F104" s="12"/>
      </tp>
      <tp>
        <v>9583</v>
        <stp/>
        <stp>*H</stp>
        <stp>VOD-LON</stp>
        <stp>Volume</stp>
        <stp>I1</stp>
        <stp/>
        <stp>5</stp>
        <tr r="F105" s="12"/>
      </tp>
      <tp>
        <v>150811</v>
        <stp/>
        <stp>*H</stp>
        <stp>VOD-LON</stp>
        <stp>Volume</stp>
        <stp>I1</stp>
        <stp/>
        <stp>4</stp>
        <tr r="F106" s="12"/>
      </tp>
      <tp>
        <v>101257</v>
        <stp/>
        <stp>*H</stp>
        <stp>VOD-LON</stp>
        <stp>Volume</stp>
        <stp>I1</stp>
        <stp/>
        <stp>9</stp>
        <tr r="F101" s="12"/>
      </tp>
      <tp>
        <v>49575</v>
        <stp/>
        <stp>*H</stp>
        <stp>VOD-LON</stp>
        <stp>Volume</stp>
        <stp>I1</stp>
        <stp/>
        <stp>8</stp>
        <tr r="F102" s="12"/>
      </tp>
    </main>
    <main first="rtdsrv.ac5e4684c38b484199bc03619d7ebdd9">
      <tp t="e">
        <v>#N/A</v>
        <stp/>
        <stp>ExcelTrader_103</stp>
        <stp>185758389</stp>
        <tr r="V42" s="10"/>
        <tr r="T42" s="10"/>
        <tr r="S42" s="10"/>
        <tr r="U42" s="10"/>
        <tr r="R42" s="10"/>
        <tr r="W42" s="10"/>
        <tr r="Q42" s="10"/>
      </tp>
      <tp t="e">
        <v>#N/A</v>
        <stp/>
        <stp>ExcelTrader_103</stp>
        <stp>185757397</stp>
        <tr r="T30" s="10"/>
        <tr r="V30" s="10"/>
        <tr r="U30" s="10"/>
        <tr r="W30" s="10"/>
        <tr r="S30" s="10"/>
        <tr r="R30" s="10"/>
        <tr r="Q30" s="10"/>
      </tp>
      <tp t="e">
        <v>#N/A</v>
        <stp/>
        <stp>ExcelTrader_103</stp>
        <stp>185758341</stp>
        <tr r="R39" s="10"/>
        <tr r="U39" s="10"/>
        <tr r="S39" s="10"/>
        <tr r="W39" s="10"/>
        <tr r="V39" s="10"/>
        <tr r="T39" s="10"/>
        <tr r="Q39" s="10"/>
      </tp>
      <tp t="e">
        <v>#N/A</v>
        <stp/>
        <stp>ExcelTrader_103</stp>
        <stp>185757359</stp>
        <tr r="S29" s="10"/>
        <tr r="T29" s="10"/>
        <tr r="Q29" s="10"/>
        <tr r="W29" s="10"/>
        <tr r="R29" s="10"/>
        <tr r="U29" s="10"/>
        <tr r="V29" s="10"/>
      </tp>
      <tp t="e">
        <v>#N/A</v>
        <stp/>
        <stp>ExcelTrader_103</stp>
        <stp>185758357</stp>
        <tr r="V41" s="10"/>
        <tr r="S41" s="10"/>
        <tr r="Q41" s="10"/>
        <tr r="T41" s="10"/>
        <tr r="R41" s="10"/>
        <tr r="W41" s="10"/>
        <tr r="U41" s="10"/>
      </tp>
      <tp t="e">
        <v>#N/A</v>
        <stp/>
        <stp>ExcelTrader_103</stp>
        <stp>185758351</stp>
        <tr r="R40" s="10"/>
        <tr r="Q40" s="10"/>
        <tr r="S40" s="10"/>
        <tr r="W40" s="10"/>
        <tr r="T40" s="10"/>
        <tr r="V40" s="10"/>
        <tr r="U40" s="10"/>
      </tp>
      <tp t="e">
        <v>#N/A</v>
        <stp/>
        <stp>ExcelTrader_103</stp>
        <stp>185758337</stp>
        <tr r="W38" s="10"/>
        <tr r="U38" s="10"/>
        <tr r="R38" s="10"/>
        <tr r="T38" s="10"/>
        <tr r="S38" s="10"/>
        <tr r="V38" s="10"/>
        <tr r="Q38" s="10"/>
      </tp>
    </main>
    <main first="esrtd">
      <tp t="s">
        <v/>
        <stp/>
        <stp>*H(,Low,D,)</stp>
        <tr r="V88" s="5"/>
        <tr r="V83" s="5"/>
        <tr r="V21" s="5"/>
        <tr r="V53" s="5"/>
        <tr r="V14" s="5"/>
        <tr r="V120" s="5"/>
        <tr r="V97" s="5"/>
        <tr r="V153" s="5"/>
        <tr r="V16" s="5"/>
        <tr r="V133" s="5"/>
        <tr r="V49" s="5"/>
        <tr r="V64" s="5"/>
        <tr r="V44" s="5"/>
        <tr r="V54" s="5"/>
        <tr r="V144" s="5"/>
        <tr r="V80" s="5"/>
        <tr r="V136" s="5"/>
        <tr r="V100" s="5"/>
        <tr r="V95" s="5"/>
        <tr r="V134" s="5"/>
        <tr r="V58" s="5"/>
        <tr r="V78" s="5"/>
        <tr r="V41" s="5"/>
        <tr r="V137" s="5"/>
        <tr r="V90" s="5"/>
        <tr r="V119" s="5"/>
        <tr r="V130" s="5"/>
        <tr r="V115" s="5"/>
        <tr r="V124" s="5"/>
        <tr r="V55" s="5"/>
        <tr r="V149" s="5"/>
        <tr r="V51" s="5"/>
        <tr r="V150" s="5"/>
        <tr r="V105" s="5"/>
        <tr r="V91" s="5"/>
        <tr r="V34" s="5"/>
        <tr r="V18" s="5"/>
        <tr r="V145" s="5"/>
        <tr r="V106" s="5"/>
        <tr r="V75" s="5"/>
        <tr r="V118" s="5"/>
        <tr r="V45" s="5"/>
        <tr r="V121" s="5"/>
        <tr r="V70" s="5"/>
        <tr r="V87" s="5"/>
        <tr r="V125" s="5"/>
        <tr r="V65" s="5"/>
        <tr r="V94" s="5"/>
        <tr r="V24" s="5"/>
        <tr r="V52" s="5"/>
        <tr r="V147" s="5"/>
        <tr r="V66" s="5"/>
        <tr r="V77" s="5"/>
        <tr r="V27" s="5"/>
        <tr r="V39" s="5"/>
        <tr r="V20" s="5"/>
        <tr r="V74" s="5"/>
        <tr r="V46" s="5"/>
        <tr r="V48" s="5"/>
        <tr r="V85" s="5"/>
        <tr r="V143" s="5"/>
        <tr r="V56" s="5"/>
        <tr r="V59" s="5"/>
        <tr r="V68" s="5"/>
        <tr r="V122" s="5"/>
        <tr r="V107" s="5"/>
        <tr r="V98" s="5"/>
        <tr r="V111" s="5"/>
        <tr r="V22" s="5"/>
        <tr r="V129" s="5"/>
        <tr r="V114" s="5"/>
        <tr r="V123" s="5"/>
        <tr r="V26" s="5"/>
        <tr r="V96" s="5"/>
        <tr r="V72" s="5"/>
        <tr r="V81" s="5"/>
        <tr r="V152" s="5"/>
        <tr r="V38" s="5"/>
        <tr r="V126" s="5"/>
        <tr r="V113" s="5"/>
        <tr r="V36" s="5"/>
        <tr r="V76" s="5"/>
        <tr r="V29" s="5"/>
        <tr r="V13" s="5"/>
        <tr r="V103" s="5"/>
        <tr r="V110" s="5"/>
        <tr r="V71" s="5"/>
        <tr r="V28" s="5"/>
        <tr r="V19" s="5"/>
        <tr r="V135" s="5"/>
        <tr r="V63" s="5"/>
        <tr r="V32" s="5"/>
        <tr r="V92" s="5"/>
        <tr r="V35" s="5"/>
        <tr r="V15" s="5"/>
        <tr r="V23" s="5"/>
        <tr r="V60" s="5"/>
        <tr r="V142" s="5"/>
        <tr r="V109" s="5"/>
        <tr r="V128" s="5"/>
        <tr r="V40" s="5"/>
        <tr r="V132" s="5"/>
        <tr r="V50" s="5"/>
        <tr r="V12" s="5"/>
        <tr r="V102" s="5"/>
        <tr r="V62" s="5"/>
        <tr r="V89" s="5"/>
        <tr r="V140" s="5"/>
        <tr r="V138" s="5"/>
        <tr r="V82" s="5"/>
        <tr r="V151" s="5"/>
        <tr r="V57" s="5"/>
        <tr r="V101" s="5"/>
        <tr r="V141" s="5"/>
        <tr r="V43" s="5"/>
        <tr r="V108" s="5"/>
        <tr r="V67" s="5"/>
        <tr r="V127" s="5"/>
        <tr r="V61" s="5"/>
        <tr r="V31" s="5"/>
        <tr r="V33" s="5"/>
        <tr r="V86" s="5"/>
        <tr r="V17" s="5"/>
        <tr r="V131" s="5"/>
        <tr r="V25" s="5"/>
        <tr r="V104" s="5"/>
        <tr r="V79" s="5"/>
        <tr r="V84" s="5"/>
        <tr r="V30" s="5"/>
        <tr r="V47" s="5"/>
        <tr r="V93" s="5"/>
        <tr r="V73" s="5"/>
        <tr r="V146" s="5"/>
        <tr r="V112" s="5"/>
        <tr r="V69" s="5"/>
        <tr r="V148" s="5"/>
        <tr r="V37" s="5"/>
        <tr r="V117" s="5"/>
        <tr r="V42" s="5"/>
        <tr r="V116" s="5"/>
        <tr r="V139" s="5"/>
        <tr r="V99" s="5"/>
      </tp>
    </main>
    <main first="rtdsrv.ac5e4684c38b484199bc03619d7ebdd9">
      <tp t="e">
        <v>#N/A</v>
        <stp/>
        <stp>ExcelTrader_103</stp>
        <stp>185758243</stp>
        <tr r="T37" s="10"/>
        <tr r="Q37" s="10"/>
        <tr r="S37" s="10"/>
        <tr r="R37" s="10"/>
        <tr r="W37" s="10"/>
        <tr r="V37" s="10"/>
        <tr r="U37" s="10"/>
      </tp>
    </main>
    <main first="esrtd">
      <tp>
        <v>488205</v>
        <stp/>
        <stp>*H(RTN-LON,Volume,D,42928)</stp>
        <tr r="AD9" s="5"/>
      </tp>
      <tp>
        <v>693948</v>
        <stp/>
        <stp>*H(RTN-LON,Volume,D,42927)</stp>
        <tr r="X9" s="5"/>
      </tp>
    </main>
    <main first="esrtd">
      <tp>
        <v>42929.63958333333</v>
        <stp/>
        <stp>*H</stp>
        <stp>VOD-LON</stp>
        <stp>BarTime</stp>
        <stp>I1</stp>
        <stp/>
        <stp>8</stp>
        <tr r="G102" s="12"/>
      </tp>
      <tp>
        <v>42929.638888888891</v>
        <stp/>
        <stp>*H</stp>
        <stp>VOD-LON</stp>
        <stp>BarTime</stp>
        <stp>I1</stp>
        <stp/>
        <stp>9</stp>
        <tr r="G101" s="12"/>
      </tp>
      <tp>
        <v>42929.645138888889</v>
        <stp/>
        <stp>*H</stp>
        <stp>VOD-LON</stp>
        <stp>BarTime</stp>
        <stp>I1</stp>
        <stp/>
        <stp>0</stp>
        <tr r="G110" s="12"/>
      </tp>
      <tp>
        <v>42929.644444444442</v>
        <stp/>
        <stp>*H</stp>
        <stp>VOD-LON</stp>
        <stp>BarTime</stp>
        <stp>I1</stp>
        <stp/>
        <stp>1</stp>
        <tr r="G109" s="12"/>
      </tp>
      <tp>
        <v>42929.643750000003</v>
        <stp/>
        <stp>*H</stp>
        <stp>VOD-LON</stp>
        <stp>BarTime</stp>
        <stp>I1</stp>
        <stp/>
        <stp>2</stp>
        <tr r="G108" s="12"/>
      </tp>
      <tp>
        <v>42929.643055555556</v>
        <stp/>
        <stp>*H</stp>
        <stp>VOD-LON</stp>
        <stp>BarTime</stp>
        <stp>I1</stp>
        <stp/>
        <stp>3</stp>
        <tr r="G107" s="12"/>
      </tp>
      <tp>
        <v>42929.642361111109</v>
        <stp/>
        <stp>*H</stp>
        <stp>VOD-LON</stp>
        <stp>BarTime</stp>
        <stp>I1</stp>
        <stp/>
        <stp>4</stp>
        <tr r="G106" s="12"/>
      </tp>
      <tp>
        <v>42929.64166666667</v>
        <stp/>
        <stp>*H</stp>
        <stp>VOD-LON</stp>
        <stp>BarTime</stp>
        <stp>I1</stp>
        <stp/>
        <stp>5</stp>
        <tr r="G105" s="12"/>
      </tp>
      <tp>
        <v>42929.640972222223</v>
        <stp/>
        <stp>*H</stp>
        <stp>VOD-LON</stp>
        <stp>BarTime</stp>
        <stp>I1</stp>
        <stp/>
        <stp>6</stp>
        <tr r="G104" s="12"/>
      </tp>
      <tp>
        <v>42929.640277777777</v>
        <stp/>
        <stp>*H</stp>
        <stp>VOD-LON</stp>
        <stp>BarTime</stp>
        <stp>I1</stp>
        <stp/>
        <stp>7</stp>
        <tr r="G103" s="12"/>
      </tp>
    </main>
    <main first="rtdsrv.ac5e4684c38b484199bc03619d7ebdd9">
      <tp t="e">
        <v>#N/A</v>
        <stp/>
        <stp>ExcelTrader_103</stp>
        <stp>185675496</stp>
        <tr r="W6" s="10"/>
        <tr r="S6" s="10"/>
        <tr r="V6" s="10"/>
        <tr r="R6" s="10"/>
        <tr r="U6" s="10"/>
        <tr r="T6" s="10"/>
        <tr r="Q6" s="10"/>
      </tp>
      <tp t="e">
        <v>#N/A</v>
        <stp/>
        <stp>ExcelTrader_103</stp>
        <stp>185758425</stp>
        <tr r="W44" s="10"/>
        <tr r="S44" s="10"/>
        <tr r="R44" s="10"/>
        <tr r="V44" s="10"/>
        <tr r="U44" s="10"/>
        <tr r="T44" s="10"/>
        <tr r="Q44" s="10"/>
      </tp>
      <tp t="e">
        <v>#N/A</v>
        <stp/>
        <stp>ExcelTrader_103</stp>
        <stp>185758401</stp>
        <tr r="R43" s="10"/>
        <tr r="Q43" s="10"/>
        <tr r="S43" s="10"/>
        <tr r="W43" s="10"/>
        <tr r="T43" s="10"/>
        <tr r="U43" s="10"/>
        <tr r="V43" s="10"/>
      </tp>
      <tp t="e">
        <v>#N/A</v>
        <stp/>
        <stp>ExcelTrader_103</stp>
        <stp>185756785</stp>
        <tr r="S18" s="10"/>
        <tr r="Q18" s="10"/>
        <tr r="W18" s="10"/>
        <tr r="T18" s="10"/>
        <tr r="U18" s="10"/>
        <tr r="R18" s="10"/>
        <tr r="V18" s="10"/>
      </tp>
      <tp t="e">
        <v>#N/A</v>
        <stp/>
        <stp>ExcelTrader_103</stp>
        <stp>185757763</stp>
        <tr r="S32" s="10"/>
        <tr r="T32" s="10"/>
        <tr r="Q32" s="10"/>
        <tr r="U32" s="10"/>
        <tr r="R32" s="10"/>
        <tr r="V32" s="10"/>
        <tr r="W32" s="10"/>
      </tp>
      <tp t="e">
        <v>#N/A</v>
        <stp/>
        <stp>ExcelTrader_103</stp>
        <stp>185753759</stp>
        <tr r="W3" s="10"/>
        <tr r="T3" s="10"/>
        <tr r="S3" s="10"/>
        <tr r="R3" s="10"/>
        <tr r="V3" s="10"/>
        <tr r="U3" s="10"/>
        <tr r="Q3" s="10"/>
      </tp>
      <tp t="e">
        <v>#N/A</v>
        <stp/>
        <stp>ExcelTrader_103</stp>
        <stp>185757723</stp>
        <tr r="V31" s="10"/>
        <tr r="U31" s="10"/>
        <tr r="T31" s="10"/>
        <tr r="S31" s="10"/>
        <tr r="R31" s="10"/>
        <tr r="W31" s="10"/>
        <tr r="Q31" s="10"/>
      </tp>
      <tp t="e">
        <v>#N/A</v>
        <stp/>
        <stp>ExcelTrader_103</stp>
        <stp>185756735</stp>
        <tr r="V17" s="10"/>
        <tr r="T17" s="10"/>
        <tr r="Q17" s="10"/>
        <tr r="S17" s="10"/>
        <tr r="R17" s="10"/>
        <tr r="W17" s="10"/>
        <tr r="U17" s="10"/>
      </tp>
      <tp t="e">
        <v>#N/A</v>
        <stp/>
        <stp>ExcelTrader_103</stp>
        <stp>185756705</stp>
        <tr r="U16" s="10"/>
        <tr r="V16" s="10"/>
        <tr r="T16" s="10"/>
        <tr r="W16" s="10"/>
        <tr r="S16" s="10"/>
        <tr r="R16" s="10"/>
        <tr r="Q16" s="10"/>
      </tp>
    </main>
    <main first="esrtd">
      <tp>
        <v>42907.415277777778</v>
        <stp/>
        <stp>*H</stp>
        <stp>VOD-LON</stp>
        <stp>BarTime</stp>
        <stp>I1</stp>
        <stp/>
        <stp>8000</stp>
        <tr r="G13" s="12"/>
      </tp>
      <tp>
        <v>42905.385416666664</v>
        <stp/>
        <stp>*H</stp>
        <stp>VOD-LON</stp>
        <stp>BarTime</stp>
        <stp>I1</stp>
        <stp/>
        <stp>9000</stp>
        <tr r="G14" s="12"/>
      </tp>
      <tp>
        <v>42927.669444444444</v>
        <stp/>
        <stp>*H</stp>
        <stp>VOD-LON</stp>
        <stp>BarTime</stp>
        <stp>I1</stp>
        <stp/>
        <stp>1000</stp>
        <tr r="G6" s="12"/>
      </tp>
      <tp>
        <v>42923.603472222225</v>
        <stp/>
        <stp>*H</stp>
        <stp>VOD-LON</stp>
        <stp>BarTime</stp>
        <stp>I1</stp>
        <stp/>
        <stp>2000</stp>
        <tr r="G7" s="12"/>
      </tp>
      <tp>
        <v>42921.582638888889</v>
        <stp/>
        <stp>*H</stp>
        <stp>VOD-LON</stp>
        <stp>BarTime</stp>
        <stp>I1</stp>
        <stp/>
        <stp>3000</stp>
        <tr r="G8" s="12"/>
      </tp>
      <tp>
        <v>42919.534722222219</v>
        <stp/>
        <stp>*H</stp>
        <stp>VOD-LON</stp>
        <stp>BarTime</stp>
        <stp>I1</stp>
        <stp/>
        <stp>4000</stp>
        <tr r="G9" s="12"/>
      </tp>
      <tp>
        <v>42915.490972222222</v>
        <stp/>
        <stp>*H</stp>
        <stp>VOD-LON</stp>
        <stp>BarTime</stp>
        <stp>I1</stp>
        <stp/>
        <stp>5000</stp>
        <tr r="G10" s="12"/>
      </tp>
      <tp>
        <v>42913.472222222219</v>
        <stp/>
        <stp>*H</stp>
        <stp>VOD-LON</stp>
        <stp>BarTime</stp>
        <stp>I1</stp>
        <stp/>
        <stp>6000</stp>
        <tr r="G11" s="12"/>
      </tp>
      <tp>
        <v>42909.45</v>
        <stp/>
        <stp>*H</stp>
        <stp>VOD-LON</stp>
        <stp>BarTime</stp>
        <stp>I1</stp>
        <stp/>
        <stp>7000</stp>
        <tr r="G12" s="12"/>
      </tp>
    </main>
    <main first="rtdsrv.ac5e4684c38b484199bc03619d7ebdd9">
      <tp t="e">
        <v>#N/A</v>
        <stp/>
        <stp>ExcelTrader_103</stp>
        <stp>185758673</stp>
        <tr r="T47" s="10"/>
        <tr r="R47" s="10"/>
        <tr r="W47" s="10"/>
        <tr r="U47" s="10"/>
        <tr r="S47" s="10"/>
        <tr r="V47" s="10"/>
        <tr r="Q47" s="10"/>
      </tp>
      <tp t="e">
        <v>#N/A</v>
        <stp/>
        <stp>ExcelTrader_103</stp>
        <stp>185758659</stp>
        <tr r="U46" s="10"/>
        <tr r="T46" s="10"/>
        <tr r="R46" s="10"/>
        <tr r="W46" s="10"/>
        <tr r="S46" s="10"/>
        <tr r="V46" s="10"/>
        <tr r="Q46" s="10"/>
      </tp>
      <tp t="e">
        <v>#N/A</v>
        <stp/>
        <stp>ExcelTrader_103</stp>
        <stp>185758655</stp>
        <tr r="U45" s="10"/>
        <tr r="W45" s="10"/>
        <tr r="V45" s="10"/>
        <tr r="S45" s="10"/>
        <tr r="R45" s="10"/>
        <tr r="T45" s="10"/>
        <tr r="Q45" s="10"/>
      </tp>
      <tp t="e">
        <v>#N/A</v>
        <stp/>
        <stp>ExcelTrader_103</stp>
        <stp>185734650</stp>
        <tr r="W5" s="10"/>
        <tr r="T5" s="10"/>
        <tr r="R5" s="10"/>
        <tr r="V5" s="10"/>
        <tr r="U5" s="10"/>
        <tr r="S5" s="10"/>
        <tr r="Q5" s="10"/>
      </tp>
    </main>
    <main first="esrtd">
      <tp>
        <v>38001310</v>
        <stp/>
        <stp>*H(VOD-LON,Volume,D,42927)</stp>
        <tr r="X10" s="5"/>
      </tp>
    </main>
    <main first="esrtd">
      <tp>
        <v>24710067</v>
        <stp/>
        <stp>*H(VOD-LON,Volume,D,42928)</stp>
        <tr r="AD10" s="5"/>
      </tp>
    </main>
    <main first="rtdsrv.ac5e4684c38b484199bc03619d7ebdd9">
      <tp t="e">
        <v>#N/A</v>
        <stp/>
        <stp>ExcelTrader_103</stp>
        <stp>185755989</stp>
        <tr r="R10" s="10"/>
        <tr r="T10" s="10"/>
        <tr r="S10" s="10"/>
        <tr r="V10" s="10"/>
        <tr r="W10" s="10"/>
        <tr r="U10" s="10"/>
        <tr r="Q10" s="10"/>
      </tp>
      <tp t="e">
        <v>#N/A</v>
        <stp/>
        <stp>ExcelTrader_103</stp>
        <stp>185755985</stp>
        <tr r="R8" s="10"/>
        <tr r="T8" s="10"/>
        <tr r="S8" s="10"/>
        <tr r="W8" s="10"/>
        <tr r="V8" s="10"/>
        <tr r="U8" s="10"/>
        <tr r="Q8" s="10"/>
      </tp>
      <tp t="e">
        <v>#N/A</v>
        <stp/>
        <stp>ExcelTrader_103</stp>
        <stp>185755987</stp>
        <tr r="V9" s="10"/>
        <tr r="S9" s="10"/>
        <tr r="R9" s="10"/>
        <tr r="W9" s="10"/>
        <tr r="U9" s="10"/>
        <tr r="T9" s="10"/>
        <tr r="Q9" s="10"/>
      </tp>
      <tp t="e">
        <v>#N/A</v>
        <stp/>
        <stp>ExcelTrader_103</stp>
        <stp>185755981</stp>
        <tr r="W7" s="10"/>
        <tr r="V7" s="10"/>
        <tr r="R7" s="10"/>
        <tr r="U7" s="10"/>
        <tr r="S7" s="10"/>
        <tr r="T7" s="10"/>
        <tr r="Q7" s="10"/>
      </tp>
      <tp t="e">
        <v>#N/A</v>
        <stp/>
        <stp>ExcelTrader_103</stp>
        <stp>185755991</stp>
        <tr r="W11" s="10"/>
        <tr r="U11" s="10"/>
        <tr r="R11" s="10"/>
        <tr r="V11" s="10"/>
        <tr r="T11" s="10"/>
        <tr r="S11" s="10"/>
        <tr r="Q11" s="10"/>
      </tp>
      <tp t="e">
        <v>#N/A</v>
        <stp/>
        <stp>ExcelTrader_103</stp>
        <stp>185755993</stp>
        <tr r="R12" s="10"/>
        <tr r="T12" s="10"/>
        <tr r="S12" s="10"/>
        <tr r="W12" s="10"/>
        <tr r="V12" s="10"/>
        <tr r="U12" s="10"/>
        <tr r="Q12" s="10"/>
      </tp>
      <tp t="e">
        <v>#N/A</v>
        <stp/>
        <stp>ExcelTrader_103</stp>
        <stp>185756943</stp>
        <tr r="W24" s="10"/>
        <tr r="U24" s="10"/>
        <tr r="R24" s="10"/>
        <tr r="T24" s="10"/>
        <tr r="S24" s="10"/>
        <tr r="V24" s="10"/>
        <tr r="Q24" s="10"/>
      </tp>
      <tp t="e">
        <v>#N/A</v>
        <stp/>
        <stp>ExcelTrader_103</stp>
        <stp>185756929</stp>
        <tr r="U22" s="10"/>
        <tr r="S22" s="10"/>
        <tr r="R22" s="10"/>
        <tr r="T22" s="10"/>
        <tr r="V22" s="10"/>
        <tr r="W22" s="10"/>
        <tr r="Q22" s="10"/>
      </tp>
      <tp t="e">
        <v>#N/A</v>
        <stp/>
        <stp>ExcelTrader_103</stp>
        <stp>185756935</stp>
        <tr r="U23" s="10"/>
        <tr r="V23" s="10"/>
        <tr r="R23" s="10"/>
        <tr r="T23" s="10"/>
        <tr r="W23" s="10"/>
        <tr r="S23" s="10"/>
        <tr r="Q23" s="10"/>
      </tp>
      <tp t="e">
        <v>#N/A</v>
        <stp/>
        <stp>ExcelTrader_103</stp>
        <stp>185756909</stp>
        <tr r="T19" s="10"/>
        <tr r="V19" s="10"/>
        <tr r="R19" s="10"/>
        <tr r="U19" s="10"/>
        <tr r="S19" s="10"/>
        <tr r="W19" s="10"/>
        <tr r="Q19" s="10"/>
      </tp>
      <tp t="e">
        <v>#N/A</v>
        <stp/>
        <stp>ExcelTrader_103</stp>
        <stp>185735906</stp>
        <tr r="S4" s="10"/>
        <tr r="Q4" s="10"/>
        <tr r="W4" s="10"/>
        <tr r="V4" s="10"/>
        <tr r="U4" s="10"/>
        <tr r="T4" s="10"/>
        <tr r="R4" s="10"/>
      </tp>
      <tp t="e">
        <v>#N/A</v>
        <stp/>
        <stp>ExcelTrader_103</stp>
        <stp>185756919</stp>
        <tr r="W21" s="10"/>
        <tr r="R21" s="10"/>
        <tr r="V21" s="10"/>
        <tr r="T21" s="10"/>
        <tr r="U21" s="10"/>
        <tr r="S21" s="10"/>
        <tr r="Q21" s="10"/>
      </tp>
      <tp t="e">
        <v>#N/A</v>
        <stp/>
        <stp>ExcelTrader_103</stp>
        <stp>185756911</stp>
        <tr r="U20" s="10"/>
        <tr r="R20" s="10"/>
        <tr r="W20" s="10"/>
        <tr r="T20" s="10"/>
        <tr r="S20" s="10"/>
        <tr r="V20" s="10"/>
        <tr r="Q20" s="10"/>
      </tp>
    </main>
    <main first="esrtd">
      <tp>
        <v>754579</v>
        <stp/>
        <stp>*H(MEO-XET,Volume,D,42927)</stp>
        <tr r="X8" s="5"/>
      </tp>
      <tp>
        <v>2904257</v>
        <stp/>
        <stp>*H(MEO-XET,Volume,D,42928)</stp>
        <tr r="AD8" s="5"/>
      </tp>
    </main>
    <main first="rtdsrv.ac5e4684c38b484199bc03619d7ebdd9">
      <tp t="e">
        <v>#N/A</v>
        <stp/>
        <stp>ExcelTrader_103</stp>
        <stp>185757893</stp>
        <tr r="S34" s="10"/>
        <tr r="R34" s="10"/>
        <tr r="U34" s="10"/>
        <tr r="V34" s="10"/>
        <tr r="W34" s="10"/>
        <tr r="T34" s="10"/>
        <tr r="Q34" s="10"/>
      </tp>
      <tp t="e">
        <v>#N/A</v>
        <stp/>
        <stp>ExcelTrader_103</stp>
        <stp>185757865</stp>
        <tr r="U33" s="10"/>
        <tr r="T33" s="10"/>
        <tr r="R33" s="10"/>
        <tr r="W33" s="10"/>
        <tr r="S33" s="10"/>
        <tr r="V33" s="10"/>
        <tr r="Q33" s="10"/>
      </tp>
      <tp t="e">
        <v>#N/A</v>
        <stp/>
        <stp>ExcelTrader_99</stp>
        <stp>RTN:xlon_CfdOnShare</stp>
        <tr r="E4" s="10"/>
        <tr r="F4" s="10"/>
        <tr r="D4" s="10"/>
        <tr r="C4" s="10"/>
      </tp>
    </main>
    <main first="esrtd">
      <tp>
        <v>222.05</v>
        <stp/>
        <stp>*H</stp>
        <stp>VOD-LON</stp>
        <stp>Low</stp>
        <stp>I1</stp>
        <stp/>
        <stp>95</stp>
        <tr r="D15" s="12"/>
      </tp>
      <tp>
        <v>222.1</v>
        <stp/>
        <stp>*H</stp>
        <stp>VOD-LON</stp>
        <stp>Low</stp>
        <stp>I1</stp>
        <stp/>
        <stp>94</stp>
        <tr r="D16" s="12"/>
      </tp>
      <tp>
        <v>222.15</v>
        <stp/>
        <stp>*H</stp>
        <stp>VOD-LON</stp>
        <stp>Low</stp>
        <stp>I1</stp>
        <stp/>
        <stp>91</stp>
        <tr r="D19" s="12"/>
      </tp>
      <tp>
        <v>222.2</v>
        <stp/>
        <stp>*H</stp>
        <stp>VOD-LON</stp>
        <stp>Low</stp>
        <stp>I1</stp>
        <stp/>
        <stp>90</stp>
        <tr r="D20" s="12"/>
      </tp>
      <tp>
        <v>222.1</v>
        <stp/>
        <stp>*H</stp>
        <stp>VOD-LON</stp>
        <stp>Low</stp>
        <stp>I1</stp>
        <stp/>
        <stp>93</stp>
        <tr r="D17" s="12"/>
      </tp>
      <tp>
        <v>222.15</v>
        <stp/>
        <stp>*H</stp>
        <stp>VOD-LON</stp>
        <stp>Low</stp>
        <stp>I1</stp>
        <stp/>
        <stp>92</stp>
        <tr r="D18" s="12"/>
      </tp>
      <tp>
        <v>222.25</v>
        <stp/>
        <stp>*H</stp>
        <stp>VOD-LON</stp>
        <stp>Low</stp>
        <stp>I1</stp>
        <stp/>
        <stp>85</stp>
        <tr r="D25" s="12"/>
      </tp>
      <tp>
        <v>222.3</v>
        <stp/>
        <stp>*H</stp>
        <stp>VOD-LON</stp>
        <stp>Low</stp>
        <stp>I1</stp>
        <stp/>
        <stp>84</stp>
        <tr r="D26" s="12"/>
      </tp>
      <tp>
        <v>222.15</v>
        <stp/>
        <stp>*H</stp>
        <stp>VOD-LON</stp>
        <stp>Low</stp>
        <stp>I1</stp>
        <stp/>
        <stp>87</stp>
        <tr r="D23" s="12"/>
      </tp>
      <tp>
        <v>222.2</v>
        <stp/>
        <stp>*H</stp>
        <stp>VOD-LON</stp>
        <stp>Low</stp>
        <stp>I1</stp>
        <stp/>
        <stp>86</stp>
        <tr r="D24" s="12"/>
      </tp>
      <tp>
        <v>222.35</v>
        <stp/>
        <stp>*H</stp>
        <stp>VOD-LON</stp>
        <stp>Low</stp>
        <stp>I1</stp>
        <stp/>
        <stp>81</stp>
        <tr r="D29" s="12"/>
      </tp>
      <tp>
        <v>222.35</v>
        <stp/>
        <stp>*H</stp>
        <stp>VOD-LON</stp>
        <stp>Low</stp>
        <stp>I1</stp>
        <stp/>
        <stp>80</stp>
        <tr r="D30" s="12"/>
      </tp>
      <tp>
        <v>222.3</v>
        <stp/>
        <stp>*H</stp>
        <stp>VOD-LON</stp>
        <stp>Low</stp>
        <stp>I1</stp>
        <stp/>
        <stp>83</stp>
        <tr r="D27" s="12"/>
      </tp>
      <tp>
        <v>222.35</v>
        <stp/>
        <stp>*H</stp>
        <stp>VOD-LON</stp>
        <stp>Low</stp>
        <stp>I1</stp>
        <stp/>
        <stp>82</stp>
        <tr r="D28" s="12"/>
      </tp>
      <tp>
        <v>222.2</v>
        <stp/>
        <stp>*H</stp>
        <stp>VOD-LON</stp>
        <stp>Low</stp>
        <stp>I1</stp>
        <stp/>
        <stp>89</stp>
        <tr r="D21" s="12"/>
      </tp>
      <tp>
        <v>222.1</v>
        <stp/>
        <stp>*H</stp>
        <stp>VOD-LON</stp>
        <stp>Low</stp>
        <stp>I1</stp>
        <stp/>
        <stp>88</stp>
        <tr r="D22" s="12"/>
      </tp>
      <tp>
        <v>222.1</v>
        <stp/>
        <stp>*H</stp>
        <stp>VOD-LON</stp>
        <stp>Low</stp>
        <stp>I1</stp>
        <stp/>
        <stp>75</stp>
        <tr r="D35" s="12"/>
      </tp>
      <tp>
        <v>222.15</v>
        <stp/>
        <stp>*H</stp>
        <stp>VOD-LON</stp>
        <stp>Low</stp>
        <stp>I1</stp>
        <stp/>
        <stp>74</stp>
        <tr r="D36" s="12"/>
      </tp>
      <tp>
        <v>222.2</v>
        <stp/>
        <stp>*H</stp>
        <stp>VOD-LON</stp>
        <stp>Low</stp>
        <stp>I1</stp>
        <stp/>
        <stp>77</stp>
        <tr r="D33" s="12"/>
      </tp>
      <tp>
        <v>222.1</v>
        <stp/>
        <stp>*H</stp>
        <stp>VOD-LON</stp>
        <stp>Low</stp>
        <stp>I1</stp>
        <stp/>
        <stp>76</stp>
        <tr r="D34" s="12"/>
      </tp>
      <tp>
        <v>222.05</v>
        <stp/>
        <stp>*H</stp>
        <stp>VOD-LON</stp>
        <stp>Low</stp>
        <stp>I1</stp>
        <stp/>
        <stp>71</stp>
        <tr r="D39" s="12"/>
      </tp>
      <tp>
        <v>221.9</v>
        <stp/>
        <stp>*H</stp>
        <stp>VOD-LON</stp>
        <stp>Low</stp>
        <stp>I1</stp>
        <stp/>
        <stp>70</stp>
        <tr r="D40" s="12"/>
      </tp>
      <tp>
        <v>222.15</v>
        <stp/>
        <stp>*H</stp>
        <stp>VOD-LON</stp>
        <stp>Low</stp>
        <stp>I1</stp>
        <stp/>
        <stp>73</stp>
        <tr r="D37" s="12"/>
      </tp>
      <tp>
        <v>222.1</v>
        <stp/>
        <stp>*H</stp>
        <stp>VOD-LON</stp>
        <stp>Low</stp>
        <stp>I1</stp>
        <stp/>
        <stp>72</stp>
        <tr r="D38" s="12"/>
      </tp>
      <tp>
        <v>222.35</v>
        <stp/>
        <stp>*H</stp>
        <stp>VOD-LON</stp>
        <stp>Low</stp>
        <stp>I1</stp>
        <stp/>
        <stp>79</stp>
        <tr r="D31" s="12"/>
      </tp>
      <tp>
        <v>222.35</v>
        <stp/>
        <stp>*H</stp>
        <stp>VOD-LON</stp>
        <stp>Low</stp>
        <stp>I1</stp>
        <stp/>
        <stp>78</stp>
        <tr r="D32" s="12"/>
      </tp>
      <tp>
        <v>221.9</v>
        <stp/>
        <stp>*H</stp>
        <stp>VOD-LON</stp>
        <stp>Low</stp>
        <stp>I1</stp>
        <stp/>
        <stp>65</stp>
        <tr r="D45" s="12"/>
      </tp>
      <tp>
        <v>221.95</v>
        <stp/>
        <stp>*H</stp>
        <stp>VOD-LON</stp>
        <stp>Low</stp>
        <stp>I1</stp>
        <stp/>
        <stp>64</stp>
        <tr r="D46" s="12"/>
      </tp>
      <tp>
        <v>222</v>
        <stp/>
        <stp>*H</stp>
        <stp>VOD-LON</stp>
        <stp>Low</stp>
        <stp>I1</stp>
        <stp/>
        <stp>67</stp>
        <tr r="D43" s="12"/>
      </tp>
      <tp>
        <v>221.9</v>
        <stp/>
        <stp>*H</stp>
        <stp>VOD-LON</stp>
        <stp>Low</stp>
        <stp>I1</stp>
        <stp/>
        <stp>66</stp>
        <tr r="D44" s="12"/>
      </tp>
      <tp>
        <v>221.95</v>
        <stp/>
        <stp>*H</stp>
        <stp>VOD-LON</stp>
        <stp>Low</stp>
        <stp>I1</stp>
        <stp/>
        <stp>61</stp>
        <tr r="D49" s="12"/>
      </tp>
      <tp>
        <v>221.85</v>
        <stp/>
        <stp>*H</stp>
        <stp>VOD-LON</stp>
        <stp>Low</stp>
        <stp>I1</stp>
        <stp/>
        <stp>60</stp>
        <tr r="D50" s="12"/>
      </tp>
      <tp>
        <v>222</v>
        <stp/>
        <stp>*H</stp>
        <stp>VOD-LON</stp>
        <stp>Low</stp>
        <stp>I1</stp>
        <stp/>
        <stp>63</stp>
        <tr r="D47" s="12"/>
      </tp>
      <tp>
        <v>222.05</v>
        <stp/>
        <stp>*H</stp>
        <stp>VOD-LON</stp>
        <stp>Low</stp>
        <stp>I1</stp>
        <stp/>
        <stp>62</stp>
        <tr r="D48" s="12"/>
      </tp>
      <tp>
        <v>221.85</v>
        <stp/>
        <stp>*H</stp>
        <stp>VOD-LON</stp>
        <stp>Low</stp>
        <stp>I1</stp>
        <stp/>
        <stp>69</stp>
        <tr r="D41" s="12"/>
      </tp>
      <tp>
        <v>221.95</v>
        <stp/>
        <stp>*H</stp>
        <stp>VOD-LON</stp>
        <stp>Low</stp>
        <stp>I1</stp>
        <stp/>
        <stp>68</stp>
        <tr r="D42" s="12"/>
      </tp>
      <tp>
        <v>221.85</v>
        <stp/>
        <stp>*H</stp>
        <stp>VOD-LON</stp>
        <stp>Low</stp>
        <stp>I1</stp>
        <stp/>
        <stp>55</stp>
        <tr r="D55" s="12"/>
      </tp>
      <tp>
        <v>221.95</v>
        <stp/>
        <stp>*H</stp>
        <stp>VOD-LON</stp>
        <stp>Low</stp>
        <stp>I1</stp>
        <stp/>
        <stp>54</stp>
        <tr r="D56" s="12"/>
      </tp>
      <tp>
        <v>221.9</v>
        <stp/>
        <stp>*H</stp>
        <stp>VOD-LON</stp>
        <stp>Low</stp>
        <stp>I1</stp>
        <stp/>
        <stp>57</stp>
        <tr r="D53" s="12"/>
      </tp>
      <tp>
        <v>221.75</v>
        <stp/>
        <stp>*H</stp>
        <stp>VOD-LON</stp>
        <stp>Low</stp>
        <stp>I1</stp>
        <stp/>
        <stp>56</stp>
        <tr r="D54" s="12"/>
      </tp>
      <tp>
        <v>221.95</v>
        <stp/>
        <stp>*H</stp>
        <stp>VOD-LON</stp>
        <stp>Low</stp>
        <stp>I1</stp>
        <stp/>
        <stp>51</stp>
        <tr r="D59" s="12"/>
      </tp>
      <tp>
        <v>221.75</v>
        <stp/>
        <stp>*H</stp>
        <stp>VOD-LON</stp>
        <stp>Low</stp>
        <stp>I1</stp>
        <stp/>
        <stp>50</stp>
        <tr r="D60" s="12"/>
      </tp>
      <tp>
        <v>222</v>
        <stp/>
        <stp>*H</stp>
        <stp>VOD-LON</stp>
        <stp>Low</stp>
        <stp>I1</stp>
        <stp/>
        <stp>53</stp>
        <tr r="D57" s="12"/>
      </tp>
      <tp>
        <v>221.95</v>
        <stp/>
        <stp>*H</stp>
        <stp>VOD-LON</stp>
        <stp>Low</stp>
        <stp>I1</stp>
        <stp/>
        <stp>52</stp>
        <tr r="D58" s="12"/>
      </tp>
      <tp>
        <v>221.65</v>
        <stp/>
        <stp>*H</stp>
        <stp>VOD-LON</stp>
        <stp>Low</stp>
        <stp>I1</stp>
        <stp/>
        <stp>59</stp>
        <tr r="D51" s="12"/>
      </tp>
      <tp>
        <v>221.75</v>
        <stp/>
        <stp>*H</stp>
        <stp>VOD-LON</stp>
        <stp>Low</stp>
        <stp>I1</stp>
        <stp/>
        <stp>58</stp>
        <tr r="D52" s="12"/>
      </tp>
      <tp>
        <v>222.1</v>
        <stp/>
        <stp>*H</stp>
        <stp>VOD-LON</stp>
        <stp>Low</stp>
        <stp>I1</stp>
        <stp/>
        <stp>45</stp>
        <tr r="D65" s="12"/>
      </tp>
      <tp>
        <v>222</v>
        <stp/>
        <stp>*H</stp>
        <stp>VOD-LON</stp>
        <stp>Low</stp>
        <stp>I1</stp>
        <stp/>
        <stp>44</stp>
        <tr r="D66" s="12"/>
      </tp>
      <tp>
        <v>222.1</v>
        <stp/>
        <stp>*H</stp>
        <stp>VOD-LON</stp>
        <stp>Low</stp>
        <stp>I1</stp>
        <stp/>
        <stp>47</stp>
        <tr r="D63" s="12"/>
      </tp>
      <tp>
        <v>222.1</v>
        <stp/>
        <stp>*H</stp>
        <stp>VOD-LON</stp>
        <stp>Low</stp>
        <stp>I1</stp>
        <stp/>
        <stp>46</stp>
        <tr r="D64" s="12"/>
      </tp>
      <tp>
        <v>221.9</v>
        <stp/>
        <stp>*H</stp>
        <stp>VOD-LON</stp>
        <stp>Low</stp>
        <stp>I1</stp>
        <stp/>
        <stp>41</stp>
        <tr r="D69" s="12"/>
      </tp>
      <tp>
        <v>221.8</v>
        <stp/>
        <stp>*H</stp>
        <stp>VOD-LON</stp>
        <stp>Low</stp>
        <stp>I1</stp>
        <stp/>
        <stp>40</stp>
        <tr r="D70" s="12"/>
      </tp>
      <tp>
        <v>222</v>
        <stp/>
        <stp>*H</stp>
        <stp>VOD-LON</stp>
        <stp>Low</stp>
        <stp>I1</stp>
        <stp/>
        <stp>43</stp>
        <tr r="D67" s="12"/>
      </tp>
      <tp>
        <v>221.85</v>
        <stp/>
        <stp>*H</stp>
        <stp>VOD-LON</stp>
        <stp>Low</stp>
        <stp>I1</stp>
        <stp/>
        <stp>42</stp>
        <tr r="D68" s="12"/>
      </tp>
      <tp>
        <v>221.85</v>
        <stp/>
        <stp>*H</stp>
        <stp>VOD-LON</stp>
        <stp>Low</stp>
        <stp>I1</stp>
        <stp/>
        <stp>49</stp>
        <tr r="D61" s="12"/>
      </tp>
      <tp>
        <v>222</v>
        <stp/>
        <stp>*H</stp>
        <stp>VOD-LON</stp>
        <stp>Low</stp>
        <stp>I1</stp>
        <stp/>
        <stp>48</stp>
        <tr r="D62" s="12"/>
      </tp>
      <tp>
        <v>221.75</v>
        <stp/>
        <stp>*H</stp>
        <stp>VOD-LON</stp>
        <stp>Low</stp>
        <stp>I1</stp>
        <stp/>
        <stp>35</stp>
        <tr r="D75" s="12"/>
      </tp>
      <tp>
        <v>221.8</v>
        <stp/>
        <stp>*H</stp>
        <stp>VOD-LON</stp>
        <stp>Low</stp>
        <stp>I1</stp>
        <stp/>
        <stp>34</stp>
        <tr r="D76" s="12"/>
      </tp>
      <tp>
        <v>221.85</v>
        <stp/>
        <stp>*H</stp>
        <stp>VOD-LON</stp>
        <stp>Low</stp>
        <stp>I1</stp>
        <stp/>
        <stp>37</stp>
        <tr r="D73" s="12"/>
      </tp>
      <tp>
        <v>221.7</v>
        <stp/>
        <stp>*H</stp>
        <stp>VOD-LON</stp>
        <stp>Low</stp>
        <stp>I1</stp>
        <stp/>
        <stp>36</stp>
        <tr r="D74" s="12"/>
      </tp>
      <tp>
        <v>221.7</v>
        <stp/>
        <stp>*H</stp>
        <stp>VOD-LON</stp>
        <stp>Low</stp>
        <stp>I1</stp>
        <stp/>
        <stp>31</stp>
        <tr r="D79" s="12"/>
      </tp>
      <tp>
        <v>221.75</v>
        <stp/>
        <stp>*H</stp>
        <stp>VOD-LON</stp>
        <stp>Low</stp>
        <stp>I1</stp>
        <stp/>
        <stp>30</stp>
        <tr r="D80" s="12"/>
      </tp>
      <tp>
        <v>221.75</v>
        <stp/>
        <stp>*H</stp>
        <stp>VOD-LON</stp>
        <stp>Low</stp>
        <stp>I1</stp>
        <stp/>
        <stp>33</stp>
        <tr r="D77" s="12"/>
      </tp>
      <tp>
        <v>221.75</v>
        <stp/>
        <stp>*H</stp>
        <stp>VOD-LON</stp>
        <stp>Low</stp>
        <stp>I1</stp>
        <stp/>
        <stp>32</stp>
        <tr r="D78" s="12"/>
      </tp>
      <tp>
        <v>221.9</v>
        <stp/>
        <stp>*H</stp>
        <stp>VOD-LON</stp>
        <stp>Low</stp>
        <stp>I1</stp>
        <stp/>
        <stp>39</stp>
        <tr r="D71" s="12"/>
      </tp>
      <tp>
        <v>222</v>
        <stp/>
        <stp>*H</stp>
        <stp>VOD-LON</stp>
        <stp>Low</stp>
        <stp>I1</stp>
        <stp/>
        <stp>38</stp>
        <tr r="D72" s="12"/>
      </tp>
      <tp>
        <v>221.5</v>
        <stp/>
        <stp>*H</stp>
        <stp>VOD-LON</stp>
        <stp>Low</stp>
        <stp>I1</stp>
        <stp/>
        <stp>25</stp>
        <tr r="D85" s="12"/>
      </tp>
      <tp>
        <v>221.3</v>
        <stp/>
        <stp>*H</stp>
        <stp>VOD-LON</stp>
        <stp>Low</stp>
        <stp>I1</stp>
        <stp/>
        <stp>24</stp>
        <tr r="D86" s="12"/>
      </tp>
      <tp>
        <v>221.45</v>
        <stp/>
        <stp>*H</stp>
        <stp>VOD-LON</stp>
        <stp>Low</stp>
        <stp>I1</stp>
        <stp/>
        <stp>27</stp>
        <tr r="D83" s="12"/>
      </tp>
      <tp>
        <v>221.5</v>
        <stp/>
        <stp>*H</stp>
        <stp>VOD-LON</stp>
        <stp>Low</stp>
        <stp>I1</stp>
        <stp/>
        <stp>26</stp>
        <tr r="D84" s="12"/>
      </tp>
      <tp>
        <v>221.25</v>
        <stp/>
        <stp>*H</stp>
        <stp>VOD-LON</stp>
        <stp>Low</stp>
        <stp>I1</stp>
        <stp/>
        <stp>21</stp>
        <tr r="D89" s="12"/>
      </tp>
      <tp>
        <v>221.3</v>
        <stp/>
        <stp>*H</stp>
        <stp>VOD-LON</stp>
        <stp>Low</stp>
        <stp>I1</stp>
        <stp/>
        <stp>20</stp>
        <tr r="D90" s="12"/>
      </tp>
      <tp>
        <v>221.25</v>
        <stp/>
        <stp>*H</stp>
        <stp>VOD-LON</stp>
        <stp>Low</stp>
        <stp>I1</stp>
        <stp/>
        <stp>23</stp>
        <tr r="D87" s="12"/>
      </tp>
      <tp>
        <v>221.2</v>
        <stp/>
        <stp>*H</stp>
        <stp>VOD-LON</stp>
        <stp>Low</stp>
        <stp>I1</stp>
        <stp/>
        <stp>22</stp>
        <tr r="D88" s="12"/>
      </tp>
      <tp>
        <v>221.6</v>
        <stp/>
        <stp>*H</stp>
        <stp>VOD-LON</stp>
        <stp>Low</stp>
        <stp>I1</stp>
        <stp/>
        <stp>29</stp>
        <tr r="D81" s="12"/>
      </tp>
      <tp>
        <v>221.6</v>
        <stp/>
        <stp>*H</stp>
        <stp>VOD-LON</stp>
        <stp>Low</stp>
        <stp>I1</stp>
        <stp/>
        <stp>28</stp>
        <tr r="D82" s="12"/>
      </tp>
      <tp>
        <v>221.05</v>
        <stp/>
        <stp>*H</stp>
        <stp>VOD-LON</stp>
        <stp>Low</stp>
        <stp>I1</stp>
        <stp/>
        <stp>15</stp>
        <tr r="D95" s="12"/>
      </tp>
      <tp>
        <v>220.95</v>
        <stp/>
        <stp>*H</stp>
        <stp>VOD-LON</stp>
        <stp>Low</stp>
        <stp>I1</stp>
        <stp/>
        <stp>14</stp>
        <tr r="D96" s="12"/>
      </tp>
      <tp>
        <v>221.2</v>
        <stp/>
        <stp>*H</stp>
        <stp>VOD-LON</stp>
        <stp>Low</stp>
        <stp>I1</stp>
        <stp/>
        <stp>17</stp>
        <tr r="D93" s="12"/>
      </tp>
      <tp>
        <v>221.05</v>
        <stp/>
        <stp>*H</stp>
        <stp>VOD-LON</stp>
        <stp>Low</stp>
        <stp>I1</stp>
        <stp/>
        <stp>16</stp>
        <tr r="D94" s="12"/>
      </tp>
      <tp>
        <v>220.6</v>
        <stp/>
        <stp>*H</stp>
        <stp>VOD-LON</stp>
        <stp>Low</stp>
        <stp>I1</stp>
        <stp/>
        <stp>11</stp>
        <tr r="D99" s="12"/>
      </tp>
      <tp>
        <v>220.5</v>
        <stp/>
        <stp>*H</stp>
        <stp>VOD-LON</stp>
        <stp>Low</stp>
        <stp>I1</stp>
        <stp/>
        <stp>10</stp>
        <tr r="D100" s="12"/>
      </tp>
      <tp>
        <v>220.8</v>
        <stp/>
        <stp>*H</stp>
        <stp>VOD-LON</stp>
        <stp>Low</stp>
        <stp>I1</stp>
        <stp/>
        <stp>13</stp>
        <tr r="D97" s="12"/>
      </tp>
      <tp>
        <v>220.7</v>
        <stp/>
        <stp>*H</stp>
        <stp>VOD-LON</stp>
        <stp>Low</stp>
        <stp>I1</stp>
        <stp/>
        <stp>12</stp>
        <tr r="D98" s="12"/>
      </tp>
      <tp>
        <v>221.25</v>
        <stp/>
        <stp>*H</stp>
        <stp>VOD-LON</stp>
        <stp>Low</stp>
        <stp>I1</stp>
        <stp/>
        <stp>19</stp>
        <tr r="D91" s="12"/>
      </tp>
      <tp>
        <v>221.25</v>
        <stp/>
        <stp>*H</stp>
        <stp>VOD-LON</stp>
        <stp>Low</stp>
        <stp>I1</stp>
        <stp/>
        <stp>18</stp>
        <tr r="D92" s="12"/>
      </tp>
    </main>
    <main first="rtdsrv.ac5e4684c38b484199bc03619d7ebdd9">
      <tp t="e">
        <v>#N/A</v>
        <stp/>
        <stp>ExcelTrader_99</stp>
        <stp>VOD:xlon_CfdOnShare</stp>
        <tr r="D5" s="10"/>
        <tr r="F5" s="10"/>
        <tr r="E5" s="10"/>
        <tr r="C5" s="10"/>
      </tp>
    </main>
    <main first="esrtd">
      <tp>
        <v>220.9</v>
        <stp/>
        <stp>VOD-LON.Last</stp>
        <tr r="H5" s="5"/>
        <tr r="C10" s="5"/>
      </tp>
      <tp>
        <v>29.184999999999999</v>
        <stp/>
        <stp>MEO-XET.Last</stp>
        <tr r="C8" s="5"/>
      </tp>
    </main>
    <main first="esrtd">
      <tp>
        <v>42929.641643518517</v>
        <stp/>
        <stp>IGG-LON.Last_Time</stp>
        <tr r="E6" s="5"/>
      </tp>
      <tp t="s">
        <v/>
        <stp/>
        <stp>*H(,Volume,D,)</stp>
        <tr r="X71" s="5"/>
        <tr r="X59" s="5"/>
        <tr r="X150" s="5"/>
        <tr r="X14" s="5"/>
        <tr r="X72" s="5"/>
        <tr r="X74" s="5"/>
        <tr r="X62" s="5"/>
        <tr r="X53" s="5"/>
        <tr r="X149" s="5"/>
        <tr r="X77" s="5"/>
        <tr r="X120" s="5"/>
        <tr r="X34" s="5"/>
        <tr r="X38" s="5"/>
        <tr r="X103" s="5"/>
        <tr r="X101" s="5"/>
        <tr r="X73" s="5"/>
        <tr r="X70" s="5"/>
        <tr r="X100" s="5"/>
        <tr r="X127" s="5"/>
        <tr r="X43" s="5"/>
        <tr r="X50" s="5"/>
        <tr r="X93" s="5"/>
        <tr r="X21" s="5"/>
        <tr r="X116" s="5"/>
        <tr r="X141" s="5"/>
        <tr r="X97" s="5"/>
        <tr r="X124" s="5"/>
        <tr r="X18" s="5"/>
        <tr r="X55" s="5"/>
        <tr r="X129" s="5"/>
        <tr r="X46" s="5"/>
        <tr r="X88" s="5"/>
        <tr r="X75" s="5"/>
        <tr r="X67" s="5"/>
        <tr r="X109" s="5"/>
        <tr r="X12" s="5"/>
        <tr r="X24" s="5"/>
        <tr r="X48" s="5"/>
        <tr r="X17" s="5"/>
        <tr r="X117" s="5"/>
        <tr r="X96" s="5"/>
        <tr r="X84" s="5"/>
        <tr r="X140" s="5"/>
        <tr r="X148" s="5"/>
        <tr r="X69" s="5"/>
        <tr r="X138" s="5"/>
        <tr r="X47" s="5"/>
        <tr r="X58" s="5"/>
        <tr r="X90" s="5"/>
        <tr r="X105" s="5"/>
        <tr r="X39" s="5"/>
        <tr r="X94" s="5"/>
        <tr r="X29" s="5"/>
        <tr r="X42" s="5"/>
        <tr r="X131" s="5"/>
        <tr r="X41" s="5"/>
        <tr r="X61" s="5"/>
        <tr r="X15" s="5"/>
        <tr r="X79" s="5"/>
        <tr r="X106" s="5"/>
        <tr r="X25" s="5"/>
        <tr r="X85" s="5"/>
        <tr r="X121" s="5"/>
        <tr r="X107" s="5"/>
        <tr r="X33" s="5"/>
        <tr r="X65" s="5"/>
        <tr r="X143" s="5"/>
        <tr r="X63" s="5"/>
        <tr r="X146" s="5"/>
        <tr r="X20" s="5"/>
        <tr r="X57" s="5"/>
        <tr r="X145" s="5"/>
        <tr r="X35" s="5"/>
        <tr r="X122" s="5"/>
        <tr r="X111" s="5"/>
        <tr r="X52" s="5"/>
        <tr r="X27" s="5"/>
        <tr r="X118" s="5"/>
        <tr r="X68" s="5"/>
        <tr r="X37" s="5"/>
        <tr r="X132" s="5"/>
        <tr r="X99" s="5"/>
        <tr r="X45" s="5"/>
        <tr r="X30" s="5"/>
        <tr r="X16" s="5"/>
        <tr r="X66" s="5"/>
        <tr r="X125" s="5"/>
        <tr r="X80" s="5"/>
        <tr r="X114" s="5"/>
        <tr r="X28" s="5"/>
        <tr r="X91" s="5"/>
        <tr r="X130" s="5"/>
        <tr r="X144" s="5"/>
        <tr r="X54" s="5"/>
        <tr r="X22" s="5"/>
        <tr r="X153" s="5"/>
        <tr r="X151" s="5"/>
        <tr r="X137" s="5"/>
        <tr r="X104" s="5"/>
        <tr r="X49" s="5"/>
        <tr r="X86" s="5"/>
        <tr r="X139" s="5"/>
        <tr r="X81" s="5"/>
        <tr r="X152" s="5"/>
        <tr r="X102" s="5"/>
        <tr r="X44" s="5"/>
        <tr r="X64" s="5"/>
        <tr r="X19" s="5"/>
        <tr r="X82" s="5"/>
        <tr r="X89" s="5"/>
        <tr r="X119" s="5"/>
        <tr r="X112" s="5"/>
        <tr r="X147" s="5"/>
        <tr r="X87" s="5"/>
        <tr r="X135" s="5"/>
        <tr r="X126" s="5"/>
        <tr r="X134" s="5"/>
        <tr r="X13" s="5"/>
        <tr r="X23" s="5"/>
        <tr r="X136" s="5"/>
        <tr r="X113" s="5"/>
        <tr r="X95" s="5"/>
        <tr r="X98" s="5"/>
        <tr r="X92" s="5"/>
        <tr r="X26" s="5"/>
        <tr r="X32" s="5"/>
        <tr r="X78" s="5"/>
        <tr r="X60" s="5"/>
        <tr r="X51" s="5"/>
        <tr r="X36" s="5"/>
        <tr r="X133" s="5"/>
        <tr r="X128" s="5"/>
        <tr r="X142" s="5"/>
        <tr r="X76" s="5"/>
        <tr r="X115" s="5"/>
        <tr r="X83" s="5"/>
        <tr r="X31" s="5"/>
        <tr r="X40" s="5"/>
        <tr r="X108" s="5"/>
        <tr r="X56" s="5"/>
        <tr r="X123" s="5"/>
        <tr r="X110" s="5"/>
      </tp>
      <tp t="s">
        <v/>
        <stp/>
        <stp>.Last_Time</stp>
        <tr r="J14" s="5"/>
        <tr r="J7" s="5"/>
        <tr r="J33" s="5"/>
        <tr r="J41" s="5"/>
        <tr r="J16" s="5"/>
        <tr r="J15" s="5"/>
        <tr r="J46" s="5"/>
        <tr r="J48" s="5"/>
        <tr r="J21" s="5"/>
        <tr r="J38" s="5"/>
        <tr r="J39" s="5"/>
        <tr r="J20" s="5"/>
        <tr r="J34" s="5"/>
        <tr r="J18" s="5"/>
        <tr r="J17" s="5"/>
        <tr r="J44" s="5"/>
        <tr r="J30" s="5"/>
        <tr r="J40" s="5"/>
        <tr r="J6" s="5"/>
        <tr r="J47" s="5"/>
        <tr r="J22" s="5"/>
        <tr r="J29" s="5"/>
        <tr r="J27" s="5"/>
        <tr r="J32" s="5"/>
        <tr r="J35" s="5"/>
        <tr r="J26" s="5"/>
        <tr r="J31" s="5"/>
        <tr r="J42" s="5"/>
        <tr r="J10" s="5"/>
        <tr r="J19" s="5"/>
        <tr r="J37" s="5"/>
        <tr r="J11" s="5"/>
        <tr r="J8" s="5"/>
        <tr r="J9" s="5"/>
        <tr r="J24" s="5"/>
        <tr r="J50" s="5"/>
        <tr r="J28" s="5"/>
        <tr r="J36" s="5"/>
        <tr r="J49" s="5"/>
        <tr r="J23" s="5"/>
        <tr r="J45" s="5"/>
        <tr r="J25" s="5"/>
        <tr r="J13" s="5"/>
        <tr r="J12" s="5"/>
        <tr r="J43" s="5"/>
        <tr r="E55" s="5"/>
        <tr r="E45" s="5"/>
        <tr r="E39" s="5"/>
        <tr r="O14" s="5"/>
        <tr r="O41" s="5"/>
        <tr r="O11" s="5"/>
        <tr r="O45" s="5"/>
        <tr r="O23" s="5"/>
        <tr r="E47" s="5"/>
        <tr r="O48" s="5"/>
        <tr r="E56" s="5"/>
        <tr r="E51" s="5"/>
        <tr r="E43" s="5"/>
        <tr r="E22" s="5"/>
        <tr r="E52" s="5"/>
        <tr r="E17" s="5"/>
        <tr r="O43" s="5"/>
        <tr r="O28" s="5"/>
        <tr r="O17" s="5"/>
        <tr r="O39" s="5"/>
        <tr r="E48" s="5"/>
        <tr r="O20" s="5"/>
        <tr r="E44" s="5"/>
        <tr r="E20" s="5"/>
        <tr r="O56" s="5"/>
        <tr r="O55" s="5"/>
        <tr r="O15" s="5"/>
        <tr r="E16" s="5"/>
        <tr r="E33" s="5"/>
        <tr r="O25" s="5"/>
        <tr r="E19" s="5"/>
        <tr r="E36" s="5"/>
        <tr r="E25" s="5"/>
        <tr r="O37" s="5"/>
        <tr r="O29" s="5"/>
        <tr r="O10" s="5"/>
        <tr r="O54" s="5"/>
        <tr r="E30" s="5"/>
        <tr r="E21" s="5"/>
        <tr r="O21" s="5"/>
        <tr r="E13" s="5"/>
        <tr r="O22" s="5"/>
        <tr r="O42" s="5"/>
        <tr r="E28" s="5"/>
        <tr r="E11" s="5"/>
        <tr r="E37" s="5"/>
        <tr r="O44" s="5"/>
        <tr r="E50" s="5"/>
        <tr r="O18" s="5"/>
        <tr r="E27" s="5"/>
        <tr r="O9" s="5"/>
        <tr r="O24" s="5"/>
        <tr r="O12" s="5"/>
        <tr r="O52" s="5"/>
        <tr r="E46" s="5"/>
        <tr r="E40" s="5"/>
        <tr r="E26" s="5"/>
        <tr r="O7" s="5"/>
        <tr r="E41" s="5"/>
        <tr r="E34" s="5"/>
        <tr r="E14" s="5"/>
        <tr r="O13" s="5"/>
        <tr r="O6" s="5"/>
        <tr r="O53" s="5"/>
        <tr r="O19" s="5"/>
        <tr r="O3" s="5"/>
        <tr r="O49" s="5"/>
        <tr r="E53" s="5"/>
        <tr r="O50" s="5"/>
        <tr r="E38" s="5"/>
        <tr r="O27" s="5"/>
        <tr r="O36" s="5"/>
        <tr r="O16" s="5"/>
        <tr r="E23" s="5"/>
        <tr r="E49" s="5"/>
        <tr r="E24" s="5"/>
        <tr r="O35" s="5"/>
        <tr r="O38" s="5"/>
        <tr r="E32" s="5"/>
        <tr r="O40" s="5"/>
        <tr r="E15" s="5"/>
        <tr r="O31" s="5"/>
        <tr r="E31" s="5"/>
        <tr r="E29" s="5"/>
        <tr r="O26" s="5"/>
        <tr r="O47" s="5"/>
        <tr r="O8" s="5"/>
        <tr r="O46" s="5"/>
        <tr r="E54" s="5"/>
        <tr r="O4" s="5"/>
        <tr r="E35" s="5"/>
        <tr r="O30" s="5"/>
        <tr r="E42" s="5"/>
        <tr r="O32" s="5"/>
        <tr r="O33" s="5"/>
        <tr r="O34" s="5"/>
        <tr r="O51" s="5"/>
        <tr r="O5" s="5"/>
        <tr r="E18" s="5"/>
        <tr r="E12" s="5"/>
      </tp>
    </main>
    <main first="esrtd">
      <tp>
        <v>42929.645381944443</v>
        <stp/>
        <stp>VOD-LON.Last_Time</stp>
        <tr r="J5" s="5"/>
        <tr r="E10" s="5"/>
      </tp>
      <tp t="s">
        <v/>
        <stp/>
        <stp>*H(,High,D,)</stp>
        <tr r="U143" s="5"/>
        <tr r="U63" s="5"/>
        <tr r="U149" s="5"/>
        <tr r="U88" s="5"/>
        <tr r="U34" s="5"/>
        <tr r="U130" s="5"/>
        <tr r="U121" s="5"/>
        <tr r="U58" s="5"/>
        <tr r="U66" s="5"/>
        <tr r="U136" s="5"/>
        <tr r="U123" s="5"/>
        <tr r="U75" s="5"/>
        <tr r="U133" s="5"/>
        <tr r="U38" s="5"/>
        <tr r="U148" s="5"/>
        <tr r="U62" s="5"/>
        <tr r="U91" s="5"/>
        <tr r="U14" s="5"/>
        <tr r="U107" s="5"/>
        <tr r="U124" s="5"/>
        <tr r="U109" s="5"/>
        <tr r="U35" s="5"/>
        <tr r="U36" s="5"/>
        <tr r="U98" s="5"/>
        <tr r="U26" s="5"/>
        <tr r="U65" s="5"/>
        <tr r="U147" s="5"/>
        <tr r="U125" s="5"/>
        <tr r="U138" s="5"/>
        <tr r="U112" s="5"/>
        <tr r="U77" s="5"/>
        <tr r="U28" s="5"/>
        <tr r="U40" s="5"/>
        <tr r="U89" s="5"/>
        <tr r="U24" s="5"/>
        <tr r="U78" s="5"/>
        <tr r="U71" s="5"/>
        <tr r="U146" s="5"/>
        <tr r="U12" s="5"/>
        <tr r="U50" s="5"/>
        <tr r="U29" s="5"/>
        <tr r="U27" s="5"/>
        <tr r="U43" s="5"/>
        <tr r="U13" s="5"/>
        <tr r="U69" s="5"/>
        <tr r="U74" s="5"/>
        <tr r="U95" s="5"/>
        <tr r="U47" s="5"/>
        <tr r="U31" s="5"/>
        <tr r="U118" s="5"/>
        <tr r="U15" s="5"/>
        <tr r="U94" s="5"/>
        <tr r="U141" s="5"/>
        <tr r="U41" s="5"/>
        <tr r="U37" s="5"/>
        <tr r="U100" s="5"/>
        <tr r="U59" s="5"/>
        <tr r="U76" s="5"/>
        <tr r="U57" s="5"/>
        <tr r="U73" s="5"/>
        <tr r="U131" s="5"/>
        <tr r="U55" s="5"/>
        <tr r="U129" s="5"/>
        <tr r="U90" s="5"/>
        <tr r="U122" s="5"/>
        <tr r="U139" s="5"/>
        <tr r="U51" s="5"/>
        <tr r="U96" s="5"/>
        <tr r="U17" s="5"/>
        <tr r="U72" s="5"/>
        <tr r="U49" s="5"/>
        <tr r="U81" s="5"/>
        <tr r="U103" s="5"/>
        <tr r="U44" s="5"/>
        <tr r="U120" s="5"/>
        <tr r="U135" s="5"/>
        <tr r="U128" s="5"/>
        <tr r="U16" s="5"/>
        <tr r="U19" s="5"/>
        <tr r="U25" s="5"/>
        <tr r="U18" s="5"/>
        <tr r="U144" s="5"/>
        <tr r="U106" s="5"/>
        <tr r="U102" s="5"/>
        <tr r="U93" s="5"/>
        <tr r="U137" s="5"/>
        <tr r="U152" s="5"/>
        <tr r="U134" s="5"/>
        <tr r="U140" s="5"/>
        <tr r="U132" s="5"/>
        <tr r="U115" s="5"/>
        <tr r="U42" s="5"/>
        <tr r="U39" s="5"/>
        <tr r="U117" s="5"/>
        <tr r="U82" s="5"/>
        <tr r="U153" s="5"/>
        <tr r="U86" s="5"/>
        <tr r="U101" s="5"/>
        <tr r="U21" s="5"/>
        <tr r="U23" s="5"/>
        <tr r="U67" s="5"/>
        <tr r="U119" s="5"/>
        <tr r="U30" s="5"/>
        <tr r="U104" s="5"/>
        <tr r="U84" s="5"/>
        <tr r="U87" s="5"/>
        <tr r="U85" s="5"/>
        <tr r="U52" s="5"/>
        <tr r="U79" s="5"/>
        <tr r="U64" s="5"/>
        <tr r="U45" s="5"/>
        <tr r="U108" s="5"/>
        <tr r="U151" s="5"/>
        <tr r="U68" s="5"/>
        <tr r="U32" s="5"/>
        <tr r="U56" s="5"/>
        <tr r="U142" s="5"/>
        <tr r="U111" s="5"/>
        <tr r="U54" s="5"/>
        <tr r="U114" s="5"/>
        <tr r="U53" s="5"/>
        <tr r="U127" s="5"/>
        <tr r="U33" s="5"/>
        <tr r="U22" s="5"/>
        <tr r="U92" s="5"/>
        <tr r="U150" s="5"/>
        <tr r="U70" s="5"/>
        <tr r="U97" s="5"/>
        <tr r="U145" s="5"/>
        <tr r="U46" s="5"/>
        <tr r="U60" s="5"/>
        <tr r="U110" s="5"/>
        <tr r="U105" s="5"/>
        <tr r="U126" s="5"/>
        <tr r="U83" s="5"/>
        <tr r="U116" s="5"/>
        <tr r="U61" s="5"/>
        <tr r="U99" s="5"/>
        <tr r="U48" s="5"/>
        <tr r="U20" s="5"/>
        <tr r="U80" s="5"/>
        <tr r="U113" s="5"/>
      </tp>
    </main>
    <main first="esrtd">
      <tp>
        <v>42929.643321759257</v>
        <stp/>
        <stp>FENR-LON.Last_Time</stp>
        <tr r="E4" s="5"/>
      </tp>
    </main>
    <main first="esrtd">
      <tp>
        <v>553.5</v>
        <stp/>
        <stp>IGG-LON.Last</stp>
        <tr r="C6" s="5"/>
      </tp>
    </main>
    <main first="esrtd">
      <tp>
        <v>42929.644745370373</v>
        <stp/>
        <stp>RTN-LON.Last_Time</stp>
        <tr r="E9" s="5"/>
        <tr r="J4" s="5"/>
      </tp>
    </main>
    <main first="esrtd">
      <tp>
        <v>42929.638599537036</v>
        <stp/>
        <stp>LAM-LON.Last_Time</stp>
        <tr r="E7" s="5"/>
      </tp>
    </main>
    <main first="esrtd">
      <tp t="s">
        <v/>
        <stp/>
        <stp>*H(,Last,D,)</stp>
        <tr r="W50" s="5"/>
        <tr r="W133" s="5"/>
        <tr r="W81" s="5"/>
        <tr r="W105" s="5"/>
        <tr r="W19" s="5"/>
        <tr r="W33" s="5"/>
        <tr r="W114" s="5"/>
        <tr r="W97" s="5"/>
        <tr r="W41" s="5"/>
        <tr r="W120" s="5"/>
        <tr r="W150" s="5"/>
        <tr r="W54" s="5"/>
        <tr r="W134" s="5"/>
        <tr r="W143" s="5"/>
        <tr r="W35" s="5"/>
        <tr r="W67" s="5"/>
        <tr r="W20" s="5"/>
        <tr r="W116" s="5"/>
        <tr r="W115" s="5"/>
        <tr r="W61" s="5"/>
        <tr r="W137" s="5"/>
        <tr r="W44" s="5"/>
        <tr r="W85" s="5"/>
        <tr r="W145" s="5"/>
        <tr r="W118" s="5"/>
        <tr r="W73" s="5"/>
        <tr r="W76" s="5"/>
        <tr r="W101" s="5"/>
        <tr r="W70" s="5"/>
        <tr r="W88" s="5"/>
        <tr r="W30" s="5"/>
        <tr r="W55" s="5"/>
        <tr r="W34" s="5"/>
        <tr r="W65" s="5"/>
        <tr r="W128" s="5"/>
        <tr r="W14" s="5"/>
        <tr r="W100" s="5"/>
        <tr r="W139" s="5"/>
        <tr r="W56" s="5"/>
        <tr r="W111" s="5"/>
        <tr r="W99" s="5"/>
        <tr r="W95" s="5"/>
        <tr r="W24" s="5"/>
        <tr r="W13" s="5"/>
        <tr r="W127" s="5"/>
        <tr r="W31" s="5"/>
        <tr r="W82" s="5"/>
        <tr r="W79" s="5"/>
        <tr r="W106" s="5"/>
        <tr r="W84" s="5"/>
        <tr r="W29" s="5"/>
        <tr r="W52" s="5"/>
        <tr r="W96" s="5"/>
        <tr r="W90" s="5"/>
        <tr r="W83" s="5"/>
        <tr r="W60" s="5"/>
        <tr r="W27" s="5"/>
        <tr r="W122" s="5"/>
        <tr r="W23" s="5"/>
        <tr r="W102" s="5"/>
        <tr r="W75" s="5"/>
        <tr r="W109" s="5"/>
        <tr r="W153" s="5"/>
        <tr r="W110" s="5"/>
        <tr r="W146" s="5"/>
        <tr r="W51" s="5"/>
        <tr r="W151" s="5"/>
        <tr r="W49" s="5"/>
        <tr r="W130" s="5"/>
        <tr r="W80" s="5"/>
        <tr r="W142" s="5"/>
        <tr r="W148" s="5"/>
        <tr r="W136" s="5"/>
        <tr r="W103" s="5"/>
        <tr r="W141" s="5"/>
        <tr r="W138" s="5"/>
        <tr r="W104" s="5"/>
        <tr r="W78" s="5"/>
        <tr r="W64" s="5"/>
        <tr r="W126" s="5"/>
        <tr r="W36" s="5"/>
        <tr r="W48" s="5"/>
        <tr r="W59" s="5"/>
        <tr r="W42" s="5"/>
        <tr r="W135" s="5"/>
        <tr r="W12" s="5"/>
        <tr r="W147" s="5"/>
        <tr r="W16" s="5"/>
        <tr r="W25" s="5"/>
        <tr r="W18" s="5"/>
        <tr r="W62" s="5"/>
        <tr r="W124" s="5"/>
        <tr r="W87" s="5"/>
        <tr r="W46" s="5"/>
        <tr r="W53" s="5"/>
        <tr r="W15" s="5"/>
        <tr r="W91" s="5"/>
        <tr r="W113" s="5"/>
        <tr r="W129" s="5"/>
        <tr r="W93" s="5"/>
        <tr r="W26" s="5"/>
        <tr r="W68" s="5"/>
        <tr r="W108" s="5"/>
        <tr r="W63" s="5"/>
        <tr r="W119" s="5"/>
        <tr r="W131" s="5"/>
        <tr r="W28" s="5"/>
        <tr r="W86" s="5"/>
        <tr r="W57" s="5"/>
        <tr r="W39" s="5"/>
        <tr r="W132" s="5"/>
        <tr r="W40" s="5"/>
        <tr r="W123" s="5"/>
        <tr r="W72" s="5"/>
        <tr r="W77" s="5"/>
        <tr r="W112" s="5"/>
        <tr r="W94" s="5"/>
        <tr r="W144" s="5"/>
        <tr r="W38" s="5"/>
        <tr r="W140" s="5"/>
        <tr r="W45" s="5"/>
        <tr r="W89" s="5"/>
        <tr r="W66" s="5"/>
        <tr r="W71" s="5"/>
        <tr r="W69" s="5"/>
        <tr r="W121" s="5"/>
        <tr r="W98" s="5"/>
        <tr r="W43" s="5"/>
        <tr r="W149" s="5"/>
        <tr r="W22" s="5"/>
        <tr r="W47" s="5"/>
        <tr r="W74" s="5"/>
        <tr r="W17" s="5"/>
        <tr r="W21" s="5"/>
        <tr r="W152" s="5"/>
        <tr r="W92" s="5"/>
        <tr r="W58" s="5"/>
        <tr r="W32" s="5"/>
        <tr r="W117" s="5"/>
        <tr r="W37" s="5"/>
        <tr r="W125" s="5"/>
        <tr r="W107" s="5"/>
      </tp>
    </main>
    <main first="esrtd">
      <tp>
        <v>99.25</v>
        <stp/>
        <stp>LAM-LON.Last</stp>
        <tr r="C7" s="5"/>
      </tp>
    </main>
    <main first="esrtd">
      <tp>
        <v>42928.691562499997</v>
        <stp/>
        <stp>MEO-XET.Last_Time</stp>
        <tr r="E8" s="5"/>
      </tp>
    </main>
    <main first="esrtd">
      <tp>
        <v>665822</v>
        <stp/>
        <stp>*H(FENR-LON,Volume,D,42927)</stp>
        <tr r="X4" s="5"/>
      </tp>
      <tp>
        <v>580153</v>
        <stp/>
        <stp>*H(FENR-LON,Volume,D,42928)</stp>
        <tr r="AD4" s="5"/>
      </tp>
      <tp>
        <v>42929.640972222223</v>
        <stp/>
        <stp>*H</stp>
        <stp>VOD-LON</stp>
        <stp>Intraday_Time</stp>
        <stp>I1</stp>
        <stp/>
        <stp>6</stp>
        <tr r="I104" s="12"/>
      </tp>
      <tp>
        <v>42929.640277777777</v>
        <stp/>
        <stp>*H</stp>
        <stp>VOD-LON</stp>
        <stp>Intraday_Time</stp>
        <stp>I1</stp>
        <stp/>
        <stp>7</stp>
        <tr r="I103" s="12"/>
      </tp>
      <tp>
        <v>42929.642361111109</v>
        <stp/>
        <stp>*H</stp>
        <stp>VOD-LON</stp>
        <stp>Intraday_Time</stp>
        <stp>I1</stp>
        <stp/>
        <stp>4</stp>
        <tr r="I106" s="12"/>
      </tp>
      <tp>
        <v>42929.64166666667</v>
        <stp/>
        <stp>*H</stp>
        <stp>VOD-LON</stp>
        <stp>Intraday_Time</stp>
        <stp>I1</stp>
        <stp/>
        <stp>5</stp>
        <tr r="I105" s="12"/>
      </tp>
      <tp>
        <v>42929.643750000003</v>
        <stp/>
        <stp>*H</stp>
        <stp>VOD-LON</stp>
        <stp>Intraday_Time</stp>
        <stp>I1</stp>
        <stp/>
        <stp>2</stp>
        <tr r="I108" s="12"/>
      </tp>
      <tp>
        <v>42929.643055555556</v>
        <stp/>
        <stp>*H</stp>
        <stp>VOD-LON</stp>
        <stp>Intraday_Time</stp>
        <stp>I1</stp>
        <stp/>
        <stp>3</stp>
        <tr r="I107" s="12"/>
      </tp>
      <tp>
        <v>42929.645138888889</v>
        <stp/>
        <stp>*H</stp>
        <stp>VOD-LON</stp>
        <stp>Intraday_Time</stp>
        <stp>I1</stp>
        <stp/>
        <stp>0</stp>
        <tr r="I110" s="12"/>
      </tp>
      <tp>
        <v>42929.644444444442</v>
        <stp/>
        <stp>*H</stp>
        <stp>VOD-LON</stp>
        <stp>Intraday_Time</stp>
        <stp>I1</stp>
        <stp/>
        <stp>1</stp>
        <tr r="I109" s="12"/>
      </tp>
      <tp>
        <v>42929.63958333333</v>
        <stp/>
        <stp>*H</stp>
        <stp>VOD-LON</stp>
        <stp>Intraday_Time</stp>
        <stp>I1</stp>
        <stp/>
        <stp>8</stp>
        <tr r="I102" s="12"/>
      </tp>
      <tp>
        <v>42929.638888888891</v>
        <stp/>
        <stp>*H</stp>
        <stp>VOD-LON</stp>
        <stp>Intraday_Time</stp>
        <stp>I1</stp>
        <stp/>
        <stp>9</stp>
        <tr r="I101" s="12"/>
      </tp>
      <tp>
        <v>42929.541666666664</v>
        <stp/>
        <stp>*H</stp>
        <stp>VOD-LON</stp>
        <stp>Intraday_Date</stp>
        <stp>I1</stp>
        <stp/>
        <stp>8</stp>
        <tr r="H102" s="12"/>
      </tp>
      <tp>
        <v>42929.541666666664</v>
        <stp/>
        <stp>*H</stp>
        <stp>VOD-LON</stp>
        <stp>Intraday_Date</stp>
        <stp>I1</stp>
        <stp/>
        <stp>9</stp>
        <tr r="H101" s="12"/>
      </tp>
      <tp>
        <v>42929.541666666664</v>
        <stp/>
        <stp>*H</stp>
        <stp>VOD-LON</stp>
        <stp>Intraday_Date</stp>
        <stp>I1</stp>
        <stp/>
        <stp>6</stp>
        <tr r="H104" s="12"/>
      </tp>
      <tp>
        <v>42929.541666666664</v>
        <stp/>
        <stp>*H</stp>
        <stp>VOD-LON</stp>
        <stp>Intraday_Date</stp>
        <stp>I1</stp>
        <stp/>
        <stp>7</stp>
        <tr r="H103" s="12"/>
      </tp>
      <tp>
        <v>42929.541666666664</v>
        <stp/>
        <stp>*H</stp>
        <stp>VOD-LON</stp>
        <stp>Intraday_Date</stp>
        <stp>I1</stp>
        <stp/>
        <stp>4</stp>
        <tr r="H106" s="12"/>
      </tp>
      <tp>
        <v>42929.541666666664</v>
        <stp/>
        <stp>*H</stp>
        <stp>VOD-LON</stp>
        <stp>Intraday_Date</stp>
        <stp>I1</stp>
        <stp/>
        <stp>5</stp>
        <tr r="H105" s="12"/>
      </tp>
      <tp>
        <v>42929.541666666664</v>
        <stp/>
        <stp>*H</stp>
        <stp>VOD-LON</stp>
        <stp>Intraday_Date</stp>
        <stp>I1</stp>
        <stp/>
        <stp>2</stp>
        <tr r="H108" s="12"/>
      </tp>
      <tp>
        <v>42929.541666666664</v>
        <stp/>
        <stp>*H</stp>
        <stp>VOD-LON</stp>
        <stp>Intraday_Date</stp>
        <stp>I1</stp>
        <stp/>
        <stp>3</stp>
        <tr r="H107" s="12"/>
      </tp>
      <tp>
        <v>42929.541666666664</v>
        <stp/>
        <stp>*H</stp>
        <stp>VOD-LON</stp>
        <stp>Intraday_Date</stp>
        <stp>I1</stp>
        <stp/>
        <stp>0</stp>
        <tr r="H110" s="12"/>
      </tp>
      <tp>
        <v>42929.541666666664</v>
        <stp/>
        <stp>*H</stp>
        <stp>VOD-LON</stp>
        <stp>Intraday_Date</stp>
        <stp>I1</stp>
        <stp/>
        <stp>1</stp>
        <tr r="H109" s="12"/>
      </tp>
    </main>
    <main first="esrtd">
      <tp>
        <v>42929.643437500003</v>
        <stp/>
        <stp>DNLM-LON.Last_Time</stp>
        <tr r="E3" s="5"/>
      </tp>
    </main>
    <main first="esrtd">
      <tp>
        <v>42929.64435185185</v>
        <stp/>
        <stp>BEKB-EEB.Last_Time</stp>
        <tr r="J3" s="5"/>
      </tp>
    </main>
    <main first="esrtd">
      <tp>
        <v>311.10000000000002</v>
        <stp/>
        <stp>RTN-LON.Last</stp>
        <tr r="C9" s="5"/>
        <tr r="H4" s="5"/>
      </tp>
    </main>
    <main first="esrtd">
      <tp>
        <v>458796</v>
        <stp/>
        <stp>*H(DNLM-LON,Volume,D,42927)</stp>
        <tr r="X3" s="5"/>
      </tp>
      <tp>
        <v>201506</v>
        <stp/>
        <stp>*H(DNLM-LON,Volume,D,42928)</stp>
        <tr r="AD3" s="5"/>
      </tp>
      <tp t="s">
        <v/>
        <stp/>
        <stp>*H(,Open,D,)</stp>
        <tr r="T24" s="5"/>
        <tr r="T112" s="5"/>
        <tr r="T50" s="5"/>
        <tr r="T111" s="5"/>
        <tr r="T57" s="5"/>
        <tr r="T29" s="5"/>
        <tr r="T136" s="5"/>
        <tr r="T22" s="5"/>
        <tr r="T78" s="5"/>
        <tr r="T91" s="5"/>
        <tr r="T21" s="5"/>
        <tr r="T48" s="5"/>
        <tr r="T130" s="5"/>
        <tr r="T31" s="5"/>
        <tr r="T83" s="5"/>
        <tr r="T101" s="5"/>
        <tr r="T61" s="5"/>
        <tr r="T116" s="5"/>
        <tr r="T97" s="5"/>
        <tr r="T15" s="5"/>
        <tr r="T141" s="5"/>
        <tr r="T35" s="5"/>
        <tr r="T109" s="5"/>
        <tr r="T40" s="5"/>
        <tr r="T17" s="5"/>
        <tr r="T103" s="5"/>
        <tr r="T105" s="5"/>
        <tr r="T64" s="5"/>
        <tr r="T77" s="5"/>
        <tr r="T72" s="5"/>
        <tr r="T66" s="5"/>
        <tr r="T95" s="5"/>
        <tr r="T70" s="5"/>
        <tr r="T26" s="5"/>
        <tr r="T148" s="5"/>
        <tr r="T43" s="5"/>
        <tr r="T42" s="5"/>
        <tr r="T115" s="5"/>
        <tr r="T151" s="5"/>
        <tr r="T127" s="5"/>
        <tr r="T124" s="5"/>
        <tr r="T147" s="5"/>
        <tr r="T58" s="5"/>
        <tr r="T13" s="5"/>
        <tr r="T90" s="5"/>
        <tr r="T55" s="5"/>
        <tr r="T74" s="5"/>
        <tr r="T118" s="5"/>
        <tr r="T120" s="5"/>
        <tr r="T88" s="5"/>
        <tr r="T19" s="5"/>
        <tr r="T51" s="5"/>
        <tr r="T38" s="5"/>
        <tr r="T65" s="5"/>
        <tr r="T41" s="5"/>
        <tr r="T119" s="5"/>
        <tr r="T107" s="5"/>
        <tr r="T81" s="5"/>
        <tr r="T14" s="5"/>
        <tr r="T59" s="5"/>
        <tr r="T110" s="5"/>
        <tr r="T89" s="5"/>
        <tr r="T67" s="5"/>
        <tr r="T108" s="5"/>
        <tr r="T85" s="5"/>
        <tr r="T100" s="5"/>
        <tr r="T99" s="5"/>
        <tr r="T125" s="5"/>
        <tr r="T129" s="5"/>
        <tr r="T36" s="5"/>
        <tr r="T113" s="5"/>
        <tr r="T114" s="5"/>
        <tr r="T69" s="5"/>
        <tr r="T96" s="5"/>
        <tr r="T132" s="5"/>
        <tr r="T79" s="5"/>
        <tr r="T82" s="5"/>
        <tr r="T98" s="5"/>
        <tr r="T104" s="5"/>
        <tr r="T92" s="5"/>
        <tr r="T73" s="5"/>
        <tr r="T49" s="5"/>
        <tr r="T76" s="5"/>
        <tr r="T133" s="5"/>
        <tr r="T39" s="5"/>
        <tr r="T54" s="5"/>
        <tr r="T23" s="5"/>
        <tr r="T84" s="5"/>
        <tr r="T71" s="5"/>
        <tr r="T53" s="5"/>
        <tr r="T143" s="5"/>
        <tr r="T142" s="5"/>
        <tr r="T33" s="5"/>
        <tr r="T30" s="5"/>
        <tr r="T93" s="5"/>
        <tr r="T56" s="5"/>
        <tr r="T135" s="5"/>
        <tr r="T140" s="5"/>
        <tr r="T137" s="5"/>
        <tr r="T20" s="5"/>
        <tr r="T122" s="5"/>
        <tr r="T102" s="5"/>
        <tr r="T153" s="5"/>
        <tr r="T139" s="5"/>
        <tr r="T34" s="5"/>
        <tr r="T134" s="5"/>
        <tr r="T68" s="5"/>
        <tr r="T126" s="5"/>
        <tr r="T75" s="5"/>
        <tr r="T47" s="5"/>
        <tr r="T128" s="5"/>
        <tr r="T146" s="5"/>
        <tr r="T121" s="5"/>
        <tr r="T25" s="5"/>
        <tr r="T86" s="5"/>
        <tr r="T131" s="5"/>
        <tr r="T27" s="5"/>
        <tr r="T63" s="5"/>
        <tr r="T80" s="5"/>
        <tr r="T32" s="5"/>
        <tr r="T94" s="5"/>
        <tr r="T45" s="5"/>
        <tr r="T18" s="5"/>
        <tr r="T52" s="5"/>
        <tr r="T28" s="5"/>
        <tr r="T37" s="5"/>
        <tr r="T106" s="5"/>
        <tr r="T62" s="5"/>
        <tr r="T145" s="5"/>
        <tr r="T16" s="5"/>
        <tr r="T117" s="5"/>
        <tr r="T46" s="5"/>
        <tr r="T152" s="5"/>
        <tr r="T60" s="5"/>
        <tr r="T144" s="5"/>
        <tr r="T149" s="5"/>
        <tr r="T150" s="5"/>
        <tr r="T87" s="5"/>
        <tr r="T12" s="5"/>
        <tr r="T44" s="5"/>
        <tr r="T138" s="5"/>
        <tr r="T123" s="5"/>
      </tp>
      <tp>
        <v>33897</v>
        <stp/>
        <stp>*H(BEKB-EEB,Volume,D,42928)</stp>
        <tr r="AD11" s="5"/>
      </tp>
      <tp>
        <v>64853</v>
        <stp/>
        <stp>*H(BEKB-EEB,Volume,D,42927)</stp>
        <tr r="X11" s="5"/>
      </tp>
      <tp t="s">
        <v/>
        <stp/>
        <stp>*H(,Volume,D,42928)</stp>
        <tr r="AD104" s="5"/>
        <tr r="AD136" s="5"/>
        <tr r="AD54" s="5"/>
        <tr r="AD107" s="5"/>
        <tr r="AD73" s="5"/>
        <tr r="AD24" s="5"/>
        <tr r="AD42" s="5"/>
        <tr r="AD127" s="5"/>
        <tr r="AD116" s="5"/>
        <tr r="AD64" s="5"/>
        <tr r="AD76" s="5"/>
        <tr r="AD103" s="5"/>
        <tr r="AD65" s="5"/>
        <tr r="AD141" s="5"/>
        <tr r="AD53" s="5"/>
        <tr r="AD111" s="5"/>
        <tr r="AD137" s="5"/>
        <tr r="AD29" s="5"/>
        <tr r="AD50" s="5"/>
        <tr r="AD97" s="5"/>
        <tr r="AD149" s="5"/>
        <tr r="AD134" s="5"/>
        <tr r="AD25" s="5"/>
        <tr r="AD147" s="5"/>
        <tr r="AD12" s="5"/>
        <tr r="AD16" s="5"/>
        <tr r="AD139" s="5"/>
        <tr r="AD69" s="5"/>
        <tr r="AD57" s="5"/>
        <tr r="AD129" s="5"/>
        <tr r="AD81" s="5"/>
        <tr r="AD46" s="5"/>
        <tr r="AD110" s="5"/>
        <tr r="AD80" s="5"/>
        <tr r="AD27" s="5"/>
        <tr r="AD123" s="5"/>
        <tr r="AD96" s="5"/>
        <tr r="AD83" s="5"/>
        <tr r="AD106" s="5"/>
        <tr r="AD130" s="5"/>
        <tr r="AD124" s="5"/>
        <tr r="AD38" s="5"/>
        <tr r="AD44" s="5"/>
        <tr r="AD140" s="5"/>
        <tr r="AD37" s="5"/>
        <tr r="AD85" s="5"/>
        <tr r="AD17" s="5"/>
        <tr r="AD61" s="5"/>
        <tr r="AD132" s="5"/>
        <tr r="AD39" s="5"/>
        <tr r="AD41" s="5"/>
        <tr r="AD56" s="5"/>
        <tr r="AD126" s="5"/>
        <tr r="AD18" s="5"/>
        <tr r="AD72" s="5"/>
        <tr r="AD52" s="5"/>
        <tr r="AD153" s="5"/>
        <tr r="AD77" s="5"/>
        <tr r="AD35" s="5"/>
        <tr r="AD33" s="5"/>
        <tr r="AD93" s="5"/>
        <tr r="AD113" s="5"/>
        <tr r="AD91" s="5"/>
        <tr r="AD47" s="5"/>
        <tr r="AD117" s="5"/>
        <tr r="AD28" s="5"/>
        <tr r="AD84" s="5"/>
        <tr r="AD36" s="5"/>
        <tr r="AD45" s="5"/>
        <tr r="AD122" s="5"/>
        <tr r="AD94" s="5"/>
        <tr r="AD66" s="5"/>
        <tr r="AD99" s="5"/>
        <tr r="AD151" s="5"/>
        <tr r="AD51" s="5"/>
        <tr r="AD105" s="5"/>
        <tr r="AD26" s="5"/>
        <tr r="AD49" s="5"/>
        <tr r="AD48" s="5"/>
        <tr r="AD43" s="5"/>
        <tr r="AD86" s="5"/>
        <tr r="AD19" s="5"/>
        <tr r="AD40" s="5"/>
        <tr r="AD31" s="5"/>
        <tr r="AD30" s="5"/>
        <tr r="AD14" s="5"/>
        <tr r="AD120" s="5"/>
        <tr r="AD60" s="5"/>
        <tr r="AD128" s="5"/>
        <tr r="AD125" s="5"/>
        <tr r="AD108" s="5"/>
        <tr r="AD144" s="5"/>
        <tr r="AD146" s="5"/>
        <tr r="AD34" s="5"/>
        <tr r="AD32" s="5"/>
        <tr r="AD119" s="5"/>
        <tr r="AD121" s="5"/>
        <tr r="AD101" s="5"/>
        <tr r="AD63" s="5"/>
        <tr r="AD114" s="5"/>
        <tr r="AD58" s="5"/>
        <tr r="AD133" s="5"/>
        <tr r="AD88" s="5"/>
        <tr r="AD131" s="5"/>
        <tr r="AD112" s="5"/>
        <tr r="AD92" s="5"/>
        <tr r="AD87" s="5"/>
        <tr r="AD78" s="5"/>
        <tr r="AD75" s="5"/>
        <tr r="AD90" s="5"/>
        <tr r="AD67" s="5"/>
        <tr r="AD20" s="5"/>
        <tr r="AD148" s="5"/>
        <tr r="AD21" s="5"/>
        <tr r="AD70" s="5"/>
        <tr r="AD152" s="5"/>
        <tr r="AD13" s="5"/>
        <tr r="AD59" s="5"/>
        <tr r="AD138" s="5"/>
        <tr r="AD118" s="5"/>
        <tr r="AD100" s="5"/>
        <tr r="AD135" s="5"/>
        <tr r="AD98" s="5"/>
        <tr r="AD115" s="5"/>
        <tr r="AD89" s="5"/>
        <tr r="AD55" s="5"/>
        <tr r="AD71" s="5"/>
        <tr r="AD15" s="5"/>
        <tr r="AD74" s="5"/>
        <tr r="AD79" s="5"/>
        <tr r="AD62" s="5"/>
        <tr r="AD82" s="5"/>
        <tr r="AD145" s="5"/>
        <tr r="AD102" s="5"/>
        <tr r="AD142" s="5"/>
        <tr r="AD23" s="5"/>
        <tr r="AD143" s="5"/>
        <tr r="AD95" s="5"/>
        <tr r="AD68" s="5"/>
        <tr r="AD22" s="5"/>
        <tr r="AD109" s="5"/>
        <tr r="AD150"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zoomScaleNormal="100" workbookViewId="0">
      <selection activeCell="G15" sqref="G15"/>
    </sheetView>
  </sheetViews>
  <sheetFormatPr defaultRowHeight="15.75" x14ac:dyDescent="0.25"/>
  <cols>
    <col min="1" max="1" width="5.625" style="11" customWidth="1"/>
    <col min="2" max="5" width="18.875" style="17" customWidth="1"/>
    <col min="6" max="6" width="17.25" style="17" customWidth="1"/>
    <col min="7" max="7" width="16.5" style="90" customWidth="1"/>
    <col min="8" max="8" width="18.875" style="20" hidden="1" customWidth="1"/>
    <col min="9" max="9" width="17.875" style="90" customWidth="1"/>
    <col min="10" max="10" width="18.875" style="20" customWidth="1"/>
    <col min="11" max="11" width="18.875" style="21" hidden="1" customWidth="1"/>
    <col min="12" max="12" width="18.625" style="22" customWidth="1"/>
    <col min="13" max="13" width="18.875" style="17" customWidth="1"/>
    <col min="14" max="14" width="18.875" style="17" hidden="1" customWidth="1"/>
    <col min="15" max="16" width="18.875" style="17" customWidth="1"/>
    <col min="17" max="18" width="58.875" style="17" hidden="1" customWidth="1"/>
    <col min="19" max="16384" width="9" style="17"/>
  </cols>
  <sheetData>
    <row r="1" spans="1:24" s="2" customFormat="1" ht="41.25" customHeight="1" x14ac:dyDescent="0.25">
      <c r="A1" s="80" t="s">
        <v>2</v>
      </c>
      <c r="B1" s="80"/>
      <c r="C1" s="80"/>
      <c r="D1" s="1">
        <f ca="1">TODAY()</f>
        <v>42929</v>
      </c>
      <c r="G1" s="87"/>
      <c r="H1" s="3"/>
      <c r="I1" s="87"/>
      <c r="J1" s="3"/>
      <c r="K1" s="4"/>
      <c r="L1" s="5"/>
    </row>
    <row r="2" spans="1:24" s="6" customFormat="1" ht="37.5" customHeight="1" x14ac:dyDescent="0.25">
      <c r="B2" s="6" t="s">
        <v>28</v>
      </c>
      <c r="C2" s="7" t="s">
        <v>30</v>
      </c>
      <c r="D2" s="6" t="s">
        <v>40</v>
      </c>
      <c r="E2" s="6" t="s">
        <v>31</v>
      </c>
      <c r="F2" s="6" t="s">
        <v>69</v>
      </c>
      <c r="G2" s="88" t="s">
        <v>108</v>
      </c>
      <c r="H2" s="8" t="s">
        <v>110</v>
      </c>
      <c r="I2" s="88" t="s">
        <v>109</v>
      </c>
      <c r="J2" s="8" t="s">
        <v>111</v>
      </c>
      <c r="K2" s="9" t="s">
        <v>99</v>
      </c>
      <c r="L2" s="10" t="s">
        <v>75</v>
      </c>
      <c r="M2" s="6" t="s">
        <v>43</v>
      </c>
      <c r="N2" s="6" t="s">
        <v>29</v>
      </c>
      <c r="O2" s="6" t="s">
        <v>41</v>
      </c>
      <c r="P2" s="6" t="s">
        <v>42</v>
      </c>
      <c r="Q2" s="6" t="s">
        <v>65</v>
      </c>
      <c r="R2" s="6" t="s">
        <v>66</v>
      </c>
    </row>
    <row r="3" spans="1:24" x14ac:dyDescent="0.25">
      <c r="A3" s="11">
        <f>IF(COUNTA(B3:AC3)=0,"", MAX(A$2:A2)+1)</f>
        <v>1</v>
      </c>
      <c r="B3" s="12" t="s">
        <v>107</v>
      </c>
      <c r="C3" s="12"/>
      <c r="D3" s="12"/>
      <c r="E3" s="12"/>
      <c r="F3" s="12"/>
      <c r="G3" s="89"/>
      <c r="H3" s="13"/>
      <c r="I3" s="89"/>
      <c r="J3" s="13"/>
      <c r="K3" s="14"/>
      <c r="L3" s="15"/>
      <c r="M3" s="16">
        <v>42928</v>
      </c>
      <c r="N3" s="12"/>
      <c r="O3" s="12"/>
      <c r="P3" s="12"/>
      <c r="X3" s="18"/>
    </row>
    <row r="4" spans="1:24" x14ac:dyDescent="0.25">
      <c r="A4" s="11">
        <f>IF(COUNTA(B4:AC4)=0,"", MAX(A$2:A3)+1)</f>
        <v>2</v>
      </c>
      <c r="B4" s="12" t="s">
        <v>106</v>
      </c>
      <c r="C4" s="12"/>
      <c r="D4" s="12"/>
      <c r="E4" s="12"/>
      <c r="F4" s="12"/>
      <c r="G4" s="89"/>
      <c r="H4" s="13"/>
      <c r="I4" s="89"/>
      <c r="J4" s="13"/>
      <c r="K4" s="14"/>
      <c r="L4" s="19"/>
      <c r="M4" s="16">
        <v>42928</v>
      </c>
      <c r="N4" s="12"/>
      <c r="O4" s="12"/>
      <c r="P4" s="12"/>
    </row>
    <row r="5" spans="1:24" x14ac:dyDescent="0.25">
      <c r="A5" s="11">
        <f>IF(COUNTA(B5:AC5)=0,"", MAX(A$2:A4)+1)</f>
        <v>3</v>
      </c>
      <c r="B5" s="12" t="s">
        <v>10</v>
      </c>
      <c r="C5" s="12"/>
      <c r="D5" s="12"/>
      <c r="E5" s="12" t="s">
        <v>177</v>
      </c>
      <c r="F5" s="12"/>
      <c r="G5" s="89"/>
      <c r="H5" s="13"/>
      <c r="I5" s="89"/>
      <c r="J5" s="13"/>
      <c r="K5" s="14"/>
      <c r="L5" s="19"/>
      <c r="M5" s="16">
        <v>42928</v>
      </c>
      <c r="N5" s="12"/>
      <c r="O5" s="12"/>
      <c r="P5" s="12"/>
    </row>
    <row r="6" spans="1:24" x14ac:dyDescent="0.25">
      <c r="A6" s="11">
        <f>IF(COUNTA(B6:AC6)=0,"", MAX(A$2:A5)+1)</f>
        <v>4</v>
      </c>
      <c r="B6" s="12" t="s">
        <v>5</v>
      </c>
      <c r="C6" s="12"/>
      <c r="D6" s="12"/>
      <c r="E6" s="12"/>
      <c r="F6" s="12"/>
      <c r="G6" s="89"/>
      <c r="H6" s="13"/>
      <c r="I6" s="89"/>
      <c r="J6" s="13"/>
      <c r="K6" s="14"/>
      <c r="L6" s="19"/>
      <c r="M6" s="16">
        <v>42928</v>
      </c>
      <c r="N6" s="12"/>
      <c r="O6" s="12"/>
      <c r="P6" s="12"/>
    </row>
    <row r="7" spans="1:24" x14ac:dyDescent="0.25">
      <c r="A7" s="11">
        <f>IF(COUNTA(B7:AC7)=0,"", MAX(A$2:A6)+1)</f>
        <v>5</v>
      </c>
      <c r="B7" s="12" t="s">
        <v>4</v>
      </c>
      <c r="C7" s="12"/>
      <c r="D7" s="12"/>
      <c r="E7" s="12"/>
      <c r="F7" s="12"/>
      <c r="G7" s="89"/>
      <c r="H7" s="13"/>
      <c r="I7" s="89"/>
      <c r="J7" s="13"/>
      <c r="K7" s="14"/>
      <c r="L7" s="19"/>
      <c r="M7" s="16">
        <v>42928</v>
      </c>
      <c r="N7" s="12"/>
      <c r="O7" s="12"/>
      <c r="P7" s="12"/>
    </row>
    <row r="8" spans="1:24" x14ac:dyDescent="0.25">
      <c r="A8" s="11">
        <f>IF(COUNTA(B8:AC8)=0,"", MAX(A$2:A7)+1)</f>
        <v>6</v>
      </c>
      <c r="B8" s="12" t="s">
        <v>7</v>
      </c>
      <c r="C8" s="12"/>
      <c r="D8" s="12"/>
      <c r="E8" s="12" t="s">
        <v>178</v>
      </c>
      <c r="F8" s="12"/>
      <c r="G8" s="89"/>
      <c r="H8" s="13"/>
      <c r="I8" s="89"/>
      <c r="J8" s="13"/>
      <c r="K8" s="14"/>
      <c r="L8" s="19"/>
      <c r="M8" s="16">
        <v>42928</v>
      </c>
      <c r="N8" s="12"/>
      <c r="O8" s="12"/>
      <c r="P8" s="12"/>
    </row>
    <row r="9" spans="1:24" x14ac:dyDescent="0.25">
      <c r="A9" s="11">
        <f>IF(COUNTA(B9:AC9)=0,"", MAX(A$2:A8)+1)</f>
        <v>7</v>
      </c>
      <c r="B9" s="12" t="s">
        <v>9</v>
      </c>
      <c r="C9" s="12"/>
      <c r="D9" s="12" t="s">
        <v>119</v>
      </c>
      <c r="E9" s="12" t="s">
        <v>178</v>
      </c>
      <c r="F9" s="12" t="s">
        <v>139</v>
      </c>
      <c r="G9" s="89">
        <v>-0.01</v>
      </c>
      <c r="H9" s="13"/>
      <c r="I9" s="89">
        <v>-1.4999999999999999E-2</v>
      </c>
      <c r="J9" s="13"/>
      <c r="K9" s="14"/>
      <c r="L9" s="19">
        <v>10</v>
      </c>
      <c r="M9" s="16">
        <v>42928</v>
      </c>
      <c r="N9" s="12"/>
      <c r="O9" s="12"/>
      <c r="P9" s="12"/>
    </row>
    <row r="10" spans="1:24" x14ac:dyDescent="0.25">
      <c r="A10" s="11">
        <f>IF(COUNTA(B10:AC10)=0,"", MAX(A$2:A9)+1)</f>
        <v>8</v>
      </c>
      <c r="B10" s="12" t="s">
        <v>0</v>
      </c>
      <c r="C10" s="12"/>
      <c r="D10" s="12"/>
      <c r="E10" s="12"/>
      <c r="F10" s="12" t="s">
        <v>139</v>
      </c>
      <c r="G10" s="89">
        <v>219.2</v>
      </c>
      <c r="H10" s="13"/>
      <c r="I10" s="89">
        <v>218</v>
      </c>
      <c r="J10" s="13"/>
      <c r="K10" s="14" t="b">
        <v>0</v>
      </c>
      <c r="L10" s="19">
        <v>10</v>
      </c>
      <c r="M10" s="16">
        <v>42928</v>
      </c>
      <c r="N10" s="12"/>
      <c r="O10" s="12"/>
      <c r="P10" s="12"/>
    </row>
    <row r="11" spans="1:24" x14ac:dyDescent="0.25">
      <c r="A11" s="11" t="str">
        <f>IF(COUNTA(B11:AC11)=0,"", MAX(A$2:A10)+1)</f>
        <v/>
      </c>
      <c r="B11" s="12"/>
      <c r="C11" s="12"/>
      <c r="D11" s="12"/>
      <c r="E11" s="12"/>
      <c r="F11" s="12"/>
      <c r="G11" s="89"/>
      <c r="H11" s="13"/>
      <c r="I11" s="89"/>
      <c r="J11" s="13"/>
      <c r="K11" s="14"/>
      <c r="L11" s="19"/>
      <c r="M11" s="16"/>
      <c r="N11" s="12"/>
      <c r="O11" s="12"/>
      <c r="P11" s="12"/>
    </row>
    <row r="12" spans="1:24" x14ac:dyDescent="0.25">
      <c r="A12" s="11" t="str">
        <f>IF(COUNTA(B12:AC12)=0,"", MAX(A$2:A11)+1)</f>
        <v/>
      </c>
      <c r="B12" s="12"/>
      <c r="C12" s="12"/>
      <c r="D12" s="12"/>
      <c r="E12" s="12"/>
      <c r="F12" s="12"/>
      <c r="G12" s="89"/>
      <c r="H12" s="13"/>
      <c r="I12" s="89"/>
      <c r="J12" s="13"/>
      <c r="K12" s="14"/>
      <c r="L12" s="19"/>
      <c r="M12" s="16"/>
      <c r="N12" s="12"/>
      <c r="O12" s="12"/>
      <c r="P12" s="12"/>
    </row>
    <row r="13" spans="1:24" x14ac:dyDescent="0.25">
      <c r="A13" s="11" t="str">
        <f>IF(COUNTA(B13:AC13)=0,"", MAX(A$2:A12)+1)</f>
        <v/>
      </c>
      <c r="B13" s="12"/>
      <c r="C13" s="12"/>
      <c r="D13" s="12"/>
      <c r="E13" s="12"/>
      <c r="F13" s="12"/>
      <c r="G13" s="89"/>
      <c r="H13" s="13"/>
      <c r="I13" s="89"/>
      <c r="J13" s="13"/>
      <c r="K13" s="14"/>
      <c r="L13" s="19"/>
      <c r="N13" s="12"/>
      <c r="O13" s="12"/>
      <c r="P13" s="12"/>
    </row>
    <row r="14" spans="1:24" x14ac:dyDescent="0.25">
      <c r="A14" s="11" t="str">
        <f>IF(COUNTA(B14:AC14)=0,"", MAX(A$2:A13)+1)</f>
        <v/>
      </c>
      <c r="B14" s="12"/>
      <c r="C14" s="12"/>
      <c r="D14" s="12"/>
      <c r="E14" s="12"/>
      <c r="F14" s="12"/>
      <c r="G14" s="89"/>
      <c r="H14" s="13"/>
      <c r="I14" s="89"/>
      <c r="J14" s="13"/>
      <c r="K14" s="14"/>
      <c r="L14" s="19"/>
      <c r="N14" s="12"/>
      <c r="O14" s="12"/>
      <c r="P14" s="12"/>
    </row>
    <row r="15" spans="1:24" x14ac:dyDescent="0.25">
      <c r="A15" s="11" t="str">
        <f>IF(COUNTA(B15:AC15)=0,"", MAX(A$2:A14)+1)</f>
        <v/>
      </c>
      <c r="B15" s="12"/>
      <c r="C15" s="12"/>
      <c r="D15" s="12"/>
      <c r="E15" s="12"/>
      <c r="F15" s="12"/>
      <c r="G15" s="89"/>
      <c r="H15" s="13"/>
      <c r="I15" s="89"/>
      <c r="J15" s="13"/>
      <c r="K15" s="14"/>
      <c r="L15" s="19"/>
      <c r="N15" s="12"/>
      <c r="O15" s="12"/>
      <c r="P15" s="12"/>
    </row>
    <row r="16" spans="1:24" x14ac:dyDescent="0.25">
      <c r="A16" s="11" t="str">
        <f>IF(COUNTA(B16:AC16)=0,"", MAX(A$2:A15)+1)</f>
        <v/>
      </c>
      <c r="B16" s="12"/>
      <c r="C16" s="12"/>
      <c r="D16" s="12"/>
      <c r="E16" s="12"/>
      <c r="F16" s="12"/>
      <c r="G16" s="89"/>
      <c r="H16" s="13"/>
      <c r="I16" s="89"/>
      <c r="J16" s="13"/>
      <c r="K16" s="14"/>
      <c r="L16" s="19"/>
      <c r="N16" s="12"/>
      <c r="O16" s="12"/>
      <c r="P16" s="12"/>
    </row>
    <row r="17" spans="1:16" x14ac:dyDescent="0.25">
      <c r="A17" s="11" t="str">
        <f>IF(COUNTA(B17:AC17)=0,"", MAX(A$2:A16)+1)</f>
        <v/>
      </c>
      <c r="B17" s="12"/>
      <c r="C17" s="12"/>
      <c r="D17" s="12"/>
      <c r="E17" s="12"/>
      <c r="F17" s="12"/>
      <c r="G17" s="89"/>
      <c r="H17" s="13"/>
      <c r="I17" s="89"/>
      <c r="J17" s="13"/>
      <c r="K17" s="14"/>
      <c r="L17" s="19"/>
      <c r="M17" s="16"/>
      <c r="N17" s="12"/>
      <c r="O17" s="12"/>
      <c r="P17" s="12"/>
    </row>
    <row r="18" spans="1:16" x14ac:dyDescent="0.25">
      <c r="A18" s="11" t="str">
        <f>IF(COUNTA(B18:AC18)=0,"", MAX(A$2:A17)+1)</f>
        <v/>
      </c>
      <c r="B18" s="12"/>
      <c r="C18" s="12"/>
      <c r="D18" s="12"/>
      <c r="E18" s="12"/>
      <c r="F18" s="12"/>
      <c r="G18" s="89"/>
      <c r="H18" s="13"/>
      <c r="I18" s="89"/>
      <c r="J18" s="13"/>
      <c r="K18" s="14"/>
      <c r="L18" s="19"/>
      <c r="M18" s="16"/>
      <c r="N18" s="12"/>
      <c r="O18" s="12"/>
      <c r="P18" s="12"/>
    </row>
    <row r="19" spans="1:16" x14ac:dyDescent="0.25">
      <c r="A19" s="11" t="str">
        <f>IF(COUNTA(B19:AC19)=0,"", MAX(A$2:A18)+1)</f>
        <v/>
      </c>
      <c r="B19" s="12"/>
      <c r="C19" s="12"/>
      <c r="D19" s="12"/>
      <c r="E19" s="12"/>
      <c r="F19" s="12"/>
      <c r="G19" s="89"/>
      <c r="H19" s="13"/>
      <c r="I19" s="89"/>
      <c r="J19" s="13"/>
      <c r="K19" s="14"/>
      <c r="L19" s="19"/>
      <c r="M19" s="16"/>
      <c r="N19" s="12"/>
      <c r="O19" s="12"/>
      <c r="P19" s="12"/>
    </row>
    <row r="20" spans="1:16" x14ac:dyDescent="0.25">
      <c r="A20" s="11" t="str">
        <f>IF(COUNTA(B20:AC20)=0,"", MAX(A$2:A19)+1)</f>
        <v/>
      </c>
      <c r="B20" s="12"/>
      <c r="C20" s="12"/>
      <c r="D20" s="12"/>
      <c r="E20" s="12"/>
      <c r="F20" s="12"/>
      <c r="G20" s="89"/>
      <c r="H20" s="13"/>
      <c r="I20" s="89"/>
      <c r="J20" s="13"/>
      <c r="K20" s="14"/>
      <c r="L20" s="19"/>
      <c r="M20" s="16"/>
      <c r="N20" s="12"/>
      <c r="O20" s="12"/>
      <c r="P20" s="12"/>
    </row>
    <row r="21" spans="1:16" x14ac:dyDescent="0.25">
      <c r="A21" s="11" t="str">
        <f>IF(COUNTA(B21:AC21)=0,"", MAX(A$2:A20)+1)</f>
        <v/>
      </c>
      <c r="B21" s="12"/>
      <c r="C21" s="12"/>
      <c r="D21" s="12"/>
      <c r="E21" s="12"/>
      <c r="F21" s="12"/>
      <c r="G21" s="89"/>
      <c r="H21" s="13"/>
      <c r="I21" s="89"/>
      <c r="J21" s="13"/>
      <c r="K21" s="14"/>
      <c r="L21" s="19"/>
      <c r="M21" s="16"/>
      <c r="N21" s="12"/>
      <c r="O21" s="12"/>
      <c r="P21" s="12"/>
    </row>
    <row r="22" spans="1:16" x14ac:dyDescent="0.25">
      <c r="A22" s="11" t="str">
        <f>IF(COUNTA(B22:AC22)=0,"", MAX(A$2:A21)+1)</f>
        <v/>
      </c>
      <c r="B22" s="12"/>
      <c r="C22" s="12"/>
      <c r="D22" s="12"/>
      <c r="E22" s="12"/>
      <c r="F22" s="12"/>
      <c r="G22" s="89"/>
      <c r="H22" s="13"/>
      <c r="I22" s="89"/>
      <c r="J22" s="13"/>
      <c r="K22" s="14"/>
      <c r="L22" s="19"/>
      <c r="N22" s="12"/>
      <c r="O22" s="12"/>
      <c r="P22" s="12"/>
    </row>
    <row r="23" spans="1:16" x14ac:dyDescent="0.25">
      <c r="A23" s="11" t="str">
        <f>IF(COUNTA(B23:AC23)=0,"", MAX(A$2:A22)+1)</f>
        <v/>
      </c>
      <c r="B23" s="12"/>
      <c r="C23" s="12"/>
      <c r="D23" s="12"/>
      <c r="E23" s="12"/>
      <c r="F23" s="12"/>
      <c r="G23" s="89"/>
      <c r="H23" s="13"/>
      <c r="I23" s="89"/>
      <c r="J23" s="13"/>
      <c r="K23" s="14"/>
      <c r="L23" s="19"/>
      <c r="N23" s="12"/>
      <c r="O23" s="12"/>
      <c r="P23" s="12"/>
    </row>
    <row r="24" spans="1:16" x14ac:dyDescent="0.25">
      <c r="A24" s="11" t="str">
        <f>IF(COUNTA(B24:AC24)=0,"", MAX(A$2:A23)+1)</f>
        <v/>
      </c>
      <c r="B24" s="12"/>
      <c r="C24" s="12"/>
      <c r="D24" s="12"/>
      <c r="E24" s="12"/>
      <c r="F24" s="12"/>
      <c r="G24" s="89"/>
      <c r="H24" s="13"/>
      <c r="I24" s="89"/>
      <c r="J24" s="13"/>
      <c r="K24" s="14"/>
      <c r="L24" s="19"/>
      <c r="N24" s="12"/>
      <c r="O24" s="12"/>
      <c r="P24" s="12"/>
    </row>
    <row r="25" spans="1:16" x14ac:dyDescent="0.25">
      <c r="A25" s="11" t="str">
        <f>IF(COUNTA(B25:AC25)=0,"", MAX(A$2:A24)+1)</f>
        <v/>
      </c>
      <c r="B25" s="12"/>
      <c r="C25" s="12"/>
      <c r="D25" s="12"/>
      <c r="E25" s="12"/>
      <c r="F25" s="12"/>
      <c r="G25" s="89"/>
      <c r="H25" s="13"/>
      <c r="I25" s="89"/>
      <c r="J25" s="13"/>
      <c r="K25" s="14"/>
      <c r="L25" s="19"/>
      <c r="N25" s="12"/>
      <c r="O25" s="12"/>
      <c r="P25" s="12"/>
    </row>
    <row r="26" spans="1:16" x14ac:dyDescent="0.25">
      <c r="A26" s="11" t="str">
        <f>IF(COUNTA(B26:AC26)=0,"", MAX(A$2:A25)+1)</f>
        <v/>
      </c>
      <c r="B26" s="12"/>
      <c r="C26" s="12"/>
      <c r="D26" s="12"/>
      <c r="E26" s="12"/>
      <c r="F26" s="12"/>
      <c r="G26" s="89"/>
      <c r="H26" s="13"/>
      <c r="I26" s="89"/>
      <c r="J26" s="13"/>
      <c r="K26" s="14"/>
      <c r="L26" s="19"/>
      <c r="N26" s="12"/>
      <c r="O26" s="12"/>
      <c r="P26" s="12"/>
    </row>
    <row r="27" spans="1:16" x14ac:dyDescent="0.25">
      <c r="A27" s="11" t="str">
        <f>IF(COUNTA(B27:AC27)=0,"", MAX(A$2:A26)+1)</f>
        <v/>
      </c>
      <c r="B27" s="12"/>
      <c r="C27" s="12"/>
      <c r="D27" s="12"/>
      <c r="E27" s="12"/>
      <c r="F27" s="12"/>
      <c r="G27" s="89"/>
      <c r="H27" s="13"/>
      <c r="I27" s="89"/>
      <c r="J27" s="13"/>
      <c r="K27" s="14"/>
      <c r="L27" s="19"/>
      <c r="N27" s="12"/>
      <c r="O27" s="12"/>
      <c r="P27" s="12"/>
    </row>
    <row r="28" spans="1:16" x14ac:dyDescent="0.25">
      <c r="A28" s="11" t="str">
        <f>IF(COUNTA(B28:AC28)=0,"", MAX(A$2:A27)+1)</f>
        <v/>
      </c>
      <c r="B28" s="12"/>
      <c r="C28" s="12"/>
      <c r="D28" s="12"/>
      <c r="E28" s="12"/>
      <c r="F28" s="12"/>
      <c r="G28" s="89"/>
      <c r="H28" s="13"/>
      <c r="I28" s="89"/>
      <c r="J28" s="13"/>
      <c r="K28" s="14"/>
      <c r="L28" s="19"/>
      <c r="N28" s="12"/>
      <c r="O28" s="12"/>
      <c r="P28" s="12"/>
    </row>
    <row r="29" spans="1:16" x14ac:dyDescent="0.25">
      <c r="A29" s="11" t="str">
        <f>IF(COUNTA(B29:AC29)=0,"", MAX(A$2:A28)+1)</f>
        <v/>
      </c>
      <c r="B29" s="12"/>
      <c r="C29" s="12"/>
      <c r="D29" s="12"/>
      <c r="E29" s="12"/>
      <c r="F29" s="12"/>
      <c r="G29" s="89"/>
      <c r="H29" s="13"/>
      <c r="I29" s="89"/>
      <c r="J29" s="13"/>
      <c r="K29" s="14"/>
      <c r="L29" s="19"/>
      <c r="N29" s="12"/>
      <c r="O29" s="12"/>
      <c r="P29" s="12"/>
    </row>
    <row r="30" spans="1:16" x14ac:dyDescent="0.25">
      <c r="A30" s="11" t="str">
        <f>IF(COUNTA(B30:AC30)=0,"", MAX(A$2:A29)+1)</f>
        <v/>
      </c>
      <c r="B30" s="12"/>
      <c r="C30" s="12"/>
      <c r="D30" s="12"/>
      <c r="E30" s="12"/>
      <c r="F30" s="12"/>
      <c r="G30" s="89"/>
      <c r="H30" s="13"/>
      <c r="I30" s="89"/>
      <c r="J30" s="13"/>
      <c r="K30" s="14"/>
      <c r="L30" s="19"/>
      <c r="N30" s="12"/>
      <c r="O30" s="12"/>
      <c r="P30" s="12"/>
    </row>
    <row r="31" spans="1:16" x14ac:dyDescent="0.25">
      <c r="A31" s="11" t="str">
        <f>IF(COUNTA(B31:AC31)=0,"", MAX(A$2:A30)+1)</f>
        <v/>
      </c>
      <c r="B31" s="12"/>
      <c r="C31" s="12"/>
      <c r="D31" s="12"/>
      <c r="E31" s="12"/>
      <c r="F31" s="12"/>
      <c r="G31" s="89"/>
      <c r="H31" s="13"/>
      <c r="I31" s="89"/>
      <c r="J31" s="13"/>
      <c r="K31" s="14"/>
      <c r="L31" s="19"/>
      <c r="N31" s="12"/>
      <c r="O31" s="12"/>
      <c r="P31" s="12"/>
    </row>
    <row r="32" spans="1:16" x14ac:dyDescent="0.25">
      <c r="A32" s="11" t="str">
        <f>IF(COUNTA(B32:AC32)=0,"", MAX(A$2:A31)+1)</f>
        <v/>
      </c>
      <c r="B32" s="12"/>
      <c r="C32" s="12"/>
      <c r="D32" s="12"/>
      <c r="E32" s="12"/>
      <c r="F32" s="12"/>
      <c r="G32" s="89"/>
      <c r="H32" s="13"/>
      <c r="I32" s="89"/>
      <c r="J32" s="13"/>
      <c r="K32" s="14"/>
      <c r="L32" s="19"/>
      <c r="N32" s="12"/>
      <c r="O32" s="12"/>
      <c r="P32" s="12"/>
    </row>
    <row r="33" spans="1:16" x14ac:dyDescent="0.25">
      <c r="A33" s="11" t="str">
        <f>IF(COUNTA(B33:AC33)=0,"", MAX(A$2:A32)+1)</f>
        <v/>
      </c>
      <c r="B33" s="12"/>
      <c r="C33" s="12"/>
      <c r="D33" s="12"/>
      <c r="E33" s="12"/>
      <c r="F33" s="12"/>
      <c r="G33" s="89"/>
      <c r="H33" s="13"/>
      <c r="I33" s="89"/>
      <c r="J33" s="13"/>
      <c r="K33" s="14"/>
      <c r="L33" s="19"/>
      <c r="N33" s="12"/>
      <c r="O33" s="12"/>
      <c r="P33" s="12"/>
    </row>
    <row r="34" spans="1:16" x14ac:dyDescent="0.25">
      <c r="A34" s="11" t="str">
        <f>IF(COUNTA(B34:AC34)=0,"", MAX(A$2:A33)+1)</f>
        <v/>
      </c>
      <c r="B34" s="12"/>
      <c r="C34" s="12"/>
      <c r="D34" s="12"/>
      <c r="E34" s="12"/>
      <c r="F34" s="12"/>
      <c r="G34" s="89"/>
      <c r="H34" s="13"/>
      <c r="I34" s="89"/>
      <c r="J34" s="13"/>
      <c r="K34" s="14"/>
      <c r="L34" s="19"/>
      <c r="N34" s="12"/>
      <c r="O34" s="12"/>
      <c r="P34" s="12"/>
    </row>
    <row r="35" spans="1:16" x14ac:dyDescent="0.25">
      <c r="A35" s="11" t="str">
        <f>IF(COUNTA(B35:AC35)=0,"", MAX(A$2:A34)+1)</f>
        <v/>
      </c>
      <c r="B35" s="12"/>
      <c r="C35" s="12"/>
      <c r="D35" s="12"/>
      <c r="E35" s="12"/>
      <c r="F35" s="12"/>
      <c r="G35" s="89"/>
      <c r="H35" s="13"/>
      <c r="I35" s="89"/>
      <c r="J35" s="13"/>
      <c r="K35" s="14"/>
      <c r="L35" s="19"/>
      <c r="N35" s="12"/>
      <c r="O35" s="12"/>
      <c r="P35" s="12"/>
    </row>
    <row r="36" spans="1:16" x14ac:dyDescent="0.25">
      <c r="A36" s="11" t="str">
        <f>IF(COUNTA(B36:AC36)=0,"", MAX(A$2:A35)+1)</f>
        <v/>
      </c>
      <c r="B36" s="12"/>
      <c r="C36" s="12"/>
      <c r="D36" s="12"/>
      <c r="E36" s="12"/>
      <c r="F36" s="12"/>
      <c r="G36" s="89"/>
      <c r="H36" s="13"/>
      <c r="I36" s="89"/>
      <c r="J36" s="13"/>
      <c r="K36" s="14"/>
      <c r="L36" s="19"/>
      <c r="N36" s="12"/>
      <c r="O36" s="12"/>
      <c r="P36" s="12"/>
    </row>
    <row r="37" spans="1:16" x14ac:dyDescent="0.25">
      <c r="A37" s="11" t="str">
        <f>IF(COUNTA(B37:AC37)=0,"", MAX(A$2:A36)+1)</f>
        <v/>
      </c>
      <c r="B37" s="12"/>
      <c r="C37" s="12"/>
      <c r="D37" s="12"/>
      <c r="E37" s="12"/>
      <c r="F37" s="12"/>
      <c r="G37" s="89"/>
      <c r="H37" s="13"/>
      <c r="I37" s="89"/>
      <c r="J37" s="13"/>
      <c r="K37" s="14"/>
      <c r="L37" s="19"/>
      <c r="N37" s="12"/>
      <c r="O37" s="12"/>
      <c r="P37" s="12"/>
    </row>
    <row r="38" spans="1:16" x14ac:dyDescent="0.25">
      <c r="A38" s="11" t="str">
        <f>IF(COUNTA(B38:AC38)=0,"", MAX(A$2:A37)+1)</f>
        <v/>
      </c>
      <c r="B38" s="12"/>
      <c r="C38" s="12"/>
      <c r="D38" s="12"/>
      <c r="E38" s="12"/>
      <c r="F38" s="12"/>
      <c r="G38" s="89"/>
      <c r="H38" s="13"/>
      <c r="I38" s="89"/>
      <c r="J38" s="13"/>
      <c r="K38" s="14"/>
      <c r="L38" s="19"/>
      <c r="N38" s="12"/>
      <c r="O38" s="12"/>
      <c r="P38" s="12"/>
    </row>
    <row r="39" spans="1:16" x14ac:dyDescent="0.25">
      <c r="A39" s="11" t="str">
        <f>IF(COUNTA(B39:AC39)=0,"", MAX(A$2:A38)+1)</f>
        <v/>
      </c>
      <c r="B39" s="12"/>
      <c r="C39" s="12"/>
      <c r="D39" s="12"/>
      <c r="E39" s="12"/>
      <c r="F39" s="12"/>
      <c r="G39" s="89"/>
      <c r="H39" s="13"/>
      <c r="I39" s="89"/>
      <c r="J39" s="13"/>
      <c r="K39" s="14"/>
      <c r="L39" s="19"/>
      <c r="N39" s="12"/>
      <c r="O39" s="12"/>
      <c r="P39" s="12"/>
    </row>
    <row r="40" spans="1:16" x14ac:dyDescent="0.25">
      <c r="A40" s="11" t="str">
        <f>IF(COUNTA(B40:AC40)=0,"", MAX(A$2:A39)+1)</f>
        <v/>
      </c>
      <c r="B40" s="12"/>
      <c r="C40" s="12"/>
      <c r="D40" s="12"/>
      <c r="E40" s="12"/>
      <c r="F40" s="12"/>
      <c r="G40" s="89"/>
      <c r="H40" s="13"/>
      <c r="I40" s="89"/>
      <c r="J40" s="13"/>
      <c r="K40" s="14"/>
      <c r="L40" s="19"/>
      <c r="N40" s="12"/>
      <c r="O40" s="12"/>
      <c r="P40" s="12"/>
    </row>
    <row r="41" spans="1:16" x14ac:dyDescent="0.25">
      <c r="A41" s="11" t="str">
        <f>IF(COUNTA(B41:AC41)=0,"", MAX(A$2:A40)+1)</f>
        <v/>
      </c>
      <c r="B41" s="12"/>
      <c r="C41" s="12"/>
      <c r="D41" s="12"/>
      <c r="E41" s="12"/>
      <c r="F41" s="12"/>
      <c r="G41" s="89"/>
      <c r="H41" s="13"/>
      <c r="I41" s="89"/>
      <c r="J41" s="13"/>
      <c r="K41" s="14"/>
      <c r="L41" s="19"/>
      <c r="N41" s="12"/>
      <c r="O41" s="12"/>
      <c r="P41" s="12"/>
    </row>
    <row r="42" spans="1:16" x14ac:dyDescent="0.25">
      <c r="A42" s="11" t="str">
        <f>IF(COUNTA(B42:AC42)=0,"", MAX(A$2:A41)+1)</f>
        <v/>
      </c>
      <c r="B42" s="12"/>
      <c r="C42" s="12"/>
      <c r="D42" s="12"/>
      <c r="E42" s="12"/>
      <c r="F42" s="12"/>
      <c r="G42" s="89"/>
      <c r="H42" s="13"/>
      <c r="I42" s="89"/>
      <c r="J42" s="13"/>
      <c r="K42" s="14"/>
      <c r="L42" s="19"/>
      <c r="N42" s="12"/>
      <c r="O42" s="12"/>
      <c r="P42" s="12"/>
    </row>
    <row r="43" spans="1:16" x14ac:dyDescent="0.25">
      <c r="A43" s="11" t="str">
        <f>IF(COUNTA(B43:AC43)=0,"", MAX(A$2:A42)+1)</f>
        <v/>
      </c>
      <c r="B43" s="12"/>
      <c r="C43" s="12"/>
      <c r="D43" s="12"/>
      <c r="E43" s="12"/>
      <c r="F43" s="12"/>
      <c r="G43" s="89"/>
      <c r="H43" s="13"/>
      <c r="I43" s="89"/>
      <c r="J43" s="13"/>
      <c r="K43" s="14"/>
      <c r="L43" s="19"/>
      <c r="N43" s="12"/>
      <c r="O43" s="12"/>
      <c r="P43" s="12"/>
    </row>
    <row r="44" spans="1:16" x14ac:dyDescent="0.25">
      <c r="A44" s="11" t="str">
        <f>IF(COUNTA(B44:AC44)=0,"", MAX(A$2:A43)+1)</f>
        <v/>
      </c>
      <c r="B44" s="12"/>
      <c r="C44" s="12"/>
      <c r="D44" s="12"/>
      <c r="E44" s="12"/>
      <c r="F44" s="12"/>
      <c r="G44" s="89"/>
      <c r="H44" s="13"/>
      <c r="I44" s="89"/>
      <c r="J44" s="13"/>
      <c r="K44" s="14"/>
      <c r="L44" s="19"/>
      <c r="N44" s="12"/>
      <c r="O44" s="12"/>
      <c r="P44" s="12"/>
    </row>
    <row r="45" spans="1:16" x14ac:dyDescent="0.25">
      <c r="A45" s="11" t="str">
        <f>IF(COUNTA(B45:AC45)=0,"", MAX(A$2:A44)+1)</f>
        <v/>
      </c>
      <c r="B45" s="12"/>
      <c r="C45" s="12"/>
      <c r="D45" s="12"/>
      <c r="E45" s="12"/>
      <c r="F45" s="12"/>
      <c r="G45" s="89"/>
      <c r="H45" s="13"/>
      <c r="I45" s="89"/>
      <c r="J45" s="13"/>
      <c r="K45" s="14"/>
      <c r="L45" s="19"/>
      <c r="N45" s="12"/>
      <c r="O45" s="12"/>
      <c r="P45" s="12"/>
    </row>
    <row r="46" spans="1:16" x14ac:dyDescent="0.25">
      <c r="A46" s="11" t="str">
        <f>IF(COUNTA(B46:AC46)=0,"", MAX(A$2:A45)+1)</f>
        <v/>
      </c>
      <c r="B46" s="12"/>
      <c r="C46" s="12"/>
      <c r="D46" s="12"/>
      <c r="E46" s="12"/>
      <c r="F46" s="12"/>
      <c r="G46" s="89"/>
      <c r="H46" s="13"/>
      <c r="I46" s="89"/>
      <c r="J46" s="13"/>
      <c r="K46" s="14"/>
      <c r="L46" s="19"/>
      <c r="N46" s="12"/>
      <c r="O46" s="12"/>
      <c r="P46" s="12"/>
    </row>
    <row r="47" spans="1:16" x14ac:dyDescent="0.25">
      <c r="A47" s="11" t="str">
        <f>IF(COUNTA(B47:AC47)=0,"", MAX(A$2:A46)+1)</f>
        <v/>
      </c>
      <c r="B47" s="12"/>
      <c r="C47" s="12"/>
      <c r="D47" s="12"/>
      <c r="E47" s="12"/>
      <c r="F47" s="12"/>
      <c r="G47" s="89"/>
      <c r="H47" s="13"/>
      <c r="I47" s="89"/>
      <c r="J47" s="13"/>
      <c r="K47" s="14"/>
      <c r="L47" s="19"/>
      <c r="N47" s="12"/>
      <c r="O47" s="12"/>
      <c r="P47" s="12"/>
    </row>
    <row r="48" spans="1:16" x14ac:dyDescent="0.25">
      <c r="A48" s="11" t="str">
        <f>IF(COUNTA(B48:AC48)=0,"", MAX(A$2:A47)+1)</f>
        <v/>
      </c>
      <c r="B48" s="12"/>
      <c r="C48" s="12"/>
      <c r="D48" s="12"/>
      <c r="E48" s="12"/>
      <c r="F48" s="12"/>
      <c r="G48" s="89"/>
      <c r="H48" s="13"/>
      <c r="I48" s="89"/>
      <c r="J48" s="13"/>
      <c r="K48" s="14"/>
      <c r="L48" s="19"/>
      <c r="N48" s="12"/>
      <c r="O48" s="12"/>
      <c r="P48" s="12"/>
    </row>
    <row r="49" spans="1:16" x14ac:dyDescent="0.25">
      <c r="A49" s="11" t="str">
        <f>IF(COUNTA(B49:AC49)=0,"", MAX(A$2:A48)+1)</f>
        <v/>
      </c>
      <c r="B49" s="12"/>
      <c r="C49" s="12"/>
      <c r="D49" s="12"/>
      <c r="E49" s="12"/>
      <c r="F49" s="12"/>
      <c r="G49" s="89"/>
      <c r="H49" s="13"/>
      <c r="I49" s="89"/>
      <c r="J49" s="13"/>
      <c r="K49" s="14"/>
      <c r="L49" s="19"/>
      <c r="N49" s="12"/>
      <c r="O49" s="12"/>
      <c r="P49" s="12"/>
    </row>
    <row r="50" spans="1:16" x14ac:dyDescent="0.25">
      <c r="A50" s="11" t="str">
        <f>IF(COUNTA(B50:AC50)=0,"", MAX(A$2:A49)+1)</f>
        <v/>
      </c>
      <c r="B50" s="12"/>
      <c r="C50" s="12"/>
      <c r="D50" s="12"/>
      <c r="E50" s="12"/>
      <c r="F50" s="12"/>
      <c r="G50" s="89"/>
      <c r="H50" s="13"/>
      <c r="I50" s="89"/>
      <c r="J50" s="13"/>
      <c r="K50" s="14"/>
      <c r="L50" s="19"/>
      <c r="N50" s="12"/>
      <c r="O50" s="12"/>
      <c r="P50" s="12"/>
    </row>
    <row r="51" spans="1:16" x14ac:dyDescent="0.25">
      <c r="A51" s="11" t="str">
        <f>IF(COUNTA(B51:AC51)=0,"", MAX(A$2:A50)+1)</f>
        <v/>
      </c>
      <c r="B51" s="12"/>
      <c r="C51" s="12"/>
      <c r="D51" s="12"/>
      <c r="E51" s="12"/>
      <c r="F51" s="12"/>
      <c r="G51" s="89"/>
      <c r="H51" s="13"/>
      <c r="I51" s="89"/>
      <c r="J51" s="13"/>
      <c r="K51" s="14"/>
      <c r="L51" s="19"/>
      <c r="N51" s="12"/>
      <c r="O51" s="12"/>
      <c r="P51" s="12"/>
    </row>
    <row r="52" spans="1:16" x14ac:dyDescent="0.25">
      <c r="A52" s="11" t="str">
        <f>IF(COUNTA(B52:AC52)=0,"", MAX(A$2:A51)+1)</f>
        <v/>
      </c>
      <c r="B52" s="12"/>
      <c r="C52" s="12"/>
      <c r="D52" s="12"/>
      <c r="E52" s="12"/>
      <c r="F52" s="12"/>
      <c r="G52" s="89"/>
      <c r="H52" s="13"/>
      <c r="I52" s="89"/>
      <c r="J52" s="13"/>
      <c r="K52" s="14"/>
      <c r="L52" s="19"/>
      <c r="N52" s="12"/>
      <c r="O52" s="12"/>
      <c r="P52" s="12"/>
    </row>
    <row r="53" spans="1:16" x14ac:dyDescent="0.25">
      <c r="A53" s="11" t="str">
        <f>IF(COUNTA(B53:AC53)=0,"", MAX(A$2:A52)+1)</f>
        <v/>
      </c>
      <c r="B53" s="12"/>
      <c r="C53" s="12"/>
      <c r="D53" s="12"/>
      <c r="E53" s="12"/>
      <c r="F53" s="12"/>
      <c r="G53" s="89"/>
      <c r="H53" s="13"/>
      <c r="I53" s="89"/>
      <c r="J53" s="13"/>
      <c r="K53" s="14"/>
      <c r="L53" s="19"/>
      <c r="N53" s="12"/>
      <c r="O53" s="12"/>
      <c r="P53" s="12"/>
    </row>
    <row r="54" spans="1:16" x14ac:dyDescent="0.25">
      <c r="A54" s="11" t="str">
        <f>IF(COUNTA(B54:AC54)=0,"", MAX(A$2:A53)+1)</f>
        <v/>
      </c>
      <c r="B54" s="12"/>
      <c r="C54" s="12"/>
      <c r="D54" s="12"/>
      <c r="E54" s="12"/>
      <c r="F54" s="12"/>
      <c r="G54" s="89"/>
      <c r="H54" s="13"/>
      <c r="I54" s="89"/>
      <c r="J54" s="13"/>
      <c r="K54" s="14"/>
      <c r="L54" s="19"/>
      <c r="N54" s="12"/>
      <c r="O54" s="12"/>
      <c r="P54" s="12"/>
    </row>
    <row r="55" spans="1:16" x14ac:dyDescent="0.25">
      <c r="A55" s="11" t="str">
        <f>IF(COUNTA(B55:AC55)=0,"", MAX(A$2:A54)+1)</f>
        <v/>
      </c>
      <c r="B55" s="12"/>
      <c r="C55" s="12"/>
      <c r="D55" s="12"/>
      <c r="E55" s="12"/>
      <c r="F55" s="12"/>
      <c r="G55" s="89"/>
      <c r="H55" s="13"/>
      <c r="I55" s="89"/>
      <c r="J55" s="13"/>
      <c r="K55" s="14"/>
      <c r="L55" s="19"/>
      <c r="N55" s="12"/>
      <c r="O55" s="12"/>
      <c r="P55" s="12"/>
    </row>
    <row r="56" spans="1:16" x14ac:dyDescent="0.25">
      <c r="A56" s="11" t="str">
        <f>IF(COUNTA(B56:AC56)=0,"", MAX(A$2:A55)+1)</f>
        <v/>
      </c>
      <c r="B56" s="12"/>
      <c r="C56" s="12"/>
      <c r="D56" s="12"/>
      <c r="E56" s="12"/>
      <c r="F56" s="12"/>
      <c r="G56" s="89"/>
      <c r="H56" s="13"/>
      <c r="I56" s="89"/>
      <c r="J56" s="13"/>
      <c r="K56" s="14"/>
      <c r="L56" s="19"/>
      <c r="N56" s="12"/>
      <c r="O56" s="12"/>
      <c r="P56" s="12"/>
    </row>
    <row r="57" spans="1:16" x14ac:dyDescent="0.25">
      <c r="A57" s="11" t="str">
        <f>IF(COUNTA(B57:AC57)=0,"", MAX(A$2:A56)+1)</f>
        <v/>
      </c>
      <c r="B57" s="12"/>
      <c r="C57" s="12"/>
      <c r="D57" s="12"/>
      <c r="E57" s="12"/>
      <c r="F57" s="12"/>
      <c r="G57" s="89"/>
      <c r="H57" s="13"/>
      <c r="I57" s="89"/>
      <c r="J57" s="13"/>
      <c r="K57" s="14"/>
      <c r="L57" s="19"/>
      <c r="N57" s="12"/>
      <c r="O57" s="12"/>
      <c r="P57" s="12"/>
    </row>
    <row r="58" spans="1:16" x14ac:dyDescent="0.25">
      <c r="A58" s="11" t="str">
        <f>IF(COUNTA(B58:AC58)=0,"", MAX(A$2:A57)+1)</f>
        <v/>
      </c>
      <c r="B58" s="12"/>
      <c r="C58" s="12"/>
      <c r="D58" s="12"/>
      <c r="E58" s="12"/>
      <c r="F58" s="12"/>
      <c r="G58" s="89"/>
      <c r="H58" s="13"/>
      <c r="I58" s="89"/>
      <c r="J58" s="13"/>
      <c r="K58" s="14"/>
      <c r="L58" s="19"/>
      <c r="N58" s="12"/>
      <c r="O58" s="12"/>
      <c r="P58" s="12"/>
    </row>
    <row r="59" spans="1:16" x14ac:dyDescent="0.25">
      <c r="A59" s="11" t="str">
        <f>IF(COUNTA(B59:AC59)=0,"", MAX(A$2:A58)+1)</f>
        <v/>
      </c>
      <c r="B59" s="12"/>
      <c r="C59" s="12"/>
      <c r="D59" s="12"/>
      <c r="E59" s="12"/>
      <c r="F59" s="12"/>
      <c r="G59" s="89"/>
      <c r="H59" s="13"/>
      <c r="I59" s="89"/>
      <c r="J59" s="13"/>
      <c r="K59" s="14"/>
      <c r="L59" s="19"/>
      <c r="N59" s="12"/>
      <c r="O59" s="12"/>
      <c r="P59" s="12"/>
    </row>
    <row r="60" spans="1:16" x14ac:dyDescent="0.25">
      <c r="A60" s="11" t="str">
        <f>IF(COUNTA(B60:AC60)=0,"", MAX(A$2:A59)+1)</f>
        <v/>
      </c>
      <c r="B60" s="12"/>
      <c r="C60" s="12"/>
      <c r="D60" s="12"/>
      <c r="E60" s="12"/>
      <c r="F60" s="12"/>
      <c r="G60" s="89"/>
      <c r="H60" s="13"/>
      <c r="I60" s="89"/>
      <c r="J60" s="13"/>
      <c r="K60" s="14"/>
      <c r="L60" s="19"/>
      <c r="N60" s="12"/>
      <c r="O60" s="12"/>
      <c r="P60" s="12"/>
    </row>
    <row r="61" spans="1:16" x14ac:dyDescent="0.25">
      <c r="A61" s="11" t="str">
        <f>IF(COUNTA(B61:AC61)=0,"", MAX(A$2:A60)+1)</f>
        <v/>
      </c>
      <c r="B61" s="12"/>
      <c r="C61" s="12"/>
      <c r="D61" s="12"/>
      <c r="E61" s="12"/>
      <c r="F61" s="12"/>
      <c r="G61" s="89"/>
      <c r="H61" s="13"/>
      <c r="I61" s="89"/>
      <c r="J61" s="13"/>
      <c r="K61" s="14"/>
      <c r="L61" s="19"/>
      <c r="N61" s="12"/>
      <c r="O61" s="12"/>
      <c r="P61" s="12"/>
    </row>
    <row r="62" spans="1:16" x14ac:dyDescent="0.25">
      <c r="A62" s="11" t="str">
        <f>IF(COUNTA(B62:AC62)=0,"", MAX(A$2:A61)+1)</f>
        <v/>
      </c>
      <c r="B62" s="12"/>
      <c r="C62" s="12"/>
      <c r="D62" s="12"/>
      <c r="E62" s="12"/>
      <c r="F62" s="12"/>
      <c r="G62" s="89"/>
      <c r="H62" s="13"/>
      <c r="I62" s="89"/>
      <c r="J62" s="13"/>
      <c r="K62" s="14"/>
      <c r="L62" s="19"/>
      <c r="N62" s="12"/>
      <c r="O62" s="12"/>
      <c r="P62" s="12"/>
    </row>
    <row r="63" spans="1:16" x14ac:dyDescent="0.25">
      <c r="A63" s="11" t="str">
        <f>IF(COUNTA(B63:AC63)=0,"", MAX(A$2:A62)+1)</f>
        <v/>
      </c>
      <c r="B63" s="12"/>
      <c r="C63" s="12"/>
      <c r="D63" s="12"/>
      <c r="E63" s="12"/>
      <c r="F63" s="12"/>
      <c r="G63" s="89"/>
      <c r="H63" s="13"/>
      <c r="I63" s="89"/>
      <c r="J63" s="13"/>
      <c r="K63" s="14"/>
      <c r="L63" s="19"/>
      <c r="N63" s="12"/>
      <c r="O63" s="12"/>
      <c r="P63" s="12"/>
    </row>
    <row r="64" spans="1:16" x14ac:dyDescent="0.25">
      <c r="A64" s="11" t="str">
        <f>IF(COUNTA(B64:AC64)=0,"", MAX(A$2:A63)+1)</f>
        <v/>
      </c>
      <c r="B64" s="12"/>
      <c r="C64" s="12"/>
      <c r="D64" s="12"/>
      <c r="E64" s="12"/>
      <c r="F64" s="12"/>
      <c r="G64" s="89"/>
      <c r="H64" s="13"/>
      <c r="I64" s="89"/>
      <c r="J64" s="13"/>
      <c r="K64" s="14"/>
      <c r="L64" s="19"/>
      <c r="N64" s="12"/>
      <c r="O64" s="12"/>
      <c r="P64" s="12"/>
    </row>
    <row r="65" spans="1:16" x14ac:dyDescent="0.25">
      <c r="A65" s="11" t="str">
        <f>IF(COUNTA(B65:AC65)=0,"", MAX(A$2:A64)+1)</f>
        <v/>
      </c>
      <c r="B65" s="12"/>
      <c r="C65" s="12"/>
      <c r="D65" s="12"/>
      <c r="E65" s="12"/>
      <c r="F65" s="12"/>
      <c r="G65" s="89"/>
      <c r="H65" s="13"/>
      <c r="I65" s="89"/>
      <c r="J65" s="13"/>
      <c r="K65" s="14"/>
      <c r="L65" s="19"/>
      <c r="N65" s="12"/>
      <c r="O65" s="12"/>
      <c r="P65" s="12"/>
    </row>
    <row r="66" spans="1:16" x14ac:dyDescent="0.25">
      <c r="A66" s="11" t="str">
        <f>IF(COUNTA(B66:AC66)=0,"", MAX(A$2:A65)+1)</f>
        <v/>
      </c>
      <c r="B66" s="12"/>
      <c r="C66" s="12"/>
      <c r="D66" s="12"/>
      <c r="E66" s="12"/>
      <c r="F66" s="12"/>
      <c r="G66" s="89"/>
      <c r="H66" s="13"/>
      <c r="I66" s="89"/>
      <c r="J66" s="13"/>
      <c r="K66" s="14"/>
      <c r="L66" s="19"/>
      <c r="N66" s="12"/>
      <c r="O66" s="12"/>
      <c r="P66" s="12"/>
    </row>
    <row r="67" spans="1:16" x14ac:dyDescent="0.25">
      <c r="A67" s="11" t="str">
        <f>IF(COUNTA(B67:AC67)=0,"", MAX(A$2:A66)+1)</f>
        <v/>
      </c>
      <c r="B67" s="12"/>
      <c r="C67" s="12"/>
      <c r="D67" s="12"/>
      <c r="E67" s="12"/>
      <c r="F67" s="12"/>
      <c r="G67" s="89"/>
      <c r="H67" s="13"/>
      <c r="I67" s="89"/>
      <c r="J67" s="13"/>
      <c r="K67" s="14"/>
      <c r="L67" s="19"/>
      <c r="N67" s="12"/>
      <c r="O67" s="12"/>
      <c r="P67" s="12"/>
    </row>
    <row r="68" spans="1:16" x14ac:dyDescent="0.25">
      <c r="A68" s="11" t="str">
        <f>IF(COUNTA(B68:AC68)=0,"", MAX(A$2:A67)+1)</f>
        <v/>
      </c>
      <c r="B68" s="12"/>
      <c r="C68" s="12"/>
      <c r="D68" s="12"/>
      <c r="E68" s="12"/>
      <c r="F68" s="12"/>
      <c r="G68" s="89"/>
      <c r="H68" s="13"/>
      <c r="I68" s="89"/>
      <c r="J68" s="13"/>
      <c r="K68" s="14"/>
      <c r="L68" s="19"/>
      <c r="N68" s="12"/>
      <c r="O68" s="12"/>
      <c r="P68" s="12"/>
    </row>
    <row r="69" spans="1:16" x14ac:dyDescent="0.25">
      <c r="A69" s="11" t="str">
        <f>IF(COUNTA(B69:AC69)=0,"", MAX(A$2:A68)+1)</f>
        <v/>
      </c>
      <c r="B69" s="12"/>
      <c r="C69" s="12"/>
      <c r="D69" s="12"/>
      <c r="E69" s="12"/>
      <c r="F69" s="12"/>
      <c r="G69" s="89"/>
      <c r="H69" s="13"/>
      <c r="I69" s="89"/>
      <c r="J69" s="13"/>
      <c r="K69" s="14"/>
      <c r="L69" s="19"/>
      <c r="N69" s="12"/>
      <c r="O69" s="12"/>
      <c r="P69" s="12"/>
    </row>
    <row r="70" spans="1:16" x14ac:dyDescent="0.25">
      <c r="A70" s="11" t="str">
        <f>IF(COUNTA(B70:AC70)=0,"", MAX(A$2:A69)+1)</f>
        <v/>
      </c>
      <c r="B70" s="12"/>
      <c r="C70" s="12"/>
      <c r="D70" s="12"/>
      <c r="E70" s="12"/>
      <c r="F70" s="12"/>
      <c r="G70" s="89"/>
      <c r="H70" s="13"/>
      <c r="I70" s="89"/>
      <c r="J70" s="13"/>
      <c r="K70" s="14"/>
      <c r="L70" s="19"/>
      <c r="N70" s="12"/>
      <c r="O70" s="12"/>
      <c r="P70" s="12"/>
    </row>
    <row r="71" spans="1:16" x14ac:dyDescent="0.25">
      <c r="A71" s="11" t="str">
        <f>IF(COUNTA(B71:AC71)=0,"", MAX(A$2:A70)+1)</f>
        <v/>
      </c>
      <c r="B71" s="12"/>
      <c r="C71" s="12"/>
      <c r="D71" s="12"/>
      <c r="E71" s="12"/>
      <c r="F71" s="12"/>
      <c r="G71" s="89"/>
      <c r="H71" s="13"/>
      <c r="I71" s="89"/>
      <c r="J71" s="13"/>
      <c r="K71" s="14"/>
      <c r="L71" s="19"/>
      <c r="N71" s="12"/>
      <c r="O71" s="12"/>
      <c r="P71" s="12"/>
    </row>
    <row r="72" spans="1:16" x14ac:dyDescent="0.25">
      <c r="A72" s="11" t="str">
        <f>IF(COUNTA(B72:AC72)=0,"", MAX(A$2:A71)+1)</f>
        <v/>
      </c>
      <c r="B72" s="12"/>
      <c r="C72" s="12"/>
      <c r="D72" s="12"/>
      <c r="E72" s="12"/>
      <c r="F72" s="12"/>
      <c r="G72" s="89"/>
      <c r="H72" s="13"/>
      <c r="I72" s="89"/>
      <c r="J72" s="13"/>
      <c r="K72" s="14"/>
      <c r="L72" s="19"/>
      <c r="N72" s="12"/>
      <c r="O72" s="12"/>
      <c r="P72" s="12"/>
    </row>
    <row r="73" spans="1:16" x14ac:dyDescent="0.25">
      <c r="A73" s="11" t="str">
        <f>IF(COUNTA(B73:AC73)=0,"", MAX(A$2:A72)+1)</f>
        <v/>
      </c>
      <c r="B73" s="12"/>
      <c r="C73" s="12"/>
      <c r="D73" s="12"/>
      <c r="E73" s="12"/>
      <c r="F73" s="12"/>
      <c r="G73" s="89"/>
      <c r="H73" s="13"/>
      <c r="I73" s="89"/>
      <c r="J73" s="13"/>
      <c r="K73" s="14"/>
      <c r="L73" s="19"/>
      <c r="N73" s="12"/>
      <c r="O73" s="12"/>
      <c r="P73" s="12"/>
    </row>
    <row r="74" spans="1:16" x14ac:dyDescent="0.25">
      <c r="A74" s="11" t="str">
        <f>IF(COUNTA(B74:AC74)=0,"", MAX(A$2:A73)+1)</f>
        <v/>
      </c>
      <c r="B74" s="12"/>
      <c r="C74" s="12"/>
      <c r="D74" s="12"/>
      <c r="E74" s="12"/>
      <c r="F74" s="12"/>
      <c r="G74" s="89"/>
      <c r="H74" s="13"/>
      <c r="I74" s="89"/>
      <c r="J74" s="13"/>
      <c r="K74" s="14"/>
      <c r="L74" s="19"/>
      <c r="N74" s="12"/>
      <c r="O74" s="12"/>
      <c r="P74" s="12"/>
    </row>
    <row r="75" spans="1:16" x14ac:dyDescent="0.25">
      <c r="A75" s="11" t="str">
        <f>IF(COUNTA(B75:AC75)=0,"", MAX(A$2:A74)+1)</f>
        <v/>
      </c>
      <c r="B75" s="12"/>
      <c r="C75" s="12"/>
      <c r="D75" s="12"/>
      <c r="E75" s="12"/>
      <c r="F75" s="12"/>
      <c r="G75" s="89"/>
      <c r="H75" s="13"/>
      <c r="I75" s="89"/>
      <c r="J75" s="13"/>
      <c r="K75" s="14"/>
      <c r="L75" s="19"/>
      <c r="N75" s="12"/>
      <c r="O75" s="12"/>
      <c r="P75" s="12"/>
    </row>
    <row r="76" spans="1:16" x14ac:dyDescent="0.25">
      <c r="A76" s="11" t="str">
        <f>IF(COUNTA(B76:AC76)=0,"", MAX(A$2:A75)+1)</f>
        <v/>
      </c>
      <c r="B76" s="12"/>
      <c r="C76" s="12"/>
      <c r="D76" s="12"/>
      <c r="E76" s="12"/>
      <c r="F76" s="12"/>
      <c r="G76" s="89"/>
      <c r="H76" s="13"/>
      <c r="I76" s="89"/>
      <c r="J76" s="13"/>
      <c r="K76" s="14"/>
      <c r="L76" s="19"/>
      <c r="N76" s="12"/>
      <c r="O76" s="12"/>
      <c r="P76" s="12"/>
    </row>
    <row r="77" spans="1:16" x14ac:dyDescent="0.25">
      <c r="A77" s="11" t="str">
        <f>IF(COUNTA(B77:AC77)=0,"", MAX(A$2:A76)+1)</f>
        <v/>
      </c>
      <c r="B77" s="12"/>
      <c r="C77" s="12"/>
      <c r="D77" s="12"/>
      <c r="E77" s="12"/>
      <c r="F77" s="12"/>
      <c r="G77" s="89"/>
      <c r="H77" s="13"/>
      <c r="I77" s="89"/>
      <c r="J77" s="13"/>
      <c r="K77" s="14"/>
      <c r="L77" s="19"/>
      <c r="N77" s="12"/>
      <c r="O77" s="12"/>
      <c r="P77" s="12"/>
    </row>
    <row r="78" spans="1:16" x14ac:dyDescent="0.25">
      <c r="A78" s="11" t="str">
        <f>IF(COUNTA(B78:AC78)=0,"", MAX(A$2:A77)+1)</f>
        <v/>
      </c>
      <c r="B78" s="12"/>
      <c r="C78" s="12"/>
      <c r="D78" s="12"/>
      <c r="E78" s="12"/>
      <c r="F78" s="12"/>
      <c r="G78" s="89"/>
      <c r="H78" s="13"/>
      <c r="I78" s="89"/>
      <c r="J78" s="13"/>
      <c r="K78" s="14"/>
      <c r="L78" s="19"/>
      <c r="N78" s="12"/>
      <c r="O78" s="12"/>
      <c r="P78" s="12"/>
    </row>
    <row r="79" spans="1:16" x14ac:dyDescent="0.25">
      <c r="A79" s="11" t="str">
        <f>IF(COUNTA(B79:AC79)=0,"", MAX(A$2:A78)+1)</f>
        <v/>
      </c>
      <c r="B79" s="12"/>
      <c r="C79" s="12"/>
      <c r="D79" s="12"/>
      <c r="E79" s="12"/>
      <c r="F79" s="12"/>
      <c r="G79" s="89"/>
      <c r="H79" s="13"/>
      <c r="I79" s="89"/>
      <c r="J79" s="13"/>
      <c r="K79" s="14"/>
      <c r="L79" s="19"/>
      <c r="N79" s="12"/>
      <c r="O79" s="12"/>
      <c r="P79" s="12"/>
    </row>
    <row r="80" spans="1:16" x14ac:dyDescent="0.25">
      <c r="A80" s="11" t="str">
        <f>IF(COUNTA(B80:AC80)=0,"", MAX(A$2:A79)+1)</f>
        <v/>
      </c>
      <c r="B80" s="12"/>
      <c r="C80" s="12"/>
      <c r="D80" s="12"/>
      <c r="E80" s="12"/>
      <c r="F80" s="12"/>
      <c r="G80" s="89"/>
      <c r="H80" s="13"/>
      <c r="I80" s="89"/>
      <c r="J80" s="13"/>
      <c r="K80" s="14"/>
      <c r="L80" s="19"/>
      <c r="N80" s="12"/>
      <c r="O80" s="12"/>
      <c r="P80" s="12"/>
    </row>
    <row r="81" spans="1:16" x14ac:dyDescent="0.25">
      <c r="A81" s="11" t="str">
        <f>IF(COUNTA(B81:AC81)=0,"", MAX(A$2:A80)+1)</f>
        <v/>
      </c>
      <c r="B81" s="12"/>
      <c r="C81" s="12"/>
      <c r="D81" s="12"/>
      <c r="E81" s="12"/>
      <c r="F81" s="12"/>
      <c r="G81" s="89"/>
      <c r="H81" s="13"/>
      <c r="I81" s="89"/>
      <c r="J81" s="13"/>
      <c r="K81" s="14"/>
      <c r="L81" s="19"/>
      <c r="N81" s="12"/>
      <c r="O81" s="12"/>
      <c r="P81" s="12"/>
    </row>
    <row r="82" spans="1:16" x14ac:dyDescent="0.25">
      <c r="A82" s="11" t="str">
        <f>IF(COUNTA(B82:AC82)=0,"", MAX(A$2:A81)+1)</f>
        <v/>
      </c>
      <c r="B82" s="12"/>
      <c r="C82" s="12"/>
      <c r="D82" s="12"/>
      <c r="E82" s="12"/>
      <c r="F82" s="12"/>
      <c r="G82" s="89"/>
      <c r="H82" s="13"/>
      <c r="I82" s="89"/>
      <c r="J82" s="13"/>
      <c r="K82" s="14"/>
      <c r="L82" s="19"/>
      <c r="N82" s="12"/>
      <c r="O82" s="12"/>
      <c r="P82" s="12"/>
    </row>
    <row r="83" spans="1:16" x14ac:dyDescent="0.25">
      <c r="A83" s="11" t="str">
        <f>IF(COUNTA(B83:AC83)=0,"", MAX(A$2:A82)+1)</f>
        <v/>
      </c>
      <c r="B83" s="12"/>
      <c r="C83" s="12"/>
      <c r="D83" s="12"/>
      <c r="E83" s="12"/>
      <c r="F83" s="12"/>
      <c r="G83" s="89"/>
      <c r="H83" s="13"/>
      <c r="I83" s="89"/>
      <c r="J83" s="13"/>
      <c r="K83" s="14"/>
      <c r="L83" s="19"/>
      <c r="N83" s="12"/>
      <c r="O83" s="12"/>
      <c r="P83" s="12"/>
    </row>
    <row r="84" spans="1:16" x14ac:dyDescent="0.25">
      <c r="A84" s="11" t="str">
        <f>IF(COUNTA(B84:AC84)=0,"", MAX(A$2:A83)+1)</f>
        <v/>
      </c>
      <c r="B84" s="12"/>
      <c r="C84" s="12"/>
      <c r="D84" s="12"/>
      <c r="E84" s="12"/>
      <c r="F84" s="12"/>
      <c r="G84" s="89"/>
      <c r="H84" s="13"/>
      <c r="I84" s="89"/>
      <c r="J84" s="13"/>
      <c r="K84" s="14"/>
      <c r="L84" s="19"/>
      <c r="N84" s="12"/>
      <c r="O84" s="12"/>
      <c r="P84" s="12"/>
    </row>
    <row r="85" spans="1:16" x14ac:dyDescent="0.25">
      <c r="A85" s="11" t="str">
        <f>IF(COUNTA(B85:AC85)=0,"", MAX(A$2:A84)+1)</f>
        <v/>
      </c>
      <c r="B85" s="12"/>
      <c r="C85" s="12"/>
      <c r="D85" s="12"/>
      <c r="E85" s="12"/>
      <c r="F85" s="12"/>
      <c r="G85" s="89"/>
      <c r="H85" s="13"/>
      <c r="I85" s="89"/>
      <c r="J85" s="13"/>
      <c r="K85" s="14"/>
      <c r="L85" s="19"/>
      <c r="N85" s="12"/>
      <c r="O85" s="12"/>
      <c r="P85" s="12"/>
    </row>
    <row r="86" spans="1:16" x14ac:dyDescent="0.25">
      <c r="A86" s="11" t="str">
        <f>IF(COUNTA(B86:AC86)=0,"", MAX(A$2:A85)+1)</f>
        <v/>
      </c>
      <c r="B86" s="12"/>
      <c r="C86" s="12"/>
      <c r="D86" s="12"/>
      <c r="E86" s="12"/>
      <c r="F86" s="12"/>
      <c r="G86" s="89"/>
      <c r="H86" s="13"/>
      <c r="I86" s="89"/>
      <c r="J86" s="13"/>
      <c r="K86" s="14"/>
      <c r="L86" s="19"/>
      <c r="N86" s="12"/>
      <c r="O86" s="12"/>
      <c r="P86" s="12"/>
    </row>
    <row r="87" spans="1:16" x14ac:dyDescent="0.25">
      <c r="A87" s="11" t="str">
        <f>IF(COUNTA(B87:AC87)=0,"", MAX(A$2:A86)+1)</f>
        <v/>
      </c>
      <c r="B87" s="12"/>
      <c r="C87" s="12"/>
      <c r="D87" s="12"/>
      <c r="E87" s="12"/>
      <c r="F87" s="12"/>
      <c r="G87" s="89"/>
      <c r="H87" s="13"/>
      <c r="I87" s="89"/>
      <c r="J87" s="13"/>
      <c r="K87" s="14"/>
      <c r="L87" s="19"/>
      <c r="N87" s="12"/>
      <c r="O87" s="12"/>
      <c r="P87" s="12"/>
    </row>
    <row r="88" spans="1:16" x14ac:dyDescent="0.25">
      <c r="A88" s="11" t="str">
        <f>IF(COUNTA(B88:AC88)=0,"", MAX(A$2:A87)+1)</f>
        <v/>
      </c>
      <c r="B88" s="12"/>
      <c r="C88" s="12"/>
      <c r="D88" s="12"/>
      <c r="E88" s="12"/>
      <c r="F88" s="12"/>
      <c r="G88" s="89"/>
      <c r="H88" s="13"/>
      <c r="I88" s="89"/>
      <c r="J88" s="13"/>
      <c r="K88" s="14"/>
      <c r="L88" s="19"/>
      <c r="N88" s="12"/>
      <c r="O88" s="12"/>
      <c r="P88" s="12"/>
    </row>
    <row r="89" spans="1:16" x14ac:dyDescent="0.25">
      <c r="A89" s="11" t="str">
        <f>IF(COUNTA(B89:AC89)=0,"", MAX(A$2:A88)+1)</f>
        <v/>
      </c>
      <c r="B89" s="12"/>
      <c r="C89" s="12"/>
      <c r="D89" s="12"/>
      <c r="E89" s="12"/>
      <c r="F89" s="12"/>
      <c r="G89" s="89"/>
      <c r="H89" s="13"/>
      <c r="I89" s="89"/>
      <c r="J89" s="13"/>
      <c r="K89" s="14"/>
      <c r="L89" s="19"/>
      <c r="N89" s="12"/>
      <c r="O89" s="12"/>
      <c r="P89" s="12"/>
    </row>
    <row r="90" spans="1:16" x14ac:dyDescent="0.25">
      <c r="A90" s="11" t="str">
        <f>IF(COUNTA(B90:AC90)=0,"", MAX(A$2:A89)+1)</f>
        <v/>
      </c>
      <c r="B90" s="12"/>
      <c r="C90" s="12"/>
      <c r="D90" s="12"/>
      <c r="E90" s="12"/>
      <c r="F90" s="12"/>
      <c r="G90" s="89"/>
      <c r="H90" s="13"/>
      <c r="I90" s="89"/>
      <c r="J90" s="13"/>
      <c r="K90" s="14"/>
      <c r="L90" s="19"/>
      <c r="N90" s="12"/>
      <c r="O90" s="12"/>
      <c r="P90" s="12"/>
    </row>
    <row r="91" spans="1:16" x14ac:dyDescent="0.25">
      <c r="A91" s="11" t="str">
        <f>IF(COUNTA(B91:AC91)=0,"", MAX(A$2:A90)+1)</f>
        <v/>
      </c>
      <c r="B91" s="12"/>
      <c r="C91" s="12"/>
      <c r="D91" s="12"/>
      <c r="E91" s="12"/>
      <c r="F91" s="12"/>
      <c r="G91" s="89"/>
      <c r="H91" s="13"/>
      <c r="I91" s="89"/>
      <c r="J91" s="13"/>
      <c r="K91" s="14"/>
      <c r="L91" s="19"/>
      <c r="N91" s="12"/>
      <c r="O91" s="12"/>
      <c r="P91" s="12"/>
    </row>
    <row r="92" spans="1:16" x14ac:dyDescent="0.25">
      <c r="A92" s="11" t="str">
        <f>IF(COUNTA(B92:AC92)=0,"", MAX(A$2:A91)+1)</f>
        <v/>
      </c>
      <c r="B92" s="12"/>
      <c r="C92" s="12"/>
      <c r="D92" s="12"/>
      <c r="E92" s="12"/>
      <c r="F92" s="12"/>
      <c r="G92" s="89"/>
      <c r="H92" s="13"/>
      <c r="I92" s="89"/>
      <c r="J92" s="13"/>
      <c r="K92" s="14"/>
      <c r="L92" s="19"/>
      <c r="N92" s="12"/>
      <c r="O92" s="12"/>
      <c r="P92" s="12"/>
    </row>
    <row r="93" spans="1:16" x14ac:dyDescent="0.25">
      <c r="A93" s="11" t="str">
        <f>IF(COUNTA(B93:AC93)=0,"", MAX(A$2:A92)+1)</f>
        <v/>
      </c>
      <c r="B93" s="12"/>
      <c r="C93" s="12"/>
      <c r="D93" s="12"/>
      <c r="E93" s="12"/>
      <c r="F93" s="12"/>
      <c r="G93" s="89"/>
      <c r="H93" s="13"/>
      <c r="I93" s="89"/>
      <c r="J93" s="13"/>
      <c r="K93" s="14"/>
      <c r="L93" s="19"/>
      <c r="N93" s="12"/>
      <c r="O93" s="12"/>
      <c r="P93" s="12"/>
    </row>
    <row r="94" spans="1:16" x14ac:dyDescent="0.25">
      <c r="A94" s="11" t="str">
        <f>IF(COUNTA(B94:AC94)=0,"", MAX(A$2:A93)+1)</f>
        <v/>
      </c>
      <c r="B94" s="12"/>
      <c r="C94" s="12"/>
      <c r="D94" s="12"/>
      <c r="E94" s="12"/>
      <c r="F94" s="12"/>
      <c r="G94" s="89"/>
      <c r="H94" s="13"/>
      <c r="I94" s="89"/>
      <c r="J94" s="13"/>
      <c r="K94" s="14"/>
      <c r="L94" s="19"/>
      <c r="N94" s="12"/>
      <c r="O94" s="12"/>
      <c r="P94" s="12"/>
    </row>
    <row r="95" spans="1:16" x14ac:dyDescent="0.25">
      <c r="A95" s="11" t="str">
        <f>IF(COUNTA(B95:AC95)=0,"", MAX(A$2:A94)+1)</f>
        <v/>
      </c>
      <c r="B95" s="12"/>
      <c r="C95" s="12"/>
      <c r="D95" s="12"/>
      <c r="E95" s="12"/>
      <c r="F95" s="12"/>
      <c r="G95" s="89"/>
      <c r="H95" s="13"/>
      <c r="I95" s="89"/>
      <c r="J95" s="13"/>
      <c r="K95" s="14"/>
      <c r="L95" s="19"/>
      <c r="N95" s="12"/>
      <c r="O95" s="12"/>
      <c r="P95" s="12"/>
    </row>
    <row r="96" spans="1:16" x14ac:dyDescent="0.25">
      <c r="A96" s="11" t="str">
        <f>IF(COUNTA(B96:AC96)=0,"", MAX(A$2:A95)+1)</f>
        <v/>
      </c>
      <c r="B96" s="12"/>
      <c r="C96" s="12"/>
      <c r="D96" s="12"/>
      <c r="E96" s="12"/>
      <c r="F96" s="12"/>
      <c r="G96" s="89"/>
      <c r="H96" s="13"/>
      <c r="I96" s="89"/>
      <c r="J96" s="13"/>
      <c r="K96" s="14"/>
      <c r="L96" s="19"/>
      <c r="N96" s="12"/>
      <c r="O96" s="12"/>
      <c r="P96" s="12"/>
    </row>
    <row r="97" spans="1:16" x14ac:dyDescent="0.25">
      <c r="A97" s="11" t="str">
        <f>IF(COUNTA(B97:AC97)=0,"", MAX(A$2:A96)+1)</f>
        <v/>
      </c>
      <c r="B97" s="12"/>
      <c r="C97" s="12"/>
      <c r="D97" s="12"/>
      <c r="E97" s="12"/>
      <c r="F97" s="12"/>
      <c r="G97" s="89"/>
      <c r="H97" s="13"/>
      <c r="I97" s="89"/>
      <c r="J97" s="13"/>
      <c r="K97" s="14"/>
      <c r="L97" s="19"/>
      <c r="N97" s="12"/>
      <c r="O97" s="12"/>
      <c r="P97" s="12"/>
    </row>
    <row r="98" spans="1:16" x14ac:dyDescent="0.25">
      <c r="A98" s="11" t="str">
        <f>IF(COUNTA(B98:AC98)=0,"", MAX(A$2:A97)+1)</f>
        <v/>
      </c>
      <c r="B98" s="12"/>
      <c r="C98" s="12"/>
      <c r="D98" s="12"/>
      <c r="E98" s="12"/>
      <c r="F98" s="12"/>
      <c r="G98" s="89"/>
      <c r="H98" s="13"/>
      <c r="I98" s="89"/>
      <c r="J98" s="13"/>
      <c r="K98" s="14"/>
      <c r="L98" s="19"/>
      <c r="N98" s="12"/>
      <c r="O98" s="12"/>
      <c r="P98" s="12"/>
    </row>
    <row r="99" spans="1:16" x14ac:dyDescent="0.25">
      <c r="A99" s="11" t="str">
        <f>IF(COUNTA(B99:AC99)=0,"", MAX(A$2:A98)+1)</f>
        <v/>
      </c>
      <c r="B99" s="12"/>
      <c r="C99" s="12"/>
      <c r="D99" s="12"/>
      <c r="E99" s="12"/>
      <c r="F99" s="12"/>
      <c r="G99" s="89"/>
      <c r="H99" s="13"/>
      <c r="I99" s="89"/>
      <c r="J99" s="13"/>
      <c r="K99" s="14"/>
      <c r="L99" s="19"/>
      <c r="N99" s="12"/>
      <c r="O99" s="12"/>
      <c r="P99" s="12"/>
    </row>
    <row r="100" spans="1:16" x14ac:dyDescent="0.25">
      <c r="A100" s="11" t="str">
        <f>IF(COUNTA(B100:AC100)=0,"", MAX(A$2:A99)+1)</f>
        <v/>
      </c>
      <c r="B100" s="12"/>
      <c r="C100" s="12"/>
      <c r="D100" s="12"/>
      <c r="E100" s="12"/>
      <c r="F100" s="12"/>
      <c r="G100" s="89"/>
      <c r="H100" s="13"/>
      <c r="I100" s="89"/>
      <c r="J100" s="13"/>
      <c r="K100" s="14"/>
      <c r="L100" s="19"/>
      <c r="N100" s="12"/>
      <c r="O100" s="12"/>
      <c r="P100" s="12"/>
    </row>
    <row r="101" spans="1:16" x14ac:dyDescent="0.25">
      <c r="A101" s="11" t="str">
        <f>IF(COUNTA(B101:AC101)=0,"", MAX(A$2:A100)+1)</f>
        <v/>
      </c>
      <c r="B101" s="12"/>
      <c r="C101" s="12"/>
      <c r="D101" s="12"/>
      <c r="E101" s="12"/>
      <c r="F101" s="12"/>
      <c r="G101" s="89"/>
      <c r="H101" s="13"/>
      <c r="I101" s="89"/>
      <c r="J101" s="13"/>
      <c r="K101" s="14"/>
      <c r="L101" s="19"/>
      <c r="N101" s="12"/>
      <c r="O101" s="12"/>
      <c r="P101" s="12"/>
    </row>
    <row r="102" spans="1:16" x14ac:dyDescent="0.25">
      <c r="A102" s="11" t="str">
        <f>IF(COUNTA(B102:AC102)=0,"", MAX(A$2:A101)+1)</f>
        <v/>
      </c>
      <c r="B102" s="12"/>
      <c r="C102" s="12"/>
      <c r="D102" s="12"/>
      <c r="E102" s="12"/>
      <c r="F102" s="12"/>
      <c r="G102" s="89"/>
      <c r="H102" s="13"/>
      <c r="I102" s="89"/>
      <c r="J102" s="13"/>
      <c r="K102" s="14"/>
      <c r="L102" s="19"/>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tabSelected="1" zoomScaleNormal="100" workbookViewId="0">
      <selection activeCell="F18" sqref="F18"/>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4.375" style="37" customWidth="1"/>
    <col min="6" max="6" width="21.5" style="37" customWidth="1"/>
    <col min="7" max="7" width="16.625" style="37" customWidth="1"/>
    <col min="8" max="8" width="9.875" style="36" customWidth="1"/>
    <col min="9" max="9" width="20.375" style="32" customWidth="1"/>
    <col min="10" max="10" width="18.25" style="77" customWidth="1"/>
    <col min="11" max="11" width="25" style="36" customWidth="1"/>
    <col min="12" max="14" width="12.75" style="36" hidden="1" customWidth="1"/>
    <col min="15" max="15" width="6.75" style="37" customWidth="1"/>
    <col min="16" max="16" width="6.625" style="39" customWidth="1"/>
    <col min="17" max="17" width="17.125" style="38" customWidth="1"/>
    <col min="18" max="18" width="22.375" style="38" customWidth="1"/>
    <col min="19" max="19" width="12.625" style="37" customWidth="1"/>
    <col min="20" max="20" width="16" style="37" customWidth="1"/>
    <col min="21" max="21" width="12.625" style="37" customWidth="1"/>
    <col min="22" max="22" width="21.125" style="37" customWidth="1"/>
    <col min="23" max="23" width="23" style="38" customWidth="1"/>
    <col min="24" max="24" width="15.625" style="36" bestFit="1" customWidth="1"/>
    <col min="25" max="25" width="12.5" style="37" customWidth="1"/>
    <col min="26" max="27" width="17.5" style="37" customWidth="1"/>
    <col min="28" max="16384" width="9" style="37"/>
  </cols>
  <sheetData>
    <row r="1" spans="1:27" s="24" customFormat="1" ht="41.25" customHeight="1" x14ac:dyDescent="0.25">
      <c r="A1" s="81" t="s">
        <v>97</v>
      </c>
      <c r="B1" s="81"/>
      <c r="C1" s="81"/>
      <c r="D1" s="81"/>
      <c r="E1" s="23"/>
      <c r="H1" s="25"/>
      <c r="I1" s="25"/>
      <c r="J1" s="2"/>
      <c r="K1" s="25"/>
      <c r="L1" s="25"/>
      <c r="M1" s="25"/>
      <c r="N1" s="25"/>
      <c r="O1" s="23"/>
      <c r="P1" s="81" t="s">
        <v>98</v>
      </c>
      <c r="Q1" s="81"/>
      <c r="R1" s="81"/>
      <c r="S1" s="23"/>
      <c r="U1" s="23"/>
      <c r="V1" s="23"/>
      <c r="W1" s="28"/>
      <c r="X1" s="25"/>
    </row>
    <row r="2" spans="1:27" s="24" customFormat="1" ht="38.25" customHeight="1" x14ac:dyDescent="0.25">
      <c r="B2" s="24" t="s">
        <v>120</v>
      </c>
      <c r="C2" s="26" t="str">
        <f>_xll.OpenApiSubscribe("/openapi/port/v1/netpositions/subscriptions/active","ClientKey:"&amp;_xll.OpenApiGetClientKey(),"DisplayAndFormat,NetPositionBase,NetPositionView","DisplayAndFormat.Symbol,NetPositionBase.Amount,DisplayAndFormat.Currency,NetPositionView.AverageOpenPrice")</f>
        <v>Symbol</v>
      </c>
      <c r="D2" s="25" t="s">
        <v>144</v>
      </c>
      <c r="E2" s="24" t="s">
        <v>64</v>
      </c>
      <c r="F2" s="24" t="s">
        <v>158</v>
      </c>
      <c r="G2" s="24" t="s">
        <v>117</v>
      </c>
      <c r="H2" s="25" t="s">
        <v>118</v>
      </c>
      <c r="I2" s="27" t="s">
        <v>40</v>
      </c>
      <c r="J2" s="6" t="s">
        <v>43</v>
      </c>
      <c r="K2" s="27" t="s">
        <v>137</v>
      </c>
      <c r="L2" s="25"/>
      <c r="M2" s="25"/>
      <c r="N2" s="25"/>
      <c r="Q2" s="28" t="str">
        <f>_xll.OpenApiSubscribe("/openapi/port/v1/positions/subscriptions/active","ClientKey:"&amp;_xll.OpenApiGetClientKey(),"PositionBase,DisplayAndFormat,PositionView",CONCATENATE("PositionBase.SourceOrderId,DisplayAndFormat.Symbol,PositionBase.Amount,PositionBase.OpenPrice,DisplayAndFormat.Currency,DisplayAndFormat.Description,PositionBase.ExecutionTimeOpen"))</f>
        <v>SourceOrderId</v>
      </c>
      <c r="R2" s="28" t="s">
        <v>28</v>
      </c>
      <c r="S2" s="24" t="s">
        <v>144</v>
      </c>
      <c r="T2" s="24" t="s">
        <v>145</v>
      </c>
      <c r="U2" s="24" t="s">
        <v>64</v>
      </c>
      <c r="V2" s="24" t="s">
        <v>52</v>
      </c>
      <c r="W2" s="28" t="s">
        <v>143</v>
      </c>
      <c r="X2" s="24" t="s">
        <v>117</v>
      </c>
      <c r="Y2" s="25" t="s">
        <v>118</v>
      </c>
      <c r="Z2" s="29"/>
      <c r="AA2" s="29"/>
    </row>
    <row r="3" spans="1:27" s="33" customFormat="1" x14ac:dyDescent="0.25">
      <c r="A3" s="30">
        <f>IF(COUNTA(C3:D3)=0,"", MAX(A$2:A2)+1)</f>
        <v>1</v>
      </c>
      <c r="B3" s="30" t="s">
        <v>8</v>
      </c>
      <c r="C3" s="31" t="str">
        <f t="array" ref="C3:F3">_xll.OpenApiSubscribeRtd("ExcelTrader_99","NetpositionId","BEKB:xbru_CfdOnShare")</f>
        <v>BEKB:xbru</v>
      </c>
      <c r="D3" s="32">
        <v>295</v>
      </c>
      <c r="E3" s="33" t="str">
        <v>EUR</v>
      </c>
      <c r="F3" s="33">
        <v>44.360300000000002</v>
      </c>
      <c r="G3" s="33">
        <f>IF(ISNA(VLOOKUP(E3,Forex!$B$3:$C$8,2,FALSE)),"",VLOOKUP(E3,Forex!$B$3:$C$8,2,FALSE))</f>
        <v>0.89</v>
      </c>
      <c r="H3" s="32">
        <f>IF(ISERR(F3/G3*D3/1000),"", F3/G3*D3/1000)</f>
        <v>14.703694943820224</v>
      </c>
      <c r="I3" s="32"/>
      <c r="J3" s="76"/>
      <c r="K3" s="78">
        <f>IF(ISNA(PctFromPrevRep),"", PctFromPrevRep)</f>
        <v>9.8865069118860838E-3</v>
      </c>
      <c r="L3" s="32"/>
      <c r="M3" s="32"/>
      <c r="N3" s="32"/>
      <c r="P3" s="30">
        <f>IF(COUNTA(Q3:Q3)=0,"", MAX(P$2:P2)+1)</f>
        <v>1</v>
      </c>
      <c r="Q3" s="34" t="str">
        <f t="array" ref="Q3:W3">_xll.OpenApiSubscribeRtd("ExcelTrader_103","PositionId","185753759")</f>
        <v>68527157</v>
      </c>
      <c r="R3" s="34" t="str">
        <v>RTN:xlon</v>
      </c>
      <c r="S3" s="33">
        <v>-2599</v>
      </c>
      <c r="T3" s="33">
        <v>310</v>
      </c>
      <c r="U3" s="33" t="str">
        <v>GBP</v>
      </c>
      <c r="V3" s="33" t="str">
        <v>Restaurant Group</v>
      </c>
      <c r="W3" s="34">
        <v>42929.46248707176</v>
      </c>
      <c r="X3" s="33">
        <f>IF(ISNA(VLOOKUP(U3,Forex!$B$3:$C$8,2,FALSE)),"",VLOOKUP(U3,Forex!$B$3:$C$8,2,FALSE))</f>
        <v>78</v>
      </c>
      <c r="Y3" s="32">
        <f>IF(ISERR(T3/X3*S3/1000),"", T3/X3*S3/1000)</f>
        <v>-10.329358974358975</v>
      </c>
    </row>
    <row r="4" spans="1:27" s="33" customFormat="1" x14ac:dyDescent="0.25">
      <c r="A4" s="30">
        <f>IF(COUNTA(C4:D4)=0,"", MAX(A$2:A3)+1)</f>
        <v>2</v>
      </c>
      <c r="B4" s="30" t="s">
        <v>9</v>
      </c>
      <c r="C4" s="31" t="str">
        <f t="array" ref="C4:F4">_xll.OpenApiSubscribeRtd("ExcelTrader_99","NetpositionId","RTN:xlon_CfdOnShare")</f>
        <v>RTN:xlon</v>
      </c>
      <c r="D4" s="32">
        <v>-5198</v>
      </c>
      <c r="E4" s="33" t="str">
        <v>GBP</v>
      </c>
      <c r="F4" s="33">
        <v>305.05</v>
      </c>
      <c r="G4" s="33">
        <f>IF(ISNA(VLOOKUP(E4,Forex!$B$3:$C$8,2,FALSE)),"",VLOOKUP(E4,Forex!$B$3:$C$8,2,FALSE))</f>
        <v>78</v>
      </c>
      <c r="H4" s="32">
        <f>IF(ISERR(F4/G4*D4/1000),"", F4/G4*D4/1000)</f>
        <v>-20.328844871794875</v>
      </c>
      <c r="I4" s="32" t="s">
        <v>119</v>
      </c>
      <c r="J4" s="76">
        <v>42928</v>
      </c>
      <c r="K4" s="78">
        <f>IF(ISNA(PctFromPrevRep),"", PctFromPrevRep)</f>
        <v>2.6393895533028955E-2</v>
      </c>
      <c r="L4" s="32"/>
      <c r="M4" s="32"/>
      <c r="N4" s="32"/>
      <c r="P4" s="30">
        <f>IF(COUNTA(Q4:Q4)=0,"", MAX(P$2:P3)+1)</f>
        <v>2</v>
      </c>
      <c r="Q4" s="34" t="str">
        <f t="array" ref="Q4:W4">_xll.OpenApiSubscribeRtd("ExcelTrader_103","PositionId","185735906")</f>
        <v>68525884</v>
      </c>
      <c r="R4" s="34" t="str">
        <v>RTN:xlon</v>
      </c>
      <c r="S4" s="33">
        <v>-2599</v>
      </c>
      <c r="T4" s="33">
        <v>300.10000000000002</v>
      </c>
      <c r="U4" s="33" t="str">
        <v>GBP</v>
      </c>
      <c r="V4" s="33" t="str">
        <v>Restaurant Group</v>
      </c>
      <c r="W4" s="34">
        <v>42928.556951840277</v>
      </c>
      <c r="X4" s="33">
        <f>IF(ISNA(VLOOKUP(U4,Forex!$B$3:$C$8,2,FALSE)),"",VLOOKUP(U4,Forex!$B$3:$C$8,2,FALSE))</f>
        <v>78</v>
      </c>
      <c r="Y4" s="32">
        <f t="shared" ref="Y4:Y53" si="0">IF(ISERR(T4/X4*S4/1000),"", T4/X4*S4/1000)</f>
        <v>-9.999485897435898</v>
      </c>
    </row>
    <row r="5" spans="1:27" s="33" customFormat="1" x14ac:dyDescent="0.25">
      <c r="A5" s="30">
        <f>IF(COUNTA(C5:D5)=0,"", MAX(A$2:A4)+1)</f>
        <v>3</v>
      </c>
      <c r="B5" s="30" t="s">
        <v>0</v>
      </c>
      <c r="C5" s="31" t="str">
        <f t="array" ref="C5:F5">_xll.OpenApiSubscribeRtd("ExcelTrader_99","NetpositionId","VOD:xlon_CfdOnShare")</f>
        <v>VOD:xlon</v>
      </c>
      <c r="D5" s="32">
        <v>0</v>
      </c>
      <c r="E5" s="33" t="str">
        <v>GBP</v>
      </c>
      <c r="F5" s="33">
        <v>0</v>
      </c>
      <c r="G5" s="33">
        <f>IF(ISNA(VLOOKUP(E5,Forex!$B$3:$C$8,2,FALSE)),"",VLOOKUP(E5,Forex!$B$3:$C$8,2,FALSE))</f>
        <v>78</v>
      </c>
      <c r="H5" s="32">
        <f t="shared" ref="H5:H53" si="1">IF(ISERR(F5/G5*D5/1000),"", F5/G5*D5/1000)</f>
        <v>0</v>
      </c>
      <c r="I5" s="32"/>
      <c r="J5" s="76">
        <v>42928</v>
      </c>
      <c r="K5" s="78">
        <f>IF(ISNA(PctFromPrevRep),"", PctFromPrevRep)</f>
        <v>1.5632183908045993E-2</v>
      </c>
      <c r="L5" s="32"/>
      <c r="M5" s="32"/>
      <c r="N5" s="32"/>
      <c r="P5" s="30">
        <f>IF(COUNTA(Q5:Q5)=0,"", MAX(P$2:P4)+1)</f>
        <v>3</v>
      </c>
      <c r="Q5" s="34" t="str">
        <f t="array" ref="Q5:W5">_xll.OpenApiSubscribeRtd("ExcelTrader_103","PositionId","185734650")</f>
        <v>68525322</v>
      </c>
      <c r="R5" s="34" t="str">
        <v>VOD:xlon</v>
      </c>
      <c r="S5" s="33">
        <v>-3558</v>
      </c>
      <c r="T5" s="33">
        <v>219.2</v>
      </c>
      <c r="U5" s="33" t="str">
        <v>GBP</v>
      </c>
      <c r="V5" s="33" t="str">
        <v>Vodafone Group Plc</v>
      </c>
      <c r="W5" s="34">
        <v>42928.53617028935</v>
      </c>
      <c r="X5" s="33">
        <f>IF(ISNA(VLOOKUP(U5,Forex!$B$3:$C$8,2,FALSE)),"",VLOOKUP(U5,Forex!$B$3:$C$8,2,FALSE))</f>
        <v>78</v>
      </c>
      <c r="Y5" s="32">
        <f t="shared" si="0"/>
        <v>-9.9988923076923069</v>
      </c>
    </row>
    <row r="6" spans="1:27" s="33" customFormat="1" x14ac:dyDescent="0.25">
      <c r="A6" s="30" t="str">
        <f>IF(COUNTA(C6:D6)=0,"", MAX(A$2:A5)+1)</f>
        <v/>
      </c>
      <c r="B6" s="30"/>
      <c r="C6" s="31"/>
      <c r="D6" s="32"/>
      <c r="G6" s="33" t="str">
        <f>IF(ISNA(VLOOKUP(E6,Forex!$B$3:$C$8,2,FALSE)),"",VLOOKUP(E6,Forex!$B$3:$C$8,2,FALSE))</f>
        <v/>
      </c>
      <c r="H6" s="32" t="str">
        <f t="shared" si="1"/>
        <v/>
      </c>
      <c r="I6" s="32"/>
      <c r="J6" s="76"/>
      <c r="K6" s="78" t="str">
        <f>IF(ISNA(PctFromPrevRep),"", PctFromPrevRep)</f>
        <v/>
      </c>
      <c r="L6" s="32"/>
      <c r="M6" s="32"/>
      <c r="N6" s="32"/>
      <c r="P6" s="30">
        <f>IF(COUNTA(Q6:Q6)=0,"", MAX(P$2:P5)+1)</f>
        <v>4</v>
      </c>
      <c r="Q6" s="34" t="str">
        <f t="array" ref="Q6:W6">_xll.OpenApiSubscribeRtd("ExcelTrader_103","PositionId","185675496")</f>
        <v>68489006</v>
      </c>
      <c r="R6" s="34" t="str">
        <v>BEKB:xbru</v>
      </c>
      <c r="S6" s="33">
        <v>295</v>
      </c>
      <c r="T6" s="33">
        <v>44.360300000000002</v>
      </c>
      <c r="U6" s="33" t="str">
        <v>EUR</v>
      </c>
      <c r="V6" s="33" t="str">
        <v>Bekaert</v>
      </c>
      <c r="W6" s="34">
        <v>42923.546530555555</v>
      </c>
      <c r="X6" s="33">
        <f>IF(ISNA(VLOOKUP(U6,Forex!$B$3:$C$8,2,FALSE)),"",VLOOKUP(U6,Forex!$B$3:$C$8,2,FALSE))</f>
        <v>0.89</v>
      </c>
      <c r="Y6" s="32">
        <f t="shared" si="0"/>
        <v>14.703694943820224</v>
      </c>
    </row>
    <row r="7" spans="1:27" s="33" customFormat="1" x14ac:dyDescent="0.25">
      <c r="A7" s="30" t="str">
        <f>IF(COUNTA(C7:D7)=0,"", MAX(A$2:A6)+1)</f>
        <v/>
      </c>
      <c r="B7" s="30"/>
      <c r="C7" s="31"/>
      <c r="D7" s="32"/>
      <c r="G7" s="33" t="str">
        <f>IF(ISNA(VLOOKUP(E7,Forex!$B$3:$C$8,2,FALSE)),"",VLOOKUP(E7,Forex!$B$3:$C$8,2,FALSE))</f>
        <v/>
      </c>
      <c r="H7" s="32" t="str">
        <f t="shared" si="1"/>
        <v/>
      </c>
      <c r="I7" s="32"/>
      <c r="J7" s="76"/>
      <c r="K7" s="78" t="str">
        <f>IF(ISNA(PctFromPrevRep),"", PctFromPrevRep)</f>
        <v/>
      </c>
      <c r="L7" s="32"/>
      <c r="M7" s="32"/>
      <c r="N7" s="32"/>
      <c r="P7" s="30">
        <f>IF(COUNTA(Q7:Q7)=0,"", MAX(P$2:P6)+1)</f>
        <v>5</v>
      </c>
      <c r="Q7" s="34" t="str">
        <f t="array" ref="Q7:W7">_xll.OpenApiSubscribeRtd("ExcelTrader_103","PositionId","185755981")</f>
        <v>68537756</v>
      </c>
      <c r="R7" s="34" t="str">
        <v>VOD:xlon</v>
      </c>
      <c r="S7" s="33">
        <v>3466</v>
      </c>
      <c r="T7" s="33">
        <v>222.05</v>
      </c>
      <c r="U7" s="33" t="str">
        <v>GBP</v>
      </c>
      <c r="V7" s="33" t="str">
        <v>Vodafone Group Plc</v>
      </c>
      <c r="W7" s="34">
        <v>42929.554720624998</v>
      </c>
      <c r="X7" s="33">
        <f>IF(ISNA(VLOOKUP(U7,Forex!$B$3:$C$8,2,FALSE)),"",VLOOKUP(U7,Forex!$B$3:$C$8,2,FALSE))</f>
        <v>78</v>
      </c>
      <c r="Y7" s="32">
        <f t="shared" si="0"/>
        <v>9.8669910256410258</v>
      </c>
    </row>
    <row r="8" spans="1:27" s="33" customFormat="1" x14ac:dyDescent="0.25">
      <c r="A8" s="30" t="str">
        <f>IF(COUNTA(C8:D8)=0,"", MAX(A$2:A7)+1)</f>
        <v/>
      </c>
      <c r="B8" s="30"/>
      <c r="C8" s="31"/>
      <c r="D8" s="32"/>
      <c r="G8" s="33" t="str">
        <f>IF(ISNA(VLOOKUP(E8,Forex!$B$3:$C$8,2,FALSE)),"",VLOOKUP(E8,Forex!$B$3:$C$8,2,FALSE))</f>
        <v/>
      </c>
      <c r="H8" s="32" t="str">
        <f t="shared" si="1"/>
        <v/>
      </c>
      <c r="I8" s="32"/>
      <c r="J8" s="76"/>
      <c r="K8" s="78" t="str">
        <f>IF(ISNA(PctFromPrevRep),"", PctFromPrevRep)</f>
        <v/>
      </c>
      <c r="L8" s="32"/>
      <c r="M8" s="32"/>
      <c r="N8" s="32"/>
      <c r="P8" s="30">
        <f>IF(COUNTA(Q8:Q8)=0,"", MAX(P$2:P7)+1)</f>
        <v>6</v>
      </c>
      <c r="Q8" s="34" t="str">
        <f t="array" ref="Q8:W8">_xll.OpenApiSubscribeRtd("ExcelTrader_103","PositionId","185755985")</f>
        <v>68538160</v>
      </c>
      <c r="R8" s="34" t="str">
        <v>VOD:xlon</v>
      </c>
      <c r="S8" s="33">
        <v>3466</v>
      </c>
      <c r="T8" s="33">
        <v>222.05</v>
      </c>
      <c r="U8" s="33" t="str">
        <v>GBP</v>
      </c>
      <c r="V8" s="33" t="str">
        <v>Vodafone Group Plc</v>
      </c>
      <c r="W8" s="34">
        <v>42929.554773796299</v>
      </c>
      <c r="X8" s="33">
        <f>IF(ISNA(VLOOKUP(U8,Forex!$B$3:$C$8,2,FALSE)),"",VLOOKUP(U8,Forex!$B$3:$C$8,2,FALSE))</f>
        <v>78</v>
      </c>
      <c r="Y8" s="32">
        <f t="shared" si="0"/>
        <v>9.8669910256410258</v>
      </c>
    </row>
    <row r="9" spans="1:27" s="33" customFormat="1" x14ac:dyDescent="0.25">
      <c r="A9" s="30" t="str">
        <f>IF(COUNTA(C9:D9)=0,"", MAX(A$2:A8)+1)</f>
        <v/>
      </c>
      <c r="B9" s="30"/>
      <c r="C9" s="31"/>
      <c r="D9" s="32"/>
      <c r="G9" s="33" t="str">
        <f>IF(ISNA(VLOOKUP(E9,Forex!$B$3:$C$8,2,FALSE)),"",VLOOKUP(E9,Forex!$B$3:$C$8,2,FALSE))</f>
        <v/>
      </c>
      <c r="H9" s="32" t="str">
        <f t="shared" si="1"/>
        <v/>
      </c>
      <c r="I9" s="32"/>
      <c r="J9" s="76"/>
      <c r="K9" s="78" t="str">
        <f>IF(ISNA(PctFromPrevRep),"", PctFromPrevRep)</f>
        <v/>
      </c>
      <c r="L9" s="32"/>
      <c r="M9" s="32"/>
      <c r="N9" s="32"/>
      <c r="P9" s="30">
        <f>IF(COUNTA(Q9:Q9)=0,"", MAX(P$2:P8)+1)</f>
        <v>7</v>
      </c>
      <c r="Q9" s="34" t="str">
        <f t="array" ref="Q9:W9">_xll.OpenApiSubscribeRtd("ExcelTrader_103","PositionId","185755987")</f>
        <v>68538161</v>
      </c>
      <c r="R9" s="34" t="str">
        <v>VOD:xlon</v>
      </c>
      <c r="S9" s="33">
        <v>3466</v>
      </c>
      <c r="T9" s="33">
        <v>222.05</v>
      </c>
      <c r="U9" s="33" t="str">
        <v>GBP</v>
      </c>
      <c r="V9" s="33" t="str">
        <v>Vodafone Group Plc</v>
      </c>
      <c r="W9" s="34">
        <v>42929.554803043982</v>
      </c>
      <c r="X9" s="33">
        <f>IF(ISNA(VLOOKUP(U9,Forex!$B$3:$C$8,2,FALSE)),"",VLOOKUP(U9,Forex!$B$3:$C$8,2,FALSE))</f>
        <v>78</v>
      </c>
      <c r="Y9" s="32">
        <f t="shared" si="0"/>
        <v>9.8669910256410258</v>
      </c>
    </row>
    <row r="10" spans="1:27" s="33" customFormat="1" x14ac:dyDescent="0.25">
      <c r="A10" s="30" t="str">
        <f>IF(COUNTA(C10:D10)=0,"", MAX(A$2:A9)+1)</f>
        <v/>
      </c>
      <c r="B10" s="30"/>
      <c r="C10" s="31"/>
      <c r="D10" s="32"/>
      <c r="G10" s="33" t="str">
        <f>IF(ISNA(VLOOKUP(E10,Forex!$B$3:$C$8,2,FALSE)),"",VLOOKUP(E10,Forex!$B$3:$C$8,2,FALSE))</f>
        <v/>
      </c>
      <c r="H10" s="32" t="str">
        <f t="shared" si="1"/>
        <v/>
      </c>
      <c r="I10" s="32"/>
      <c r="J10" s="76"/>
      <c r="K10" s="78" t="str">
        <f>IF(ISNA(PctFromPrevRep),"", PctFromPrevRep)</f>
        <v/>
      </c>
      <c r="L10" s="32"/>
      <c r="M10" s="32"/>
      <c r="N10" s="32"/>
      <c r="P10" s="30">
        <f>IF(COUNTA(Q10:Q10)=0,"", MAX(P$2:P9)+1)</f>
        <v>8</v>
      </c>
      <c r="Q10" s="34" t="str">
        <f t="array" ref="Q10:W10">_xll.OpenApiSubscribeRtd("ExcelTrader_103","PositionId","185755989")</f>
        <v>68538162</v>
      </c>
      <c r="R10" s="34" t="str">
        <v>VOD:xlon</v>
      </c>
      <c r="S10" s="33">
        <v>3466</v>
      </c>
      <c r="T10" s="33">
        <v>222.05</v>
      </c>
      <c r="U10" s="33" t="str">
        <v>GBP</v>
      </c>
      <c r="V10" s="33" t="str">
        <v>Vodafone Group Plc</v>
      </c>
      <c r="W10" s="34">
        <v>42929.554822754631</v>
      </c>
      <c r="X10" s="33">
        <f>IF(ISNA(VLOOKUP(U10,Forex!$B$3:$C$8,2,FALSE)),"",VLOOKUP(U10,Forex!$B$3:$C$8,2,FALSE))</f>
        <v>78</v>
      </c>
      <c r="Y10" s="32">
        <f t="shared" si="0"/>
        <v>9.8669910256410258</v>
      </c>
    </row>
    <row r="11" spans="1:27" s="33" customFormat="1" x14ac:dyDescent="0.25">
      <c r="A11" s="30" t="str">
        <f>IF(COUNTA(C11:D11)=0,"", MAX(A$2:A10)+1)</f>
        <v/>
      </c>
      <c r="B11" s="30"/>
      <c r="C11" s="31"/>
      <c r="D11" s="32"/>
      <c r="G11" s="33" t="str">
        <f>IF(ISNA(VLOOKUP(E11,Forex!$B$3:$C$8,2,FALSE)),"",VLOOKUP(E11,Forex!$B$3:$C$8,2,FALSE))</f>
        <v/>
      </c>
      <c r="H11" s="32" t="str">
        <f t="shared" si="1"/>
        <v/>
      </c>
      <c r="I11" s="32"/>
      <c r="J11" s="76"/>
      <c r="K11" s="78" t="str">
        <f>IF(ISNA(PctFromPrevRep),"", PctFromPrevRep)</f>
        <v/>
      </c>
      <c r="L11" s="32"/>
      <c r="M11" s="32"/>
      <c r="N11" s="32"/>
      <c r="P11" s="30">
        <f>IF(COUNTA(Q11:Q11)=0,"", MAX(P$2:P10)+1)</f>
        <v>9</v>
      </c>
      <c r="Q11" s="34" t="str">
        <f t="array" ref="Q11:W11">_xll.OpenApiSubscribeRtd("ExcelTrader_103","PositionId","185755991")</f>
        <v>68538163</v>
      </c>
      <c r="R11" s="34" t="str">
        <v>VOD:xlon</v>
      </c>
      <c r="S11" s="33">
        <v>3466</v>
      </c>
      <c r="T11" s="33">
        <v>222.05</v>
      </c>
      <c r="U11" s="33" t="str">
        <v>GBP</v>
      </c>
      <c r="V11" s="33" t="str">
        <v>Vodafone Group Plc</v>
      </c>
      <c r="W11" s="34">
        <v>42929.554843854166</v>
      </c>
      <c r="X11" s="33">
        <f>IF(ISNA(VLOOKUP(U11,Forex!$B$3:$C$8,2,FALSE)),"",VLOOKUP(U11,Forex!$B$3:$C$8,2,FALSE))</f>
        <v>78</v>
      </c>
      <c r="Y11" s="32">
        <f t="shared" si="0"/>
        <v>9.8669910256410258</v>
      </c>
    </row>
    <row r="12" spans="1:27" s="33" customFormat="1" x14ac:dyDescent="0.25">
      <c r="A12" s="30" t="str">
        <f>IF(COUNTA(C12:D12)=0,"", MAX(A$2:A11)+1)</f>
        <v/>
      </c>
      <c r="B12" s="30"/>
      <c r="C12" s="31"/>
      <c r="D12" s="32"/>
      <c r="G12" s="33" t="str">
        <f>IF(ISNA(VLOOKUP(E12,Forex!$B$3:$C$8,2,FALSE)),"",VLOOKUP(E12,Forex!$B$3:$C$8,2,FALSE))</f>
        <v/>
      </c>
      <c r="H12" s="32" t="str">
        <f t="shared" si="1"/>
        <v/>
      </c>
      <c r="I12" s="32"/>
      <c r="J12" s="76"/>
      <c r="K12" s="78" t="str">
        <f>IF(ISNA(PctFromPrevRep),"", PctFromPrevRep)</f>
        <v/>
      </c>
      <c r="L12" s="32"/>
      <c r="M12" s="32"/>
      <c r="N12" s="32"/>
      <c r="P12" s="30">
        <f>IF(COUNTA(Q12:Q12)=0,"", MAX(P$2:P11)+1)</f>
        <v>10</v>
      </c>
      <c r="Q12" s="34" t="str">
        <f t="array" ref="Q12:W12">_xll.OpenApiSubscribeRtd("ExcelTrader_103","PositionId","185755993")</f>
        <v>68538165</v>
      </c>
      <c r="R12" s="34" t="str">
        <v>VOD:xlon</v>
      </c>
      <c r="S12" s="33">
        <v>3466</v>
      </c>
      <c r="T12" s="33">
        <v>222.05</v>
      </c>
      <c r="U12" s="33" t="str">
        <v>GBP</v>
      </c>
      <c r="V12" s="33" t="str">
        <v>Vodafone Group Plc</v>
      </c>
      <c r="W12" s="34">
        <v>42929.554933078703</v>
      </c>
      <c r="X12" s="33">
        <f>IF(ISNA(VLOOKUP(U12,Forex!$B$3:$C$8,2,FALSE)),"",VLOOKUP(U12,Forex!$B$3:$C$8,2,FALSE))</f>
        <v>78</v>
      </c>
      <c r="Y12" s="32">
        <f t="shared" si="0"/>
        <v>9.8669910256410258</v>
      </c>
    </row>
    <row r="13" spans="1:27" s="33" customFormat="1" x14ac:dyDescent="0.25">
      <c r="A13" s="30" t="str">
        <f>IF(COUNTA(C13:D13)=0,"", MAX(A$2:A12)+1)</f>
        <v/>
      </c>
      <c r="B13" s="30"/>
      <c r="C13" s="31"/>
      <c r="D13" s="32"/>
      <c r="G13" s="33" t="str">
        <f>IF(ISNA(VLOOKUP(E13,Forex!$B$3:$C$8,2,FALSE)),"",VLOOKUP(E13,Forex!$B$3:$C$8,2,FALSE))</f>
        <v/>
      </c>
      <c r="H13" s="32" t="str">
        <f t="shared" si="1"/>
        <v/>
      </c>
      <c r="I13" s="32"/>
      <c r="J13" s="77"/>
      <c r="K13" s="78" t="str">
        <f>IF(ISNA(PctFromPrevRep),"", PctFromPrevRep)</f>
        <v/>
      </c>
      <c r="L13" s="32"/>
      <c r="M13" s="32"/>
      <c r="N13" s="32"/>
      <c r="P13" s="30">
        <f>IF(COUNTA(Q13:Q13)=0,"", MAX(P$2:P12)+1)</f>
        <v>11</v>
      </c>
      <c r="Q13" s="34" t="str">
        <f t="array" ref="Q13:W13">_xll.OpenApiSubscribeRtd("ExcelTrader_103","PositionId","185756089")</f>
        <v>68538190</v>
      </c>
      <c r="R13" s="34" t="str">
        <v>VOD:xlon</v>
      </c>
      <c r="S13" s="33">
        <v>-3900</v>
      </c>
      <c r="T13" s="33">
        <v>221.9</v>
      </c>
      <c r="U13" s="33" t="str">
        <v>GBP</v>
      </c>
      <c r="V13" s="33" t="str">
        <v>Vodafone Group Plc</v>
      </c>
      <c r="W13" s="34">
        <v>42929.557982326391</v>
      </c>
      <c r="X13" s="33">
        <f>IF(ISNA(VLOOKUP(U13,Forex!$B$3:$C$8,2,FALSE)),"",VLOOKUP(U13,Forex!$B$3:$C$8,2,FALSE))</f>
        <v>78</v>
      </c>
      <c r="Y13" s="32">
        <f t="shared" si="0"/>
        <v>-11.095000000000001</v>
      </c>
    </row>
    <row r="14" spans="1:27" s="33" customFormat="1" x14ac:dyDescent="0.25">
      <c r="A14" s="30" t="str">
        <f>IF(COUNTA(C14:D14)=0,"", MAX(A$2:A13)+1)</f>
        <v/>
      </c>
      <c r="B14" s="30"/>
      <c r="C14" s="31"/>
      <c r="D14" s="32"/>
      <c r="G14" s="33" t="str">
        <f>IF(ISNA(VLOOKUP(E14,Forex!$B$3:$C$8,2,FALSE)),"",VLOOKUP(E14,Forex!$B$3:$C$8,2,FALSE))</f>
        <v/>
      </c>
      <c r="H14" s="32" t="str">
        <f t="shared" si="1"/>
        <v/>
      </c>
      <c r="I14" s="32"/>
      <c r="J14" s="77"/>
      <c r="K14" s="78" t="str">
        <f>IF(ISNA(PctFromPrevRep),"", PctFromPrevRep)</f>
        <v/>
      </c>
      <c r="L14" s="32"/>
      <c r="M14" s="32"/>
      <c r="N14" s="32"/>
      <c r="P14" s="30">
        <f>IF(COUNTA(Q14:Q14)=0,"", MAX(P$2:P13)+1)</f>
        <v>12</v>
      </c>
      <c r="Q14" s="34" t="str">
        <f t="array" ref="Q14:W14">_xll.OpenApiSubscribeRtd("ExcelTrader_103","PositionId","185756111")</f>
        <v>68538199</v>
      </c>
      <c r="R14" s="34" t="str">
        <v>VOD:xlon</v>
      </c>
      <c r="S14" s="33">
        <v>-3900</v>
      </c>
      <c r="T14" s="33">
        <v>221.95</v>
      </c>
      <c r="U14" s="33" t="str">
        <v>GBP</v>
      </c>
      <c r="V14" s="33" t="str">
        <v>Vodafone Group Plc</v>
      </c>
      <c r="W14" s="34">
        <v>42929.559162835649</v>
      </c>
      <c r="X14" s="33">
        <f>IF(ISNA(VLOOKUP(U14,Forex!$B$3:$C$8,2,FALSE)),"",VLOOKUP(U14,Forex!$B$3:$C$8,2,FALSE))</f>
        <v>78</v>
      </c>
      <c r="Y14" s="32">
        <f t="shared" si="0"/>
        <v>-11.097499999999998</v>
      </c>
    </row>
    <row r="15" spans="1:27" s="33" customFormat="1" x14ac:dyDescent="0.25">
      <c r="A15" s="30" t="str">
        <f>IF(COUNTA(C15:D15)=0,"", MAX(A$2:A14)+1)</f>
        <v/>
      </c>
      <c r="B15" s="30"/>
      <c r="C15" s="31"/>
      <c r="D15" s="32"/>
      <c r="G15" s="33" t="str">
        <f>IF(ISNA(VLOOKUP(E15,Forex!$B$3:$C$8,2,FALSE)),"",VLOOKUP(E15,Forex!$B$3:$C$8,2,FALSE))</f>
        <v/>
      </c>
      <c r="H15" s="32" t="str">
        <f t="shared" si="1"/>
        <v/>
      </c>
      <c r="I15" s="32"/>
      <c r="J15" s="77"/>
      <c r="K15" s="78" t="str">
        <f>IF(ISNA(PctFromPrevRep),"", PctFromPrevRep)</f>
        <v/>
      </c>
      <c r="L15" s="32"/>
      <c r="M15" s="32"/>
      <c r="N15" s="32"/>
      <c r="P15" s="30">
        <f>IF(COUNTA(Q15:Q15)=0,"", MAX(P$2:P14)+1)</f>
        <v>13</v>
      </c>
      <c r="Q15" s="34" t="str">
        <f t="array" ref="Q15:W15">_xll.OpenApiSubscribeRtd("ExcelTrader_103","PositionId","185756131")</f>
        <v>68538203</v>
      </c>
      <c r="R15" s="34" t="str">
        <v>VOD:xlon</v>
      </c>
      <c r="S15" s="33">
        <v>-3900</v>
      </c>
      <c r="T15" s="33">
        <v>222</v>
      </c>
      <c r="U15" s="33" t="str">
        <v>GBP</v>
      </c>
      <c r="V15" s="33" t="str">
        <v>Vodafone Group Plc</v>
      </c>
      <c r="W15" s="34">
        <v>42929.559956458332</v>
      </c>
      <c r="X15" s="33">
        <f>IF(ISNA(VLOOKUP(U15,Forex!$B$3:$C$8,2,FALSE)),"",VLOOKUP(U15,Forex!$B$3:$C$8,2,FALSE))</f>
        <v>78</v>
      </c>
      <c r="Y15" s="32">
        <f t="shared" si="0"/>
        <v>-11.1</v>
      </c>
    </row>
    <row r="16" spans="1:27" s="33" customFormat="1" x14ac:dyDescent="0.25">
      <c r="A16" s="30" t="str">
        <f>IF(COUNTA(C16:D16)=0,"", MAX(A$2:A15)+1)</f>
        <v/>
      </c>
      <c r="B16" s="30"/>
      <c r="C16" s="31"/>
      <c r="D16" s="32"/>
      <c r="G16" s="33" t="str">
        <f>IF(ISNA(VLOOKUP(E16,Forex!$B$3:$C$8,2,FALSE)),"",VLOOKUP(E16,Forex!$B$3:$C$8,2,FALSE))</f>
        <v/>
      </c>
      <c r="H16" s="32" t="str">
        <f t="shared" si="1"/>
        <v/>
      </c>
      <c r="I16" s="32"/>
      <c r="J16" s="77"/>
      <c r="K16" s="78" t="str">
        <f>IF(ISNA(PctFromPrevRep),"", PctFromPrevRep)</f>
        <v/>
      </c>
      <c r="L16" s="32"/>
      <c r="M16" s="32"/>
      <c r="N16" s="32"/>
      <c r="P16" s="30">
        <f>IF(COUNTA(Q16:Q16)=0,"", MAX(P$2:P15)+1)</f>
        <v>14</v>
      </c>
      <c r="Q16" s="34" t="str">
        <f t="array" ref="Q16:W16">_xll.OpenApiSubscribeRtd("ExcelTrader_103","PositionId","185756705")</f>
        <v>68538215</v>
      </c>
      <c r="R16" s="34" t="str">
        <v>VOD:xlon</v>
      </c>
      <c r="S16" s="33">
        <v>-3900</v>
      </c>
      <c r="T16" s="33">
        <v>221.7</v>
      </c>
      <c r="U16" s="33" t="str">
        <v>GBP</v>
      </c>
      <c r="V16" s="33" t="str">
        <v>Vodafone Group Plc</v>
      </c>
      <c r="W16" s="34">
        <v>42929.563281921299</v>
      </c>
      <c r="X16" s="33">
        <f>IF(ISNA(VLOOKUP(U16,Forex!$B$3:$C$8,2,FALSE)),"",VLOOKUP(U16,Forex!$B$3:$C$8,2,FALSE))</f>
        <v>78</v>
      </c>
      <c r="Y16" s="32">
        <f t="shared" si="0"/>
        <v>-11.084999999999997</v>
      </c>
    </row>
    <row r="17" spans="1:25" s="33" customFormat="1" x14ac:dyDescent="0.25">
      <c r="A17" s="30" t="str">
        <f>IF(COUNTA(C17:D17)=0,"", MAX(A$2:A16)+1)</f>
        <v/>
      </c>
      <c r="B17" s="30"/>
      <c r="C17" s="31"/>
      <c r="D17" s="32"/>
      <c r="G17" s="33" t="str">
        <f>IF(ISNA(VLOOKUP(E17,Forex!$B$3:$C$8,2,FALSE)),"",VLOOKUP(E17,Forex!$B$3:$C$8,2,FALSE))</f>
        <v/>
      </c>
      <c r="H17" s="32" t="str">
        <f t="shared" si="1"/>
        <v/>
      </c>
      <c r="I17" s="32"/>
      <c r="J17" s="76"/>
      <c r="K17" s="78" t="str">
        <f>IF(ISNA(PctFromPrevRep),"", PctFromPrevRep)</f>
        <v/>
      </c>
      <c r="L17" s="32"/>
      <c r="M17" s="32"/>
      <c r="N17" s="32"/>
      <c r="P17" s="30">
        <f>IF(COUNTA(Q17:Q17)=0,"", MAX(P$2:P16)+1)</f>
        <v>15</v>
      </c>
      <c r="Q17" s="34" t="str">
        <f t="array" ref="Q17:W17">_xll.OpenApiSubscribeRtd("ExcelTrader_103","PositionId","185756735")</f>
        <v>68538218</v>
      </c>
      <c r="R17" s="34" t="str">
        <v>VOD:xlon</v>
      </c>
      <c r="S17" s="33">
        <v>-3900</v>
      </c>
      <c r="T17" s="33">
        <v>221.85</v>
      </c>
      <c r="U17" s="33" t="str">
        <v>GBP</v>
      </c>
      <c r="V17" s="33" t="str">
        <v>Vodafone Group Plc</v>
      </c>
      <c r="W17" s="34">
        <v>42929.564005451386</v>
      </c>
      <c r="X17" s="33">
        <f>IF(ISNA(VLOOKUP(U17,Forex!$B$3:$C$8,2,FALSE)),"",VLOOKUP(U17,Forex!$B$3:$C$8,2,FALSE))</f>
        <v>78</v>
      </c>
      <c r="Y17" s="32">
        <f t="shared" si="0"/>
        <v>-11.092499999999999</v>
      </c>
    </row>
    <row r="18" spans="1:25" s="33" customFormat="1" x14ac:dyDescent="0.25">
      <c r="A18" s="30" t="str">
        <f>IF(COUNTA(C18:D18)=0,"", MAX(A$2:A17)+1)</f>
        <v/>
      </c>
      <c r="B18" s="30"/>
      <c r="C18" s="31"/>
      <c r="D18" s="32"/>
      <c r="G18" s="33" t="str">
        <f>IF(ISNA(VLOOKUP(E18,Forex!$B$3:$C$8,2,FALSE)),"",VLOOKUP(E18,Forex!$B$3:$C$8,2,FALSE))</f>
        <v/>
      </c>
      <c r="H18" s="32" t="str">
        <f t="shared" si="1"/>
        <v/>
      </c>
      <c r="I18" s="32"/>
      <c r="J18" s="76"/>
      <c r="K18" s="78" t="str">
        <f>IF(ISNA(PctFromPrevRep),"", PctFromPrevRep)</f>
        <v/>
      </c>
      <c r="L18" s="32"/>
      <c r="M18" s="32"/>
      <c r="N18" s="32"/>
      <c r="P18" s="30">
        <f>IF(COUNTA(Q18:Q18)=0,"", MAX(P$2:P17)+1)</f>
        <v>16</v>
      </c>
      <c r="Q18" s="34" t="str">
        <f t="array" ref="Q18:W18">_xll.OpenApiSubscribeRtd("ExcelTrader_103","PositionId","185756785")</f>
        <v>68538220</v>
      </c>
      <c r="R18" s="34" t="str">
        <v>VOD:xlon</v>
      </c>
      <c r="S18" s="33">
        <v>-3900</v>
      </c>
      <c r="T18" s="33">
        <v>221.8</v>
      </c>
      <c r="U18" s="33" t="str">
        <v>GBP</v>
      </c>
      <c r="V18" s="33" t="str">
        <v>Vodafone Group Plc</v>
      </c>
      <c r="W18" s="34">
        <v>42929.564816273145</v>
      </c>
      <c r="X18" s="33">
        <f>IF(ISNA(VLOOKUP(U18,Forex!$B$3:$C$8,2,FALSE)),"",VLOOKUP(U18,Forex!$B$3:$C$8,2,FALSE))</f>
        <v>78</v>
      </c>
      <c r="Y18" s="32">
        <f t="shared" si="0"/>
        <v>-11.09</v>
      </c>
    </row>
    <row r="19" spans="1:25" s="33" customFormat="1" x14ac:dyDescent="0.25">
      <c r="A19" s="30" t="str">
        <f>IF(COUNTA(C19:D19)=0,"", MAX(A$2:A18)+1)</f>
        <v/>
      </c>
      <c r="B19" s="30"/>
      <c r="C19" s="31"/>
      <c r="D19" s="32"/>
      <c r="G19" s="33" t="str">
        <f>IF(ISNA(VLOOKUP(E19,Forex!$B$3:$C$8,2,FALSE)),"",VLOOKUP(E19,Forex!$B$3:$C$8,2,FALSE))</f>
        <v/>
      </c>
      <c r="H19" s="32" t="str">
        <f t="shared" si="1"/>
        <v/>
      </c>
      <c r="I19" s="32"/>
      <c r="J19" s="76"/>
      <c r="K19" s="78" t="str">
        <f>IF(ISNA(PctFromPrevRep),"", PctFromPrevRep)</f>
        <v/>
      </c>
      <c r="L19" s="32"/>
      <c r="M19" s="32"/>
      <c r="N19" s="32"/>
      <c r="P19" s="30">
        <f>IF(COUNTA(Q19:Q19)=0,"", MAX(P$2:P18)+1)</f>
        <v>17</v>
      </c>
      <c r="Q19" s="34" t="str">
        <f t="array" ref="Q19:W19">_xll.OpenApiSubscribeRtd("ExcelTrader_103","PositionId","185756909")</f>
        <v>68538224</v>
      </c>
      <c r="R19" s="34" t="str">
        <v>VOD:xlon</v>
      </c>
      <c r="S19" s="33">
        <v>3391</v>
      </c>
      <c r="T19" s="33">
        <v>222</v>
      </c>
      <c r="U19" s="33" t="str">
        <v>GBP</v>
      </c>
      <c r="V19" s="33" t="str">
        <v>Vodafone Group Plc</v>
      </c>
      <c r="W19" s="34">
        <v>42929.566344085652</v>
      </c>
      <c r="X19" s="33">
        <f>IF(ISNA(VLOOKUP(U19,Forex!$B$3:$C$8,2,FALSE)),"",VLOOKUP(U19,Forex!$B$3:$C$8,2,FALSE))</f>
        <v>78</v>
      </c>
      <c r="Y19" s="32">
        <f t="shared" si="0"/>
        <v>9.651307692307693</v>
      </c>
    </row>
    <row r="20" spans="1:25" s="33" customFormat="1" x14ac:dyDescent="0.25">
      <c r="A20" s="30" t="str">
        <f>IF(COUNTA(C20:D20)=0,"", MAX(A$2:A19)+1)</f>
        <v/>
      </c>
      <c r="B20" s="30"/>
      <c r="C20" s="31"/>
      <c r="D20" s="32"/>
      <c r="G20" s="33" t="str">
        <f>IF(ISNA(VLOOKUP(E20,Forex!$B$3:$C$8,2,FALSE)),"",VLOOKUP(E20,Forex!$B$3:$C$8,2,FALSE))</f>
        <v/>
      </c>
      <c r="H20" s="32" t="str">
        <f t="shared" si="1"/>
        <v/>
      </c>
      <c r="I20" s="32"/>
      <c r="J20" s="76"/>
      <c r="K20" s="78" t="str">
        <f>IF(ISNA(PctFromPrevRep),"", PctFromPrevRep)</f>
        <v/>
      </c>
      <c r="L20" s="32"/>
      <c r="M20" s="32"/>
      <c r="N20" s="32"/>
      <c r="P20" s="30">
        <f>IF(COUNTA(Q20:Q20)=0,"", MAX(P$2:P19)+1)</f>
        <v>18</v>
      </c>
      <c r="Q20" s="34" t="str">
        <f t="array" ref="Q20:W20">_xll.OpenApiSubscribeRtd("ExcelTrader_103","PositionId","185756911")</f>
        <v>68538225</v>
      </c>
      <c r="R20" s="34" t="str">
        <v>VOD:xlon</v>
      </c>
      <c r="S20" s="33">
        <v>3391</v>
      </c>
      <c r="T20" s="33">
        <v>222</v>
      </c>
      <c r="U20" s="33" t="str">
        <v>GBP</v>
      </c>
      <c r="V20" s="33" t="str">
        <v>Vodafone Group Plc</v>
      </c>
      <c r="W20" s="34">
        <v>42929.566457222223</v>
      </c>
      <c r="X20" s="33">
        <f>IF(ISNA(VLOOKUP(U20,Forex!$B$3:$C$8,2,FALSE)),"",VLOOKUP(U20,Forex!$B$3:$C$8,2,FALSE))</f>
        <v>78</v>
      </c>
      <c r="Y20" s="32">
        <f t="shared" si="0"/>
        <v>9.651307692307693</v>
      </c>
    </row>
    <row r="21" spans="1:25" s="33" customFormat="1" x14ac:dyDescent="0.25">
      <c r="A21" s="30" t="str">
        <f>IF(COUNTA(C21:D21)=0,"", MAX(A$2:A20)+1)</f>
        <v/>
      </c>
      <c r="B21" s="30"/>
      <c r="C21" s="31"/>
      <c r="D21" s="32"/>
      <c r="G21" s="33" t="str">
        <f>IF(ISNA(VLOOKUP(E21,Forex!$B$3:$C$8,2,FALSE)),"",VLOOKUP(E21,Forex!$B$3:$C$8,2,FALSE))</f>
        <v/>
      </c>
      <c r="H21" s="32" t="str">
        <f t="shared" si="1"/>
        <v/>
      </c>
      <c r="I21" s="32"/>
      <c r="J21" s="76"/>
      <c r="K21" s="78" t="str">
        <f>IF(ISNA(PctFromPrevRep),"", PctFromPrevRep)</f>
        <v/>
      </c>
      <c r="L21" s="32"/>
      <c r="M21" s="32"/>
      <c r="N21" s="32"/>
      <c r="P21" s="30">
        <f>IF(COUNTA(Q21:Q21)=0,"", MAX(P$2:P20)+1)</f>
        <v>19</v>
      </c>
      <c r="Q21" s="34" t="str">
        <f t="array" ref="Q21:W21">_xll.OpenApiSubscribeRtd("ExcelTrader_103","PositionId","185756919")</f>
        <v>68538226</v>
      </c>
      <c r="R21" s="34" t="str">
        <v>VOD:xlon</v>
      </c>
      <c r="S21" s="33">
        <v>3391</v>
      </c>
      <c r="T21" s="33">
        <v>222</v>
      </c>
      <c r="U21" s="33" t="str">
        <v>GBP</v>
      </c>
      <c r="V21" s="33" t="str">
        <v>Vodafone Group Plc</v>
      </c>
      <c r="W21" s="34">
        <v>42929.566569467592</v>
      </c>
      <c r="X21" s="33">
        <f>IF(ISNA(VLOOKUP(U21,Forex!$B$3:$C$8,2,FALSE)),"",VLOOKUP(U21,Forex!$B$3:$C$8,2,FALSE))</f>
        <v>78</v>
      </c>
      <c r="Y21" s="32">
        <f t="shared" si="0"/>
        <v>9.651307692307693</v>
      </c>
    </row>
    <row r="22" spans="1:25" s="33" customFormat="1" x14ac:dyDescent="0.25">
      <c r="A22" s="30" t="str">
        <f>IF(COUNTA(C22:D22)=0,"", MAX(A$2:A21)+1)</f>
        <v/>
      </c>
      <c r="B22" s="30"/>
      <c r="C22" s="31"/>
      <c r="D22" s="32"/>
      <c r="G22" s="33" t="str">
        <f>IF(ISNA(VLOOKUP(E22,Forex!$B$3:$C$8,2,FALSE)),"",VLOOKUP(E22,Forex!$B$3:$C$8,2,FALSE))</f>
        <v/>
      </c>
      <c r="H22" s="32" t="str">
        <f t="shared" si="1"/>
        <v/>
      </c>
      <c r="I22" s="32"/>
      <c r="J22" s="77"/>
      <c r="K22" s="78" t="str">
        <f>IF(ISNA(PctFromPrevRep),"", PctFromPrevRep)</f>
        <v/>
      </c>
      <c r="L22" s="32"/>
      <c r="M22" s="32"/>
      <c r="N22" s="32"/>
      <c r="P22" s="30">
        <f>IF(COUNTA(Q22:Q22)=0,"", MAX(P$2:P21)+1)</f>
        <v>20</v>
      </c>
      <c r="Q22" s="34" t="str">
        <f t="array" ref="Q22:W22">_xll.OpenApiSubscribeRtd("ExcelTrader_103","PositionId","185756929")</f>
        <v>68538227</v>
      </c>
      <c r="R22" s="34" t="str">
        <v>VOD:xlon</v>
      </c>
      <c r="S22" s="33">
        <v>3391</v>
      </c>
      <c r="T22" s="33">
        <v>222</v>
      </c>
      <c r="U22" s="33" t="str">
        <v>GBP</v>
      </c>
      <c r="V22" s="33" t="str">
        <v>Vodafone Group Plc</v>
      </c>
      <c r="W22" s="34">
        <v>42929.566680983793</v>
      </c>
      <c r="X22" s="33">
        <f>IF(ISNA(VLOOKUP(U22,Forex!$B$3:$C$8,2,FALSE)),"",VLOOKUP(U22,Forex!$B$3:$C$8,2,FALSE))</f>
        <v>78</v>
      </c>
      <c r="Y22" s="32">
        <f t="shared" si="0"/>
        <v>9.651307692307693</v>
      </c>
    </row>
    <row r="23" spans="1:25" s="33" customFormat="1" x14ac:dyDescent="0.25">
      <c r="A23" s="30" t="str">
        <f>IF(COUNTA(C23:D23)=0,"", MAX(A$2:A22)+1)</f>
        <v/>
      </c>
      <c r="B23" s="30"/>
      <c r="C23" s="31"/>
      <c r="D23" s="32"/>
      <c r="G23" s="33" t="str">
        <f>IF(ISNA(VLOOKUP(E23,Forex!$B$3:$C$8,2,FALSE)),"",VLOOKUP(E23,Forex!$B$3:$C$8,2,FALSE))</f>
        <v/>
      </c>
      <c r="H23" s="32" t="str">
        <f t="shared" si="1"/>
        <v/>
      </c>
      <c r="I23" s="32"/>
      <c r="J23" s="77"/>
      <c r="K23" s="78" t="str">
        <f>IF(ISNA(PctFromPrevRep),"", PctFromPrevRep)</f>
        <v/>
      </c>
      <c r="L23" s="32"/>
      <c r="M23" s="32"/>
      <c r="N23" s="32"/>
      <c r="P23" s="30">
        <f>IF(COUNTA(Q23:Q23)=0,"", MAX(P$2:P22)+1)</f>
        <v>21</v>
      </c>
      <c r="Q23" s="34" t="str">
        <f t="array" ref="Q23:W23">_xll.OpenApiSubscribeRtd("ExcelTrader_103","PositionId","185756935")</f>
        <v>68538228</v>
      </c>
      <c r="R23" s="34" t="str">
        <v>VOD:xlon</v>
      </c>
      <c r="S23" s="33">
        <v>3391</v>
      </c>
      <c r="T23" s="33">
        <v>222</v>
      </c>
      <c r="U23" s="33" t="str">
        <v>GBP</v>
      </c>
      <c r="V23" s="33" t="str">
        <v>Vodafone Group Plc</v>
      </c>
      <c r="W23" s="34">
        <v>42929.566793124999</v>
      </c>
      <c r="X23" s="33">
        <f>IF(ISNA(VLOOKUP(U23,Forex!$B$3:$C$8,2,FALSE)),"",VLOOKUP(U23,Forex!$B$3:$C$8,2,FALSE))</f>
        <v>78</v>
      </c>
      <c r="Y23" s="32">
        <f t="shared" si="0"/>
        <v>9.651307692307693</v>
      </c>
    </row>
    <row r="24" spans="1:25" s="33" customFormat="1" x14ac:dyDescent="0.25">
      <c r="A24" s="30" t="str">
        <f>IF(COUNTA(C24:D24)=0,"", MAX(A$2:A23)+1)</f>
        <v/>
      </c>
      <c r="B24" s="30"/>
      <c r="C24" s="31"/>
      <c r="D24" s="32"/>
      <c r="G24" s="33" t="str">
        <f>IF(ISNA(VLOOKUP(E24,Forex!$B$3:$C$8,2,FALSE)),"",VLOOKUP(E24,Forex!$B$3:$C$8,2,FALSE))</f>
        <v/>
      </c>
      <c r="H24" s="32" t="str">
        <f t="shared" si="1"/>
        <v/>
      </c>
      <c r="I24" s="32"/>
      <c r="J24" s="77"/>
      <c r="K24" s="78" t="str">
        <f>IF(ISNA(PctFromPrevRep),"", PctFromPrevRep)</f>
        <v/>
      </c>
      <c r="L24" s="32"/>
      <c r="M24" s="32"/>
      <c r="N24" s="32"/>
      <c r="P24" s="30">
        <f>IF(COUNTA(Q24:Q24)=0,"", MAX(P$2:P23)+1)</f>
        <v>22</v>
      </c>
      <c r="Q24" s="34" t="str">
        <f t="array" ref="Q24:W24">_xll.OpenApiSubscribeRtd("ExcelTrader_103","PositionId","185756943")</f>
        <v>68538230</v>
      </c>
      <c r="R24" s="34" t="str">
        <v>VOD:xlon</v>
      </c>
      <c r="S24" s="33">
        <v>3391</v>
      </c>
      <c r="T24" s="33">
        <v>222</v>
      </c>
      <c r="U24" s="33" t="str">
        <v>GBP</v>
      </c>
      <c r="V24" s="33" t="str">
        <v>Vodafone Group Plc</v>
      </c>
      <c r="W24" s="34">
        <v>42929.566905219908</v>
      </c>
      <c r="X24" s="33">
        <f>IF(ISNA(VLOOKUP(U24,Forex!$B$3:$C$8,2,FALSE)),"",VLOOKUP(U24,Forex!$B$3:$C$8,2,FALSE))</f>
        <v>78</v>
      </c>
      <c r="Y24" s="32">
        <f t="shared" si="0"/>
        <v>9.651307692307693</v>
      </c>
    </row>
    <row r="25" spans="1:25" s="33" customFormat="1" x14ac:dyDescent="0.25">
      <c r="A25" s="30" t="str">
        <f>IF(COUNTA(C25:D25)=0,"", MAX(A$2:A24)+1)</f>
        <v/>
      </c>
      <c r="B25" s="30"/>
      <c r="C25" s="31"/>
      <c r="D25" s="32"/>
      <c r="G25" s="33" t="str">
        <f>IF(ISNA(VLOOKUP(E25,Forex!$B$3:$C$8,2,FALSE)),"",VLOOKUP(E25,Forex!$B$3:$C$8,2,FALSE))</f>
        <v/>
      </c>
      <c r="H25" s="32" t="str">
        <f t="shared" si="1"/>
        <v/>
      </c>
      <c r="I25" s="32"/>
      <c r="J25" s="77"/>
      <c r="K25" s="78" t="str">
        <f>IF(ISNA(PctFromPrevRep),"", PctFromPrevRep)</f>
        <v/>
      </c>
      <c r="L25" s="32"/>
      <c r="M25" s="32"/>
      <c r="N25" s="32"/>
      <c r="P25" s="30">
        <f>IF(COUNTA(Q25:Q25)=0,"", MAX(P$2:P24)+1)</f>
        <v>23</v>
      </c>
      <c r="Q25" s="34" t="str">
        <f t="array" ref="Q25:W25">_xll.OpenApiSubscribeRtd("ExcelTrader_103","PositionId","185757055")</f>
        <v>68538244</v>
      </c>
      <c r="R25" s="34" t="str">
        <v>VOD:xlon</v>
      </c>
      <c r="S25" s="33">
        <v>-3900</v>
      </c>
      <c r="T25" s="33">
        <v>221.9</v>
      </c>
      <c r="U25" s="33" t="str">
        <v>GBP</v>
      </c>
      <c r="V25" s="33" t="str">
        <v>Vodafone Group Plc</v>
      </c>
      <c r="W25" s="34">
        <v>42929.56858712963</v>
      </c>
      <c r="X25" s="33">
        <f>IF(ISNA(VLOOKUP(U25,Forex!$B$3:$C$8,2,FALSE)),"",VLOOKUP(U25,Forex!$B$3:$C$8,2,FALSE))</f>
        <v>78</v>
      </c>
      <c r="Y25" s="32">
        <f t="shared" si="0"/>
        <v>-11.095000000000001</v>
      </c>
    </row>
    <row r="26" spans="1:25" s="33" customFormat="1" x14ac:dyDescent="0.25">
      <c r="A26" s="30" t="str">
        <f>IF(COUNTA(C26:D26)=0,"", MAX(A$2:A25)+1)</f>
        <v/>
      </c>
      <c r="B26" s="30"/>
      <c r="C26" s="31"/>
      <c r="D26" s="32"/>
      <c r="G26" s="33" t="str">
        <f>IF(ISNA(VLOOKUP(E26,Forex!$B$3:$C$8,2,FALSE)),"",VLOOKUP(E26,Forex!$B$3:$C$8,2,FALSE))</f>
        <v/>
      </c>
      <c r="H26" s="32" t="str">
        <f t="shared" si="1"/>
        <v/>
      </c>
      <c r="I26" s="32"/>
      <c r="J26" s="77"/>
      <c r="K26" s="78" t="str">
        <f>IF(ISNA(PctFromPrevRep),"", PctFromPrevRep)</f>
        <v/>
      </c>
      <c r="L26" s="32"/>
      <c r="M26" s="32"/>
      <c r="N26" s="32"/>
      <c r="P26" s="30">
        <f>IF(COUNTA(Q26:Q26)=0,"", MAX(P$2:P25)+1)</f>
        <v>24</v>
      </c>
      <c r="Q26" s="34" t="str">
        <f t="array" ref="Q26:W26">_xll.OpenApiSubscribeRtd("ExcelTrader_103","PositionId","185757101")</f>
        <v>68538248</v>
      </c>
      <c r="R26" s="34" t="str">
        <v>VOD:xlon</v>
      </c>
      <c r="S26" s="33">
        <v>-3900</v>
      </c>
      <c r="T26" s="33">
        <v>221.85</v>
      </c>
      <c r="U26" s="33" t="str">
        <v>GBP</v>
      </c>
      <c r="V26" s="33" t="str">
        <v>Vodafone Group Plc</v>
      </c>
      <c r="W26" s="34">
        <v>42929.568831180557</v>
      </c>
      <c r="X26" s="33">
        <f>IF(ISNA(VLOOKUP(U26,Forex!$B$3:$C$8,2,FALSE)),"",VLOOKUP(U26,Forex!$B$3:$C$8,2,FALSE))</f>
        <v>78</v>
      </c>
      <c r="Y26" s="32">
        <f t="shared" si="0"/>
        <v>-11.092499999999999</v>
      </c>
    </row>
    <row r="27" spans="1:25" s="33" customFormat="1" x14ac:dyDescent="0.25">
      <c r="A27" s="30" t="str">
        <f>IF(COUNTA(C27:D27)=0,"", MAX(A$2:A26)+1)</f>
        <v/>
      </c>
      <c r="B27" s="30"/>
      <c r="C27" s="31"/>
      <c r="D27" s="32"/>
      <c r="G27" s="33" t="str">
        <f>IF(ISNA(VLOOKUP(E27,Forex!$B$3:$C$8,2,FALSE)),"",VLOOKUP(E27,Forex!$B$3:$C$8,2,FALSE))</f>
        <v/>
      </c>
      <c r="H27" s="32" t="str">
        <f t="shared" si="1"/>
        <v/>
      </c>
      <c r="I27" s="32"/>
      <c r="J27" s="77"/>
      <c r="K27" s="78" t="str">
        <f>IF(ISNA(PctFromPrevRep),"", PctFromPrevRep)</f>
        <v/>
      </c>
      <c r="L27" s="32"/>
      <c r="M27" s="32"/>
      <c r="N27" s="32"/>
      <c r="P27" s="30">
        <f>IF(COUNTA(Q27:Q27)=0,"", MAX(P$2:P26)+1)</f>
        <v>25</v>
      </c>
      <c r="Q27" s="34" t="str">
        <f t="array" ref="Q27:W27">_xll.OpenApiSubscribeRtd("ExcelTrader_103","PositionId","185757111")</f>
        <v>68538251</v>
      </c>
      <c r="R27" s="34" t="str">
        <v>VOD:xlon</v>
      </c>
      <c r="S27" s="33">
        <v>-3900</v>
      </c>
      <c r="T27" s="33">
        <v>221.75</v>
      </c>
      <c r="U27" s="33" t="str">
        <v>GBP</v>
      </c>
      <c r="V27" s="33" t="str">
        <v>Vodafone Group Plc</v>
      </c>
      <c r="W27" s="34">
        <v>42929.56919101852</v>
      </c>
      <c r="X27" s="33">
        <f>IF(ISNA(VLOOKUP(U27,Forex!$B$3:$C$8,2,FALSE)),"",VLOOKUP(U27,Forex!$B$3:$C$8,2,FALSE))</f>
        <v>78</v>
      </c>
      <c r="Y27" s="32">
        <f t="shared" si="0"/>
        <v>-11.0875</v>
      </c>
    </row>
    <row r="28" spans="1:25" s="33" customFormat="1" x14ac:dyDescent="0.25">
      <c r="A28" s="30" t="str">
        <f>IF(COUNTA(C28:D28)=0,"", MAX(A$2:A27)+1)</f>
        <v/>
      </c>
      <c r="B28" s="30"/>
      <c r="C28" s="31"/>
      <c r="D28" s="32"/>
      <c r="G28" s="33" t="str">
        <f>IF(ISNA(VLOOKUP(E28,Forex!$B$3:$C$8,2,FALSE)),"",VLOOKUP(E28,Forex!$B$3:$C$8,2,FALSE))</f>
        <v/>
      </c>
      <c r="H28" s="32" t="str">
        <f t="shared" si="1"/>
        <v/>
      </c>
      <c r="I28" s="32"/>
      <c r="J28" s="77"/>
      <c r="K28" s="78" t="str">
        <f>IF(ISNA(PctFromPrevRep),"", PctFromPrevRep)</f>
        <v/>
      </c>
      <c r="L28" s="32"/>
      <c r="M28" s="32"/>
      <c r="N28" s="32"/>
      <c r="P28" s="30">
        <f>IF(COUNTA(Q28:Q28)=0,"", MAX(P$2:P27)+1)</f>
        <v>26</v>
      </c>
      <c r="Q28" s="34" t="str">
        <f t="array" ref="Q28:W28">_xll.OpenApiSubscribeRtd("ExcelTrader_103","PositionId","185757191")</f>
        <v>68538254</v>
      </c>
      <c r="R28" s="34" t="str">
        <v>VOD:xlon</v>
      </c>
      <c r="S28" s="33">
        <v>-3900</v>
      </c>
      <c r="T28" s="33">
        <v>222</v>
      </c>
      <c r="U28" s="33" t="str">
        <v>GBP</v>
      </c>
      <c r="V28" s="33" t="str">
        <v>Vodafone Group Plc</v>
      </c>
      <c r="W28" s="34">
        <v>42929.570455868059</v>
      </c>
      <c r="X28" s="33">
        <f>IF(ISNA(VLOOKUP(U28,Forex!$B$3:$C$8,2,FALSE)),"",VLOOKUP(U28,Forex!$B$3:$C$8,2,FALSE))</f>
        <v>78</v>
      </c>
      <c r="Y28" s="32">
        <f t="shared" si="0"/>
        <v>-11.1</v>
      </c>
    </row>
    <row r="29" spans="1:25" s="33" customFormat="1" x14ac:dyDescent="0.25">
      <c r="A29" s="30" t="str">
        <f>IF(COUNTA(C29:D29)=0,"", MAX(A$2:A28)+1)</f>
        <v/>
      </c>
      <c r="B29" s="30"/>
      <c r="C29" s="31"/>
      <c r="D29" s="32"/>
      <c r="G29" s="33" t="str">
        <f>IF(ISNA(VLOOKUP(E29,Forex!$B$3:$C$8,2,FALSE)),"",VLOOKUP(E29,Forex!$B$3:$C$8,2,FALSE))</f>
        <v/>
      </c>
      <c r="H29" s="32" t="str">
        <f t="shared" si="1"/>
        <v/>
      </c>
      <c r="I29" s="32"/>
      <c r="J29" s="77"/>
      <c r="K29" s="78" t="str">
        <f>IF(ISNA(PctFromPrevRep),"", PctFromPrevRep)</f>
        <v/>
      </c>
      <c r="L29" s="32"/>
      <c r="M29" s="32"/>
      <c r="N29" s="32"/>
      <c r="P29" s="30">
        <f>IF(COUNTA(Q29:Q29)=0,"", MAX(P$2:P28)+1)</f>
        <v>27</v>
      </c>
      <c r="Q29" s="34" t="str">
        <f t="array" ref="Q29:W29">_xll.OpenApiSubscribeRtd("ExcelTrader_103","PositionId","185757359")</f>
        <v>68538471</v>
      </c>
      <c r="R29" s="34" t="str">
        <v>VOD:xlon</v>
      </c>
      <c r="S29" s="33">
        <v>1416</v>
      </c>
      <c r="T29" s="33">
        <v>222</v>
      </c>
      <c r="U29" s="33" t="str">
        <v>GBP</v>
      </c>
      <c r="V29" s="33" t="str">
        <v>Vodafone Group Plc</v>
      </c>
      <c r="W29" s="34">
        <v>42929.575361840281</v>
      </c>
      <c r="X29" s="33">
        <f>IF(ISNA(VLOOKUP(U29,Forex!$B$3:$C$8,2,FALSE)),"",VLOOKUP(U29,Forex!$B$3:$C$8,2,FALSE))</f>
        <v>78</v>
      </c>
      <c r="Y29" s="32">
        <f t="shared" si="0"/>
        <v>4.030153846153846</v>
      </c>
    </row>
    <row r="30" spans="1:25" s="33" customFormat="1" x14ac:dyDescent="0.25">
      <c r="A30" s="30" t="str">
        <f>IF(COUNTA(C30:D30)=0,"", MAX(A$2:A29)+1)</f>
        <v/>
      </c>
      <c r="B30" s="30"/>
      <c r="C30" s="31"/>
      <c r="D30" s="32"/>
      <c r="G30" s="33" t="str">
        <f>IF(ISNA(VLOOKUP(E30,Forex!$B$3:$C$8,2,FALSE)),"",VLOOKUP(E30,Forex!$B$3:$C$8,2,FALSE))</f>
        <v/>
      </c>
      <c r="H30" s="32" t="str">
        <f t="shared" si="1"/>
        <v/>
      </c>
      <c r="I30" s="32"/>
      <c r="J30" s="77"/>
      <c r="K30" s="78" t="str">
        <f>IF(ISNA(PctFromPrevRep),"", PctFromPrevRep)</f>
        <v/>
      </c>
      <c r="L30" s="32"/>
      <c r="M30" s="32"/>
      <c r="N30" s="32"/>
      <c r="P30" s="30">
        <f>IF(COUNTA(Q30:Q30)=0,"", MAX(P$2:P29)+1)</f>
        <v>28</v>
      </c>
      <c r="Q30" s="34" t="str">
        <f t="array" ref="Q30:W30">_xll.OpenApiSubscribeRtd("ExcelTrader_103","PositionId","185757397")</f>
        <v>68538476</v>
      </c>
      <c r="R30" s="34" t="str">
        <v>VOD:xlon</v>
      </c>
      <c r="S30" s="33">
        <v>3391</v>
      </c>
      <c r="T30" s="33">
        <v>222</v>
      </c>
      <c r="U30" s="33" t="str">
        <v>GBP</v>
      </c>
      <c r="V30" s="33" t="str">
        <v>Vodafone Group Plc</v>
      </c>
      <c r="W30" s="34">
        <v>42929.576513622684</v>
      </c>
      <c r="X30" s="33">
        <f>IF(ISNA(VLOOKUP(U30,Forex!$B$3:$C$8,2,FALSE)),"",VLOOKUP(U30,Forex!$B$3:$C$8,2,FALSE))</f>
        <v>78</v>
      </c>
      <c r="Y30" s="32">
        <f t="shared" si="0"/>
        <v>9.651307692307693</v>
      </c>
    </row>
    <row r="31" spans="1:25" s="33" customFormat="1" x14ac:dyDescent="0.25">
      <c r="A31" s="30" t="str">
        <f>IF(COUNTA(C31:D31)=0,"", MAX(A$2:A30)+1)</f>
        <v/>
      </c>
      <c r="B31" s="30"/>
      <c r="C31" s="31"/>
      <c r="D31" s="32"/>
      <c r="G31" s="33" t="str">
        <f>IF(ISNA(VLOOKUP(E31,Forex!$B$3:$C$8,2,FALSE)),"",VLOOKUP(E31,Forex!$B$3:$C$8,2,FALSE))</f>
        <v/>
      </c>
      <c r="H31" s="32" t="str">
        <f t="shared" si="1"/>
        <v/>
      </c>
      <c r="I31" s="32"/>
      <c r="J31" s="77"/>
      <c r="K31" s="78" t="str">
        <f>IF(ISNA(PctFromPrevRep),"", PctFromPrevRep)</f>
        <v/>
      </c>
      <c r="L31" s="32"/>
      <c r="M31" s="32"/>
      <c r="N31" s="32"/>
      <c r="P31" s="30">
        <f>IF(COUNTA(Q31:Q31)=0,"", MAX(P$2:P30)+1)</f>
        <v>29</v>
      </c>
      <c r="Q31" s="34" t="str">
        <f t="array" ref="Q31:W31">_xll.OpenApiSubscribeRtd("ExcelTrader_103","PositionId","185757723")</f>
        <v>68538494</v>
      </c>
      <c r="R31" s="34" t="str">
        <v>VOD:xlon</v>
      </c>
      <c r="S31" s="33">
        <v>-3391</v>
      </c>
      <c r="T31" s="33">
        <v>221.75</v>
      </c>
      <c r="U31" s="33" t="str">
        <v>GBP</v>
      </c>
      <c r="V31" s="33" t="str">
        <v>Vodafone Group Plc</v>
      </c>
      <c r="W31" s="34">
        <v>42929.580690150462</v>
      </c>
      <c r="X31" s="33">
        <f>IF(ISNA(VLOOKUP(U31,Forex!$B$3:$C$8,2,FALSE)),"",VLOOKUP(U31,Forex!$B$3:$C$8,2,FALSE))</f>
        <v>78</v>
      </c>
      <c r="Y31" s="32">
        <f t="shared" si="0"/>
        <v>-9.6404391025641036</v>
      </c>
    </row>
    <row r="32" spans="1:25" s="33" customFormat="1" x14ac:dyDescent="0.25">
      <c r="A32" s="30" t="str">
        <f>IF(COUNTA(C32:D32)=0,"", MAX(A$2:A31)+1)</f>
        <v/>
      </c>
      <c r="B32" s="30"/>
      <c r="C32" s="31"/>
      <c r="D32" s="32"/>
      <c r="G32" s="33" t="str">
        <f>IF(ISNA(VLOOKUP(E32,Forex!$B$3:$C$8,2,FALSE)),"",VLOOKUP(E32,Forex!$B$3:$C$8,2,FALSE))</f>
        <v/>
      </c>
      <c r="H32" s="32" t="str">
        <f t="shared" si="1"/>
        <v/>
      </c>
      <c r="I32" s="32"/>
      <c r="J32" s="77"/>
      <c r="K32" s="78" t="str">
        <f>IF(ISNA(PctFromPrevRep),"", PctFromPrevRep)</f>
        <v/>
      </c>
      <c r="L32" s="32"/>
      <c r="M32" s="32"/>
      <c r="N32" s="32"/>
      <c r="P32" s="30">
        <f>IF(COUNTA(Q32:Q32)=0,"", MAX(P$2:P31)+1)</f>
        <v>30</v>
      </c>
      <c r="Q32" s="34" t="str">
        <f t="array" ref="Q32:W32">_xll.OpenApiSubscribeRtd("ExcelTrader_103","PositionId","185757763")</f>
        <v>68538498</v>
      </c>
      <c r="R32" s="34" t="str">
        <v>VOD:xlon</v>
      </c>
      <c r="S32" s="33">
        <v>3391</v>
      </c>
      <c r="T32" s="33">
        <v>221.8</v>
      </c>
      <c r="U32" s="33" t="str">
        <v>GBP</v>
      </c>
      <c r="V32" s="33" t="str">
        <v>Vodafone Group Plc</v>
      </c>
      <c r="W32" s="34">
        <v>42929.58196541667</v>
      </c>
      <c r="X32" s="33">
        <f>IF(ISNA(VLOOKUP(U32,Forex!$B$3:$C$8,2,FALSE)),"",VLOOKUP(U32,Forex!$B$3:$C$8,2,FALSE))</f>
        <v>78</v>
      </c>
      <c r="Y32" s="32">
        <f t="shared" si="0"/>
        <v>9.6426128205128201</v>
      </c>
    </row>
    <row r="33" spans="1:25" s="33" customFormat="1" x14ac:dyDescent="0.25">
      <c r="A33" s="30" t="str">
        <f>IF(COUNTA(C33:D33)=0,"", MAX(A$2:A32)+1)</f>
        <v/>
      </c>
      <c r="B33" s="30"/>
      <c r="C33" s="31"/>
      <c r="D33" s="32"/>
      <c r="G33" s="33" t="str">
        <f>IF(ISNA(VLOOKUP(E33,Forex!$B$3:$C$8,2,FALSE)),"",VLOOKUP(E33,Forex!$B$3:$C$8,2,FALSE))</f>
        <v/>
      </c>
      <c r="H33" s="32" t="str">
        <f t="shared" si="1"/>
        <v/>
      </c>
      <c r="I33" s="32"/>
      <c r="J33" s="77"/>
      <c r="K33" s="78" t="str">
        <f>IF(ISNA(PctFromPrevRep),"", PctFromPrevRep)</f>
        <v/>
      </c>
      <c r="L33" s="32"/>
      <c r="M33" s="32"/>
      <c r="N33" s="32"/>
      <c r="P33" s="30">
        <f>IF(COUNTA(Q33:Q33)=0,"", MAX(P$2:P32)+1)</f>
        <v>31</v>
      </c>
      <c r="Q33" s="34" t="str">
        <f t="array" ref="Q33:W33">_xll.OpenApiSubscribeRtd("ExcelTrader_103","PositionId","185757865")</f>
        <v>68538146</v>
      </c>
      <c r="R33" s="34" t="str">
        <v>VOD:xlon</v>
      </c>
      <c r="S33" s="33">
        <v>-3391</v>
      </c>
      <c r="T33" s="33">
        <v>221.55</v>
      </c>
      <c r="U33" s="33" t="str">
        <v>GBP</v>
      </c>
      <c r="V33" s="33" t="str">
        <v>Vodafone Group Plc</v>
      </c>
      <c r="W33" s="34">
        <v>42929.584667453702</v>
      </c>
      <c r="X33" s="33">
        <f>IF(ISNA(VLOOKUP(U33,Forex!$B$3:$C$8,2,FALSE)),"",VLOOKUP(U33,Forex!$B$3:$C$8,2,FALSE))</f>
        <v>78</v>
      </c>
      <c r="Y33" s="32">
        <f t="shared" si="0"/>
        <v>-9.6317442307692307</v>
      </c>
    </row>
    <row r="34" spans="1:25" s="33" customFormat="1" x14ac:dyDescent="0.25">
      <c r="A34" s="30" t="str">
        <f>IF(COUNTA(C34:D34)=0,"", MAX(A$2:A33)+1)</f>
        <v/>
      </c>
      <c r="B34" s="30"/>
      <c r="C34" s="31"/>
      <c r="D34" s="32"/>
      <c r="G34" s="33" t="str">
        <f>IF(ISNA(VLOOKUP(E34,Forex!$B$3:$C$8,2,FALSE)),"",VLOOKUP(E34,Forex!$B$3:$C$8,2,FALSE))</f>
        <v/>
      </c>
      <c r="H34" s="32" t="str">
        <f t="shared" si="1"/>
        <v/>
      </c>
      <c r="I34" s="32"/>
      <c r="J34" s="77"/>
      <c r="K34" s="78" t="str">
        <f>IF(ISNA(PctFromPrevRep),"", PctFromPrevRep)</f>
        <v/>
      </c>
      <c r="L34" s="32"/>
      <c r="M34" s="32"/>
      <c r="N34" s="32"/>
      <c r="P34" s="30">
        <f>IF(COUNTA(Q34:Q34)=0,"", MAX(P$2:P33)+1)</f>
        <v>32</v>
      </c>
      <c r="Q34" s="34" t="str">
        <f t="array" ref="Q34:W34">_xll.OpenApiSubscribeRtd("ExcelTrader_103","PositionId","185757893")</f>
        <v>68538513</v>
      </c>
      <c r="R34" s="34" t="str">
        <v>VOD:xlon</v>
      </c>
      <c r="S34" s="33">
        <v>3391</v>
      </c>
      <c r="T34" s="33">
        <v>221.55</v>
      </c>
      <c r="U34" s="33" t="str">
        <v>GBP</v>
      </c>
      <c r="V34" s="33" t="str">
        <v>Vodafone Group Plc</v>
      </c>
      <c r="W34" s="34">
        <v>42929.585276597223</v>
      </c>
      <c r="X34" s="33">
        <f>IF(ISNA(VLOOKUP(U34,Forex!$B$3:$C$8,2,FALSE)),"",VLOOKUP(U34,Forex!$B$3:$C$8,2,FALSE))</f>
        <v>78</v>
      </c>
      <c r="Y34" s="32">
        <f t="shared" si="0"/>
        <v>9.6317442307692307</v>
      </c>
    </row>
    <row r="35" spans="1:25" s="33" customFormat="1" x14ac:dyDescent="0.25">
      <c r="A35" s="30" t="str">
        <f>IF(COUNTA(C35:D35)=0,"", MAX(A$2:A34)+1)</f>
        <v/>
      </c>
      <c r="B35" s="30"/>
      <c r="C35" s="31"/>
      <c r="D35" s="32"/>
      <c r="G35" s="33" t="str">
        <f>IF(ISNA(VLOOKUP(E35,Forex!$B$3:$C$8,2,FALSE)),"",VLOOKUP(E35,Forex!$B$3:$C$8,2,FALSE))</f>
        <v/>
      </c>
      <c r="H35" s="32" t="str">
        <f t="shared" si="1"/>
        <v/>
      </c>
      <c r="I35" s="32"/>
      <c r="J35" s="77"/>
      <c r="K35" s="78" t="str">
        <f>IF(ISNA(PctFromPrevRep),"", PctFromPrevRep)</f>
        <v/>
      </c>
      <c r="L35" s="32"/>
      <c r="M35" s="32"/>
      <c r="N35" s="32"/>
      <c r="P35" s="30">
        <f>IF(COUNTA(Q35:Q35)=0,"", MAX(P$2:P34)+1)</f>
        <v>33</v>
      </c>
      <c r="Q35" s="34" t="str">
        <f t="array" ref="Q35:W35">_xll.OpenApiSubscribeRtd("ExcelTrader_103","PositionId","185758151")</f>
        <v>68538547</v>
      </c>
      <c r="R35" s="34" t="str">
        <v>VOD:xlon</v>
      </c>
      <c r="S35" s="33">
        <v>3391</v>
      </c>
      <c r="T35" s="33">
        <v>221.25</v>
      </c>
      <c r="U35" s="33" t="str">
        <v>GBP</v>
      </c>
      <c r="V35" s="33" t="str">
        <v>Vodafone Group Plc</v>
      </c>
      <c r="W35" s="34">
        <v>42929.592100682872</v>
      </c>
      <c r="X35" s="33">
        <f>IF(ISNA(VLOOKUP(U35,Forex!$B$3:$C$8,2,FALSE)),"",VLOOKUP(U35,Forex!$B$3:$C$8,2,FALSE))</f>
        <v>78</v>
      </c>
      <c r="Y35" s="32">
        <f t="shared" si="0"/>
        <v>9.6187019230769231</v>
      </c>
    </row>
    <row r="36" spans="1:25" s="33" customFormat="1" x14ac:dyDescent="0.25">
      <c r="A36" s="30" t="str">
        <f>IF(COUNTA(C36:D36)=0,"", MAX(A$2:A35)+1)</f>
        <v/>
      </c>
      <c r="B36" s="30"/>
      <c r="C36" s="31"/>
      <c r="D36" s="32"/>
      <c r="G36" s="33" t="str">
        <f>IF(ISNA(VLOOKUP(E36,Forex!$B$3:$C$8,2,FALSE)),"",VLOOKUP(E36,Forex!$B$3:$C$8,2,FALSE))</f>
        <v/>
      </c>
      <c r="H36" s="32" t="str">
        <f t="shared" si="1"/>
        <v/>
      </c>
      <c r="I36" s="32"/>
      <c r="J36" s="77"/>
      <c r="K36" s="78" t="str">
        <f>IF(ISNA(PctFromPrevRep),"", PctFromPrevRep)</f>
        <v/>
      </c>
      <c r="L36" s="32"/>
      <c r="M36" s="32"/>
      <c r="N36" s="32"/>
      <c r="P36" s="30">
        <f>IF(COUNTA(Q36:Q36)=0,"", MAX(P$2:P35)+1)</f>
        <v>34</v>
      </c>
      <c r="Q36" s="34" t="str">
        <f t="array" ref="Q36:W36">_xll.OpenApiSubscribeRtd("ExcelTrader_103","PositionId","185758187")</f>
        <v>68538553</v>
      </c>
      <c r="R36" s="34" t="str">
        <v>VOD:xlon</v>
      </c>
      <c r="S36" s="33">
        <v>3391</v>
      </c>
      <c r="T36" s="33">
        <v>221.1</v>
      </c>
      <c r="U36" s="33" t="str">
        <v>GBP</v>
      </c>
      <c r="V36" s="33" t="str">
        <v>Vodafone Group Plc</v>
      </c>
      <c r="W36" s="34">
        <v>42929.59253141204</v>
      </c>
      <c r="X36" s="33">
        <f>IF(ISNA(VLOOKUP(U36,Forex!$B$3:$C$8,2,FALSE)),"",VLOOKUP(U36,Forex!$B$3:$C$8,2,FALSE))</f>
        <v>78</v>
      </c>
      <c r="Y36" s="32">
        <f t="shared" si="0"/>
        <v>9.6121807692307701</v>
      </c>
    </row>
    <row r="37" spans="1:25" s="33" customFormat="1" x14ac:dyDescent="0.25">
      <c r="A37" s="30" t="str">
        <f>IF(COUNTA(C37:D37)=0,"", MAX(A$2:A36)+1)</f>
        <v/>
      </c>
      <c r="B37" s="30"/>
      <c r="C37" s="31"/>
      <c r="D37" s="32"/>
      <c r="G37" s="33" t="str">
        <f>IF(ISNA(VLOOKUP(E37,Forex!$B$3:$C$8,2,FALSE)),"",VLOOKUP(E37,Forex!$B$3:$C$8,2,FALSE))</f>
        <v/>
      </c>
      <c r="H37" s="32" t="str">
        <f t="shared" si="1"/>
        <v/>
      </c>
      <c r="I37" s="32"/>
      <c r="J37" s="77"/>
      <c r="K37" s="78" t="str">
        <f>IF(ISNA(PctFromPrevRep),"", PctFromPrevRep)</f>
        <v/>
      </c>
      <c r="L37" s="32"/>
      <c r="M37" s="32"/>
      <c r="N37" s="32"/>
      <c r="P37" s="30">
        <f>IF(COUNTA(Q37:Q37)=0,"", MAX(P$2:P36)+1)</f>
        <v>35</v>
      </c>
      <c r="Q37" s="34" t="str">
        <f t="array" ref="Q37:W37">_xll.OpenApiSubscribeRtd("ExcelTrader_103","PositionId","185758243")</f>
        <v>68539067</v>
      </c>
      <c r="R37" s="34" t="str">
        <v>VOD:xlon</v>
      </c>
      <c r="S37" s="33">
        <v>3218</v>
      </c>
      <c r="T37" s="33">
        <v>221.05</v>
      </c>
      <c r="U37" s="33" t="str">
        <v>GBP</v>
      </c>
      <c r="V37" s="33" t="str">
        <v>Vodafone Group Plc</v>
      </c>
      <c r="W37" s="34">
        <v>42929.593186087965</v>
      </c>
      <c r="X37" s="33">
        <f>IF(ISNA(VLOOKUP(U37,Forex!$B$3:$C$8,2,FALSE)),"",VLOOKUP(U37,Forex!$B$3:$C$8,2,FALSE))</f>
        <v>78</v>
      </c>
      <c r="Y37" s="32">
        <f t="shared" si="0"/>
        <v>9.1197294871794874</v>
      </c>
    </row>
    <row r="38" spans="1:25" s="33" customFormat="1" x14ac:dyDescent="0.25">
      <c r="A38" s="30" t="str">
        <f>IF(COUNTA(C38:D38)=0,"", MAX(A$2:A37)+1)</f>
        <v/>
      </c>
      <c r="B38" s="30"/>
      <c r="C38" s="31"/>
      <c r="D38" s="32"/>
      <c r="G38" s="33" t="str">
        <f>IF(ISNA(VLOOKUP(E38,Forex!$B$3:$C$8,2,FALSE)),"",VLOOKUP(E38,Forex!$B$3:$C$8,2,FALSE))</f>
        <v/>
      </c>
      <c r="H38" s="32" t="str">
        <f t="shared" si="1"/>
        <v/>
      </c>
      <c r="I38" s="32"/>
      <c r="J38" s="77"/>
      <c r="K38" s="78" t="str">
        <f>IF(ISNA(PctFromPrevRep),"", PctFromPrevRep)</f>
        <v/>
      </c>
      <c r="L38" s="32"/>
      <c r="M38" s="32"/>
      <c r="N38" s="32"/>
      <c r="P38" s="30">
        <f>IF(COUNTA(Q38:Q38)=0,"", MAX(P$2:P37)+1)</f>
        <v>36</v>
      </c>
      <c r="Q38" s="34" t="str">
        <f t="array" ref="Q38:W38">_xll.OpenApiSubscribeRtd("ExcelTrader_103","PositionId","185758337")</f>
        <v>68539083</v>
      </c>
      <c r="R38" s="34" t="str">
        <v>VOD:xlon</v>
      </c>
      <c r="S38" s="33">
        <v>-3714</v>
      </c>
      <c r="T38" s="33">
        <v>220.7</v>
      </c>
      <c r="U38" s="33" t="str">
        <v>GBP</v>
      </c>
      <c r="V38" s="33" t="str">
        <v>Vodafone Group Plc</v>
      </c>
      <c r="W38" s="34">
        <v>42929.595578321758</v>
      </c>
      <c r="X38" s="33">
        <f>IF(ISNA(VLOOKUP(U38,Forex!$B$3:$C$8,2,FALSE)),"",VLOOKUP(U38,Forex!$B$3:$C$8,2,FALSE))</f>
        <v>78</v>
      </c>
      <c r="Y38" s="32">
        <f t="shared" si="0"/>
        <v>-10.508715384615384</v>
      </c>
    </row>
    <row r="39" spans="1:25" s="33" customFormat="1" x14ac:dyDescent="0.25">
      <c r="A39" s="30" t="str">
        <f>IF(COUNTA(C39:D39)=0,"", MAX(A$2:A38)+1)</f>
        <v/>
      </c>
      <c r="B39" s="30"/>
      <c r="C39" s="31"/>
      <c r="D39" s="32"/>
      <c r="G39" s="33" t="str">
        <f>IF(ISNA(VLOOKUP(E39,Forex!$B$3:$C$8,2,FALSE)),"",VLOOKUP(E39,Forex!$B$3:$C$8,2,FALSE))</f>
        <v/>
      </c>
      <c r="H39" s="32" t="str">
        <f t="shared" si="1"/>
        <v/>
      </c>
      <c r="I39" s="32"/>
      <c r="J39" s="77"/>
      <c r="K39" s="78" t="str">
        <f>IF(ISNA(PctFromPrevRep),"", PctFromPrevRep)</f>
        <v/>
      </c>
      <c r="L39" s="32"/>
      <c r="M39" s="32"/>
      <c r="N39" s="32"/>
      <c r="P39" s="30">
        <f>IF(COUNTA(Q39:Q39)=0,"", MAX(P$2:P38)+1)</f>
        <v>37</v>
      </c>
      <c r="Q39" s="34" t="str">
        <f t="array" ref="Q39:W39">_xll.OpenApiSubscribeRtd("ExcelTrader_103","PositionId","185758341")</f>
        <v>68539084</v>
      </c>
      <c r="R39" s="34" t="str">
        <v>VOD:xlon</v>
      </c>
      <c r="S39" s="33">
        <v>-3714</v>
      </c>
      <c r="T39" s="33">
        <v>220.7</v>
      </c>
      <c r="U39" s="33" t="str">
        <v>GBP</v>
      </c>
      <c r="V39" s="33" t="str">
        <v>Vodafone Group Plc</v>
      </c>
      <c r="W39" s="34">
        <v>42929.59576866898</v>
      </c>
      <c r="X39" s="33">
        <f>IF(ISNA(VLOOKUP(U39,Forex!$B$3:$C$8,2,FALSE)),"",VLOOKUP(U39,Forex!$B$3:$C$8,2,FALSE))</f>
        <v>78</v>
      </c>
      <c r="Y39" s="32">
        <f t="shared" si="0"/>
        <v>-10.508715384615384</v>
      </c>
    </row>
    <row r="40" spans="1:25" s="33" customFormat="1" x14ac:dyDescent="0.25">
      <c r="A40" s="30" t="str">
        <f>IF(COUNTA(C40:D40)=0,"", MAX(A$2:A39)+1)</f>
        <v/>
      </c>
      <c r="B40" s="30"/>
      <c r="C40" s="31"/>
      <c r="D40" s="32"/>
      <c r="G40" s="33" t="str">
        <f>IF(ISNA(VLOOKUP(E40,Forex!$B$3:$C$8,2,FALSE)),"",VLOOKUP(E40,Forex!$B$3:$C$8,2,FALSE))</f>
        <v/>
      </c>
      <c r="H40" s="32" t="str">
        <f t="shared" si="1"/>
        <v/>
      </c>
      <c r="I40" s="32"/>
      <c r="J40" s="77"/>
      <c r="K40" s="78" t="str">
        <f>IF(ISNA(PctFromPrevRep),"", PctFromPrevRep)</f>
        <v/>
      </c>
      <c r="L40" s="32"/>
      <c r="M40" s="32"/>
      <c r="N40" s="32"/>
      <c r="P40" s="30">
        <f>IF(COUNTA(Q40:Q40)=0,"", MAX(P$2:P39)+1)</f>
        <v>38</v>
      </c>
      <c r="Q40" s="34" t="str">
        <f t="array" ref="Q40:W40">_xll.OpenApiSubscribeRtd("ExcelTrader_103","PositionId","185758351")</f>
        <v>68539085</v>
      </c>
      <c r="R40" s="34" t="str">
        <v>VOD:xlon</v>
      </c>
      <c r="S40" s="33">
        <v>-3714</v>
      </c>
      <c r="T40" s="33">
        <v>220.75</v>
      </c>
      <c r="U40" s="33" t="str">
        <v>GBP</v>
      </c>
      <c r="V40" s="33" t="str">
        <v>Vodafone Group Plc</v>
      </c>
      <c r="W40" s="34">
        <v>42929.595886932868</v>
      </c>
      <c r="X40" s="33">
        <f>IF(ISNA(VLOOKUP(U40,Forex!$B$3:$C$8,2,FALSE)),"",VLOOKUP(U40,Forex!$B$3:$C$8,2,FALSE))</f>
        <v>78</v>
      </c>
      <c r="Y40" s="32">
        <f t="shared" si="0"/>
        <v>-10.511096153846154</v>
      </c>
    </row>
    <row r="41" spans="1:25" s="33" customFormat="1" x14ac:dyDescent="0.25">
      <c r="A41" s="30" t="str">
        <f>IF(COUNTA(C41:D41)=0,"", MAX(A$2:A40)+1)</f>
        <v/>
      </c>
      <c r="B41" s="30"/>
      <c r="C41" s="31"/>
      <c r="D41" s="32"/>
      <c r="G41" s="33" t="str">
        <f>IF(ISNA(VLOOKUP(E41,Forex!$B$3:$C$8,2,FALSE)),"",VLOOKUP(E41,Forex!$B$3:$C$8,2,FALSE))</f>
        <v/>
      </c>
      <c r="H41" s="32" t="str">
        <f t="shared" si="1"/>
        <v/>
      </c>
      <c r="I41" s="32"/>
      <c r="J41" s="77"/>
      <c r="K41" s="78" t="str">
        <f>IF(ISNA(PctFromPrevRep),"", PctFromPrevRep)</f>
        <v/>
      </c>
      <c r="L41" s="32"/>
      <c r="M41" s="32"/>
      <c r="N41" s="32"/>
      <c r="P41" s="30">
        <f>IF(COUNTA(Q41:Q41)=0,"", MAX(P$2:P40)+1)</f>
        <v>39</v>
      </c>
      <c r="Q41" s="34" t="str">
        <f t="array" ref="Q41:W41">_xll.OpenApiSubscribeRtd("ExcelTrader_103","PositionId","185758357")</f>
        <v>68539086</v>
      </c>
      <c r="R41" s="34" t="str">
        <v>VOD:xlon</v>
      </c>
      <c r="S41" s="33">
        <v>-2249</v>
      </c>
      <c r="T41" s="33">
        <v>220.7</v>
      </c>
      <c r="U41" s="33" t="str">
        <v>GBP</v>
      </c>
      <c r="V41" s="33" t="str">
        <v>Vodafone Group Plc</v>
      </c>
      <c r="W41" s="34">
        <v>42929.596007986111</v>
      </c>
      <c r="X41" s="33">
        <f>IF(ISNA(VLOOKUP(U41,Forex!$B$3:$C$8,2,FALSE)),"",VLOOKUP(U41,Forex!$B$3:$C$8,2,FALSE))</f>
        <v>78</v>
      </c>
      <c r="Y41" s="32">
        <f t="shared" si="0"/>
        <v>-6.3635166666666665</v>
      </c>
    </row>
    <row r="42" spans="1:25" s="33" customFormat="1" x14ac:dyDescent="0.25">
      <c r="A42" s="30" t="str">
        <f>IF(COUNTA(C42:D42)=0,"", MAX(A$2:A41)+1)</f>
        <v/>
      </c>
      <c r="B42" s="30"/>
      <c r="C42" s="31"/>
      <c r="D42" s="32"/>
      <c r="G42" s="33" t="str">
        <f>IF(ISNA(VLOOKUP(E42,Forex!$B$3:$C$8,2,FALSE)),"",VLOOKUP(E42,Forex!$B$3:$C$8,2,FALSE))</f>
        <v/>
      </c>
      <c r="H42" s="32" t="str">
        <f t="shared" si="1"/>
        <v/>
      </c>
      <c r="I42" s="32"/>
      <c r="J42" s="77"/>
      <c r="K42" s="78" t="str">
        <f>IF(ISNA(PctFromPrevRep),"", PctFromPrevRep)</f>
        <v/>
      </c>
      <c r="L42" s="32"/>
      <c r="M42" s="32"/>
      <c r="N42" s="32"/>
      <c r="P42" s="30">
        <f>IF(COUNTA(Q42:Q42)=0,"", MAX(P$2:P41)+1)</f>
        <v>40</v>
      </c>
      <c r="Q42" s="34" t="str">
        <f t="array" ref="Q42:W42">_xll.OpenApiSubscribeRtd("ExcelTrader_103","PositionId","185758389")</f>
        <v>68539096</v>
      </c>
      <c r="R42" s="34" t="str">
        <v>VOD:xlon</v>
      </c>
      <c r="S42" s="33">
        <v>-3627</v>
      </c>
      <c r="T42" s="33">
        <v>220.75</v>
      </c>
      <c r="U42" s="33" t="str">
        <v>GBP</v>
      </c>
      <c r="V42" s="33" t="str">
        <v>Vodafone Group Plc</v>
      </c>
      <c r="W42" s="34">
        <v>42929.596892326386</v>
      </c>
      <c r="X42" s="33">
        <f>IF(ISNA(VLOOKUP(U42,Forex!$B$3:$C$8,2,FALSE)),"",VLOOKUP(U42,Forex!$B$3:$C$8,2,FALSE))</f>
        <v>78</v>
      </c>
      <c r="Y42" s="32">
        <f t="shared" si="0"/>
        <v>-10.264875</v>
      </c>
    </row>
    <row r="43" spans="1:25" s="33" customFormat="1" x14ac:dyDescent="0.25">
      <c r="A43" s="30" t="str">
        <f>IF(COUNTA(C43:D43)=0,"", MAX(A$2:A42)+1)</f>
        <v/>
      </c>
      <c r="B43" s="30"/>
      <c r="C43" s="31"/>
      <c r="D43" s="32"/>
      <c r="G43" s="33" t="str">
        <f>IF(ISNA(VLOOKUP(E43,Forex!$B$3:$C$8,2,FALSE)),"",VLOOKUP(E43,Forex!$B$3:$C$8,2,FALSE))</f>
        <v/>
      </c>
      <c r="H43" s="32" t="str">
        <f t="shared" si="1"/>
        <v/>
      </c>
      <c r="I43" s="32"/>
      <c r="J43" s="77"/>
      <c r="K43" s="78" t="str">
        <f>IF(ISNA(PctFromPrevRep),"", PctFromPrevRep)</f>
        <v/>
      </c>
      <c r="L43" s="32"/>
      <c r="M43" s="32"/>
      <c r="N43" s="32"/>
      <c r="P43" s="30">
        <f>IF(COUNTA(Q43:Q43)=0,"", MAX(P$2:P42)+1)</f>
        <v>41</v>
      </c>
      <c r="Q43" s="34" t="str">
        <f t="array" ref="Q43:W43">_xll.OpenApiSubscribeRtd("ExcelTrader_103","PositionId","185758401")</f>
        <v>68539098</v>
      </c>
      <c r="R43" s="34" t="str">
        <v>VOD:xlon</v>
      </c>
      <c r="S43" s="33">
        <v>-3627</v>
      </c>
      <c r="T43" s="33">
        <v>220.7</v>
      </c>
      <c r="U43" s="33" t="str">
        <v>GBP</v>
      </c>
      <c r="V43" s="33" t="str">
        <v>Vodafone Group Plc</v>
      </c>
      <c r="W43" s="34">
        <v>42929.59701391204</v>
      </c>
      <c r="X43" s="33">
        <f>IF(ISNA(VLOOKUP(U43,Forex!$B$3:$C$8,2,FALSE)),"",VLOOKUP(U43,Forex!$B$3:$C$8,2,FALSE))</f>
        <v>78</v>
      </c>
      <c r="Y43" s="32">
        <f t="shared" si="0"/>
        <v>-10.262549999999999</v>
      </c>
    </row>
    <row r="44" spans="1:25" s="33" customFormat="1" x14ac:dyDescent="0.25">
      <c r="A44" s="30" t="str">
        <f>IF(COUNTA(C44:D44)=0,"", MAX(A$2:A43)+1)</f>
        <v/>
      </c>
      <c r="B44" s="30"/>
      <c r="C44" s="31"/>
      <c r="D44" s="32"/>
      <c r="G44" s="33" t="str">
        <f>IF(ISNA(VLOOKUP(E44,Forex!$B$3:$C$8,2,FALSE)),"",VLOOKUP(E44,Forex!$B$3:$C$8,2,FALSE))</f>
        <v/>
      </c>
      <c r="H44" s="32" t="str">
        <f t="shared" si="1"/>
        <v/>
      </c>
      <c r="I44" s="32"/>
      <c r="J44" s="77"/>
      <c r="K44" s="78" t="str">
        <f>IF(ISNA(PctFromPrevRep),"", PctFromPrevRep)</f>
        <v/>
      </c>
      <c r="L44" s="32"/>
      <c r="M44" s="32"/>
      <c r="N44" s="32"/>
      <c r="P44" s="30">
        <f>IF(COUNTA(Q44:Q44)=0,"", MAX(P$2:P43)+1)</f>
        <v>42</v>
      </c>
      <c r="Q44" s="34" t="str">
        <f t="array" ref="Q44:W44">_xll.OpenApiSubscribeRtd("ExcelTrader_103","PositionId","185758425")</f>
        <v>68539103</v>
      </c>
      <c r="R44" s="34" t="str">
        <v>VOD:xlon</v>
      </c>
      <c r="S44" s="33">
        <v>-2746</v>
      </c>
      <c r="T44" s="33">
        <v>220.5</v>
      </c>
      <c r="U44" s="33" t="str">
        <v>GBP</v>
      </c>
      <c r="V44" s="33" t="str">
        <v>Vodafone Group Plc</v>
      </c>
      <c r="W44" s="34">
        <v>42929.59720650463</v>
      </c>
      <c r="X44" s="33">
        <f>IF(ISNA(VLOOKUP(U44,Forex!$B$3:$C$8,2,FALSE)),"",VLOOKUP(U44,Forex!$B$3:$C$8,2,FALSE))</f>
        <v>78</v>
      </c>
      <c r="Y44" s="32">
        <f t="shared" si="0"/>
        <v>-7.7627307692307692</v>
      </c>
    </row>
    <row r="45" spans="1:25" s="33" customFormat="1" x14ac:dyDescent="0.25">
      <c r="A45" s="30" t="str">
        <f>IF(COUNTA(C45:D45)=0,"", MAX(A$2:A44)+1)</f>
        <v/>
      </c>
      <c r="B45" s="30"/>
      <c r="C45" s="31"/>
      <c r="D45" s="32"/>
      <c r="G45" s="33" t="str">
        <f>IF(ISNA(VLOOKUP(E45,Forex!$B$3:$C$8,2,FALSE)),"",VLOOKUP(E45,Forex!$B$3:$C$8,2,FALSE))</f>
        <v/>
      </c>
      <c r="H45" s="32" t="str">
        <f t="shared" si="1"/>
        <v/>
      </c>
      <c r="I45" s="32"/>
      <c r="J45" s="77"/>
      <c r="K45" s="78" t="str">
        <f>IF(ISNA(PctFromPrevRep),"", PctFromPrevRep)</f>
        <v/>
      </c>
      <c r="L45" s="32"/>
      <c r="M45" s="32"/>
      <c r="N45" s="32"/>
      <c r="P45" s="30">
        <f>IF(COUNTA(Q45:Q45)=0,"", MAX(P$2:P44)+1)</f>
        <v>43</v>
      </c>
      <c r="Q45" s="34" t="str">
        <f t="array" ref="Q45:W45">_xll.OpenApiSubscribeRtd("ExcelTrader_103","PositionId","185758655")</f>
        <v>68539132</v>
      </c>
      <c r="R45" s="34" t="str">
        <v>VOD:xlon</v>
      </c>
      <c r="S45" s="33">
        <v>3535</v>
      </c>
      <c r="T45" s="33">
        <v>220.9</v>
      </c>
      <c r="U45" s="33" t="str">
        <v>GBP</v>
      </c>
      <c r="V45" s="33" t="str">
        <v>Vodafone Group Plc</v>
      </c>
      <c r="W45" s="34">
        <v>42929.603232731482</v>
      </c>
      <c r="X45" s="33">
        <f>IF(ISNA(VLOOKUP(U45,Forex!$B$3:$C$8,2,FALSE)),"",VLOOKUP(U45,Forex!$B$3:$C$8,2,FALSE))</f>
        <v>78</v>
      </c>
      <c r="Y45" s="32">
        <f t="shared" si="0"/>
        <v>10.011301282051283</v>
      </c>
    </row>
    <row r="46" spans="1:25" s="33" customFormat="1" x14ac:dyDescent="0.25">
      <c r="A46" s="30" t="str">
        <f>IF(COUNTA(C46:D46)=0,"", MAX(A$2:A45)+1)</f>
        <v/>
      </c>
      <c r="B46" s="30"/>
      <c r="C46" s="31"/>
      <c r="D46" s="32"/>
      <c r="G46" s="33" t="str">
        <f>IF(ISNA(VLOOKUP(E46,Forex!$B$3:$C$8,2,FALSE)),"",VLOOKUP(E46,Forex!$B$3:$C$8,2,FALSE))</f>
        <v/>
      </c>
      <c r="H46" s="32" t="str">
        <f t="shared" si="1"/>
        <v/>
      </c>
      <c r="I46" s="32"/>
      <c r="J46" s="77"/>
      <c r="K46" s="78" t="str">
        <f>IF(ISNA(PctFromPrevRep),"", PctFromPrevRep)</f>
        <v/>
      </c>
      <c r="L46" s="32"/>
      <c r="M46" s="32"/>
      <c r="N46" s="32"/>
      <c r="P46" s="30">
        <f>IF(COUNTA(Q46:Q46)=0,"", MAX(P$2:P45)+1)</f>
        <v>44</v>
      </c>
      <c r="Q46" s="34" t="str">
        <f t="array" ref="Q46:W46">_xll.OpenApiSubscribeRtd("ExcelTrader_103","PositionId","185758659")</f>
        <v>68539133</v>
      </c>
      <c r="R46" s="34" t="str">
        <v>VOD:xlon</v>
      </c>
      <c r="S46" s="33">
        <v>3535</v>
      </c>
      <c r="T46" s="33">
        <v>220.85</v>
      </c>
      <c r="U46" s="33" t="str">
        <v>GBP</v>
      </c>
      <c r="V46" s="33" t="str">
        <v>Vodafone Group Plc</v>
      </c>
      <c r="W46" s="34">
        <v>42929.6033316088</v>
      </c>
      <c r="X46" s="33">
        <f>IF(ISNA(VLOOKUP(U46,Forex!$B$3:$C$8,2,FALSE)),"",VLOOKUP(U46,Forex!$B$3:$C$8,2,FALSE))</f>
        <v>78</v>
      </c>
      <c r="Y46" s="32">
        <f t="shared" si="0"/>
        <v>10.009035256410256</v>
      </c>
    </row>
    <row r="47" spans="1:25" s="33" customFormat="1" x14ac:dyDescent="0.25">
      <c r="A47" s="30" t="str">
        <f>IF(COUNTA(C47:D47)=0,"", MAX(A$2:A46)+1)</f>
        <v/>
      </c>
      <c r="B47" s="30"/>
      <c r="C47" s="31"/>
      <c r="D47" s="32"/>
      <c r="G47" s="33" t="str">
        <f>IF(ISNA(VLOOKUP(E47,Forex!$B$3:$C$8,2,FALSE)),"",VLOOKUP(E47,Forex!$B$3:$C$8,2,FALSE))</f>
        <v/>
      </c>
      <c r="H47" s="32" t="str">
        <f t="shared" si="1"/>
        <v/>
      </c>
      <c r="I47" s="32"/>
      <c r="J47" s="77"/>
      <c r="K47" s="78" t="str">
        <f>IF(ISNA(PctFromPrevRep),"", PctFromPrevRep)</f>
        <v/>
      </c>
      <c r="L47" s="32"/>
      <c r="M47" s="32"/>
      <c r="N47" s="32"/>
      <c r="P47" s="30">
        <f>IF(COUNTA(Q47:Q47)=0,"", MAX(P$2:P46)+1)</f>
        <v>45</v>
      </c>
      <c r="Q47" s="34" t="str">
        <f t="array" ref="Q47:W47">_xll.OpenApiSubscribeRtd("ExcelTrader_103","PositionId","185758673")</f>
        <v>68539134</v>
      </c>
      <c r="R47" s="34" t="str">
        <v>VOD:xlon</v>
      </c>
      <c r="S47" s="33">
        <v>2930</v>
      </c>
      <c r="T47" s="33">
        <v>220.85</v>
      </c>
      <c r="U47" s="33" t="str">
        <v>GBP</v>
      </c>
      <c r="V47" s="33" t="str">
        <v>Vodafone Group Plc</v>
      </c>
      <c r="W47" s="34">
        <v>42929.603441273146</v>
      </c>
      <c r="X47" s="33">
        <f>IF(ISNA(VLOOKUP(U47,Forex!$B$3:$C$8,2,FALSE)),"",VLOOKUP(U47,Forex!$B$3:$C$8,2,FALSE))</f>
        <v>78</v>
      </c>
      <c r="Y47" s="32">
        <f t="shared" si="0"/>
        <v>8.2960320512820509</v>
      </c>
    </row>
    <row r="48" spans="1:25" s="33" customFormat="1" x14ac:dyDescent="0.25">
      <c r="A48" s="30" t="str">
        <f>IF(COUNTA(C48:D48)=0,"", MAX(A$2:A47)+1)</f>
        <v/>
      </c>
      <c r="B48" s="30"/>
      <c r="C48" s="31"/>
      <c r="D48" s="32"/>
      <c r="G48" s="33" t="str">
        <f>IF(ISNA(VLOOKUP(E48,Forex!$B$3:$C$8,2,FALSE)),"",VLOOKUP(E48,Forex!$B$3:$C$8,2,FALSE))</f>
        <v/>
      </c>
      <c r="H48" s="32" t="str">
        <f t="shared" si="1"/>
        <v/>
      </c>
      <c r="I48" s="32"/>
      <c r="J48" s="77"/>
      <c r="K48" s="78" t="str">
        <f>IF(ISNA(PctFromPrevRep),"", PctFromPrevRep)</f>
        <v/>
      </c>
      <c r="L48" s="32"/>
      <c r="M48" s="32"/>
      <c r="N48" s="32"/>
      <c r="P48" s="30" t="str">
        <f>IF(COUNTA(Q48:Q48)=0,"", MAX(P$2:P47)+1)</f>
        <v/>
      </c>
      <c r="Q48" s="34"/>
      <c r="R48" s="34"/>
      <c r="W48" s="34"/>
      <c r="X48" s="33" t="str">
        <f>IF(ISNA(VLOOKUP(U48,Forex!$B$3:$C$8,2,FALSE)),"",VLOOKUP(U48,Forex!$B$3:$C$8,2,FALSE))</f>
        <v/>
      </c>
      <c r="Y48" s="32" t="str">
        <f t="shared" si="0"/>
        <v/>
      </c>
    </row>
    <row r="49" spans="1:25" s="33" customFormat="1" x14ac:dyDescent="0.25">
      <c r="A49" s="30" t="str">
        <f>IF(COUNTA(C49:D49)=0,"", MAX(A$2:A48)+1)</f>
        <v/>
      </c>
      <c r="B49" s="30"/>
      <c r="C49" s="31"/>
      <c r="D49" s="32"/>
      <c r="G49" s="33" t="str">
        <f>IF(ISNA(VLOOKUP(E49,Forex!$B$3:$C$8,2,FALSE)),"",VLOOKUP(E49,Forex!$B$3:$C$8,2,FALSE))</f>
        <v/>
      </c>
      <c r="H49" s="32" t="str">
        <f t="shared" si="1"/>
        <v/>
      </c>
      <c r="I49" s="32"/>
      <c r="J49" s="77"/>
      <c r="K49" s="78" t="str">
        <f>IF(ISNA(PctFromPrevRep),"", PctFromPrevRep)</f>
        <v/>
      </c>
      <c r="L49" s="32"/>
      <c r="M49" s="32"/>
      <c r="N49" s="32"/>
      <c r="P49" s="30" t="str">
        <f>IF(COUNTA(Q49:Q49)=0,"", MAX(P$2:P48)+1)</f>
        <v/>
      </c>
      <c r="Q49" s="34"/>
      <c r="R49" s="34"/>
      <c r="W49" s="34"/>
      <c r="X49" s="33" t="str">
        <f>IF(ISNA(VLOOKUP(U49,Forex!$B$3:$C$8,2,FALSE)),"",VLOOKUP(U49,Forex!$B$3:$C$8,2,FALSE))</f>
        <v/>
      </c>
      <c r="Y49" s="32" t="str">
        <f t="shared" si="0"/>
        <v/>
      </c>
    </row>
    <row r="50" spans="1:25" s="33" customFormat="1" x14ac:dyDescent="0.25">
      <c r="A50" s="30" t="str">
        <f>IF(COUNTA(C50:D50)=0,"", MAX(A$2:A49)+1)</f>
        <v/>
      </c>
      <c r="B50" s="30"/>
      <c r="C50" s="31"/>
      <c r="D50" s="32"/>
      <c r="G50" s="33" t="str">
        <f>IF(ISNA(VLOOKUP(E50,Forex!$B$3:$C$8,2,FALSE)),"",VLOOKUP(E50,Forex!$B$3:$C$8,2,FALSE))</f>
        <v/>
      </c>
      <c r="H50" s="32" t="str">
        <f t="shared" si="1"/>
        <v/>
      </c>
      <c r="I50" s="32"/>
      <c r="J50" s="77"/>
      <c r="K50" s="78" t="str">
        <f>IF(ISNA(PctFromPrevRep),"", PctFromPrevRep)</f>
        <v/>
      </c>
      <c r="L50" s="32"/>
      <c r="M50" s="32"/>
      <c r="N50" s="32"/>
      <c r="P50" s="30" t="str">
        <f>IF(COUNTA(Q50:Q50)=0,"", MAX(P$2:P49)+1)</f>
        <v/>
      </c>
      <c r="Q50" s="34"/>
      <c r="R50" s="34"/>
      <c r="W50" s="34"/>
      <c r="X50" s="33" t="str">
        <f>IF(ISNA(VLOOKUP(U50,Forex!$B$3:$C$8,2,FALSE)),"",VLOOKUP(U50,Forex!$B$3:$C$8,2,FALSE))</f>
        <v/>
      </c>
      <c r="Y50" s="32" t="str">
        <f t="shared" si="0"/>
        <v/>
      </c>
    </row>
    <row r="51" spans="1:25" s="33" customFormat="1" x14ac:dyDescent="0.25">
      <c r="A51" s="30" t="str">
        <f>IF(COUNTA(C51:D51)=0,"", MAX(A$2:A50)+1)</f>
        <v/>
      </c>
      <c r="B51" s="30"/>
      <c r="C51" s="31"/>
      <c r="D51" s="32"/>
      <c r="G51" s="33" t="str">
        <f>IF(ISNA(VLOOKUP(E51,Forex!$B$3:$C$8,2,FALSE)),"",VLOOKUP(E51,Forex!$B$3:$C$8,2,FALSE))</f>
        <v/>
      </c>
      <c r="H51" s="32" t="str">
        <f t="shared" si="1"/>
        <v/>
      </c>
      <c r="I51" s="32"/>
      <c r="J51" s="77"/>
      <c r="K51" s="78" t="str">
        <f>IF(ISNA(PctFromPrevRep),"", PctFromPrevRep)</f>
        <v/>
      </c>
      <c r="L51" s="32"/>
      <c r="M51" s="32"/>
      <c r="N51" s="32"/>
      <c r="P51" s="30" t="str">
        <f>IF(COUNTA(Q51:Q51)=0,"", MAX(P$2:P50)+1)</f>
        <v/>
      </c>
      <c r="Q51" s="34"/>
      <c r="R51" s="34"/>
      <c r="W51" s="34"/>
      <c r="X51" s="33" t="str">
        <f>IF(ISNA(VLOOKUP(U51,Forex!$B$3:$C$8,2,FALSE)),"",VLOOKUP(U51,Forex!$B$3:$C$8,2,FALSE))</f>
        <v/>
      </c>
      <c r="Y51" s="32" t="str">
        <f t="shared" si="0"/>
        <v/>
      </c>
    </row>
    <row r="52" spans="1:25" s="33" customFormat="1" x14ac:dyDescent="0.25">
      <c r="A52" s="30" t="str">
        <f>IF(COUNTA(C52:D52)=0,"", MAX(A$2:A51)+1)</f>
        <v/>
      </c>
      <c r="B52" s="30"/>
      <c r="C52" s="31"/>
      <c r="D52" s="32"/>
      <c r="G52" s="33" t="str">
        <f>IF(ISNA(VLOOKUP(E52,Forex!$B$3:$C$8,2,FALSE)),"",VLOOKUP(E52,Forex!$B$3:$C$8,2,FALSE))</f>
        <v/>
      </c>
      <c r="H52" s="32" t="str">
        <f t="shared" si="1"/>
        <v/>
      </c>
      <c r="I52" s="32"/>
      <c r="J52" s="77"/>
      <c r="K52" s="78" t="str">
        <f>IF(ISNA(PctFromPrevRep),"", PctFromPrevRep)</f>
        <v/>
      </c>
      <c r="L52" s="32"/>
      <c r="M52" s="32"/>
      <c r="N52" s="32"/>
      <c r="P52" s="30" t="str">
        <f>IF(COUNTA(Q52:Q52)=0,"", MAX(P$2:P51)+1)</f>
        <v/>
      </c>
      <c r="Q52" s="34"/>
      <c r="R52" s="34"/>
      <c r="W52" s="34"/>
      <c r="X52" s="33" t="str">
        <f>IF(ISNA(VLOOKUP(U52,Forex!$B$3:$C$8,2,FALSE)),"",VLOOKUP(U52,Forex!$B$3:$C$8,2,FALSE))</f>
        <v/>
      </c>
      <c r="Y52" s="32" t="str">
        <f t="shared" si="0"/>
        <v/>
      </c>
    </row>
    <row r="53" spans="1:25" s="33" customFormat="1" x14ac:dyDescent="0.25">
      <c r="A53" s="30" t="str">
        <f>IF(COUNTA(C53:D53)=0,"", MAX(A$2:A52)+1)</f>
        <v/>
      </c>
      <c r="B53" s="30"/>
      <c r="C53" s="31"/>
      <c r="D53" s="32"/>
      <c r="G53" s="33" t="str">
        <f>IF(ISNA(VLOOKUP(E53,Forex!$B$3:$C$8,2,FALSE)),"",VLOOKUP(E53,Forex!$B$3:$C$8,2,FALSE))</f>
        <v/>
      </c>
      <c r="H53" s="32" t="str">
        <f t="shared" si="1"/>
        <v/>
      </c>
      <c r="I53" s="32"/>
      <c r="J53" s="77"/>
      <c r="K53" s="78" t="str">
        <f>IF(ISNA(PctFromPrevRep),"", PctFromPrevRep)</f>
        <v/>
      </c>
      <c r="L53" s="32"/>
      <c r="M53" s="32"/>
      <c r="N53" s="32"/>
      <c r="P53" s="30" t="str">
        <f>IF(COUNTA(Q53:Q53)=0,"", MAX(P$2:P52)+1)</f>
        <v/>
      </c>
      <c r="Q53" s="34"/>
      <c r="R53" s="34"/>
      <c r="W53" s="34"/>
      <c r="X53" s="33" t="str">
        <f>IF(ISNA(VLOOKUP(U53,Forex!$B$3:$C$8,2,FALSE)),"",VLOOKUP(U53,Forex!$B$3:$C$8,2,FALSE))</f>
        <v/>
      </c>
      <c r="Y53" s="32" t="str">
        <f t="shared" si="0"/>
        <v/>
      </c>
    </row>
    <row r="54" spans="1:25" s="33" customFormat="1" x14ac:dyDescent="0.25">
      <c r="A54" s="30" t="str">
        <f>IF(COUNTA(C54:D54)=0,"", MAX(A$2:A53)+1)</f>
        <v/>
      </c>
      <c r="B54" s="30"/>
      <c r="C54" s="31"/>
      <c r="D54" s="32"/>
      <c r="H54" s="32"/>
      <c r="I54" s="32"/>
      <c r="J54" s="77"/>
      <c r="K54" s="32"/>
      <c r="L54" s="32"/>
      <c r="M54" s="32"/>
      <c r="N54" s="32"/>
      <c r="P54" s="30" t="str">
        <f>IF(COUNTA(Q54:Q54)=0,"", MAX(P$2:P53)+1)</f>
        <v/>
      </c>
      <c r="Q54" s="34"/>
      <c r="R54" s="34"/>
      <c r="W54" s="34"/>
      <c r="X54" s="32"/>
    </row>
    <row r="55" spans="1:25" s="33" customFormat="1" x14ac:dyDescent="0.25">
      <c r="A55" s="30" t="str">
        <f>IF(COUNTA(C55:D55)=0,"", MAX(A$2:A54)+1)</f>
        <v/>
      </c>
      <c r="B55" s="30"/>
      <c r="C55" s="31"/>
      <c r="D55" s="32"/>
      <c r="H55" s="32"/>
      <c r="I55" s="32"/>
      <c r="J55" s="77"/>
      <c r="K55" s="32"/>
      <c r="L55" s="32"/>
      <c r="M55" s="32"/>
      <c r="N55" s="32"/>
      <c r="P55" s="30" t="str">
        <f>IF(COUNTA(Q55:Q55)=0,"", MAX(P$2:P54)+1)</f>
        <v/>
      </c>
      <c r="Q55" s="34"/>
      <c r="R55" s="34"/>
      <c r="W55" s="34"/>
      <c r="X55" s="32"/>
    </row>
    <row r="56" spans="1:25" s="33" customFormat="1" x14ac:dyDescent="0.25">
      <c r="A56" s="30" t="str">
        <f>IF(COUNTA(C56:D56)=0,"", MAX(A$2:A55)+1)</f>
        <v/>
      </c>
      <c r="B56" s="30"/>
      <c r="C56" s="31"/>
      <c r="D56" s="32"/>
      <c r="H56" s="32"/>
      <c r="I56" s="32"/>
      <c r="J56" s="77"/>
      <c r="K56" s="32"/>
      <c r="L56" s="32"/>
      <c r="M56" s="32"/>
      <c r="N56" s="32"/>
      <c r="P56" s="30" t="str">
        <f>IF(COUNTA(Q56:Q56)=0,"", MAX(P$2:P55)+1)</f>
        <v/>
      </c>
      <c r="Q56" s="34"/>
      <c r="R56" s="34"/>
      <c r="W56" s="34"/>
      <c r="X56" s="32"/>
    </row>
    <row r="57" spans="1:25" s="33" customFormat="1" x14ac:dyDescent="0.25">
      <c r="A57" s="30" t="str">
        <f>IF(COUNTA(C57:D57)=0,"", MAX(A$2:A56)+1)</f>
        <v/>
      </c>
      <c r="B57" s="30"/>
      <c r="C57" s="31"/>
      <c r="D57" s="32"/>
      <c r="H57" s="32"/>
      <c r="I57" s="32"/>
      <c r="J57" s="77"/>
      <c r="K57" s="32"/>
      <c r="L57" s="32"/>
      <c r="M57" s="32"/>
      <c r="N57" s="32"/>
      <c r="P57" s="30" t="str">
        <f>IF(COUNTA(Q57:Q57)=0,"", MAX(P$2:P56)+1)</f>
        <v/>
      </c>
      <c r="Q57" s="34"/>
      <c r="R57" s="34"/>
      <c r="W57" s="34"/>
      <c r="X57" s="32"/>
    </row>
    <row r="58" spans="1:25" s="33" customFormat="1" x14ac:dyDescent="0.25">
      <c r="A58" s="30" t="str">
        <f>IF(COUNTA(C58:D58)=0,"", MAX(A$2:A57)+1)</f>
        <v/>
      </c>
      <c r="B58" s="30"/>
      <c r="C58" s="31"/>
      <c r="D58" s="32"/>
      <c r="H58" s="32"/>
      <c r="I58" s="32"/>
      <c r="J58" s="77"/>
      <c r="K58" s="32"/>
      <c r="L58" s="32"/>
      <c r="M58" s="32"/>
      <c r="N58" s="32"/>
      <c r="P58" s="30" t="str">
        <f>IF(COUNTA(Q58:Q58)=0,"", MAX(P$2:P57)+1)</f>
        <v/>
      </c>
      <c r="Q58" s="34"/>
      <c r="R58" s="34"/>
      <c r="W58" s="34"/>
      <c r="X58" s="32"/>
    </row>
    <row r="59" spans="1:25" s="33" customFormat="1" x14ac:dyDescent="0.25">
      <c r="A59" s="30" t="str">
        <f>IF(COUNTA(C59:D59)=0,"", MAX(A$2:A58)+1)</f>
        <v/>
      </c>
      <c r="B59" s="30"/>
      <c r="C59" s="31"/>
      <c r="D59" s="32"/>
      <c r="H59" s="32"/>
      <c r="I59" s="32"/>
      <c r="J59" s="77"/>
      <c r="K59" s="32"/>
      <c r="L59" s="32"/>
      <c r="M59" s="32"/>
      <c r="N59" s="32"/>
      <c r="P59" s="30" t="str">
        <f>IF(COUNTA(Q59:Q59)=0,"", MAX(P$2:P58)+1)</f>
        <v/>
      </c>
      <c r="Q59" s="34"/>
      <c r="R59" s="34"/>
      <c r="W59" s="34"/>
      <c r="X59" s="32"/>
    </row>
    <row r="60" spans="1:25" s="33" customFormat="1" x14ac:dyDescent="0.25">
      <c r="A60" s="30" t="str">
        <f>IF(COUNTA(C60:D60)=0,"", MAX(A$2:A59)+1)</f>
        <v/>
      </c>
      <c r="B60" s="30"/>
      <c r="C60" s="31"/>
      <c r="D60" s="32"/>
      <c r="H60" s="32"/>
      <c r="I60" s="32"/>
      <c r="J60" s="77"/>
      <c r="K60" s="32"/>
      <c r="L60" s="32"/>
      <c r="M60" s="32"/>
      <c r="N60" s="32"/>
      <c r="P60" s="30" t="str">
        <f>IF(COUNTA(Q60:Q60)=0,"", MAX(P$2:P59)+1)</f>
        <v/>
      </c>
      <c r="Q60" s="34"/>
      <c r="R60" s="34"/>
      <c r="W60" s="34"/>
      <c r="X60" s="32"/>
    </row>
    <row r="61" spans="1:25" s="33" customFormat="1" x14ac:dyDescent="0.25">
      <c r="A61" s="30" t="str">
        <f>IF(COUNTA(C61:D61)=0,"", MAX(A$2:A60)+1)</f>
        <v/>
      </c>
      <c r="B61" s="30"/>
      <c r="C61" s="31"/>
      <c r="D61" s="32"/>
      <c r="H61" s="32"/>
      <c r="I61" s="32"/>
      <c r="J61" s="77"/>
      <c r="K61" s="32"/>
      <c r="L61" s="32"/>
      <c r="M61" s="32"/>
      <c r="N61" s="32"/>
      <c r="P61" s="30" t="str">
        <f>IF(COUNTA(Q61:Q61)=0,"", MAX(P$2:P60)+1)</f>
        <v/>
      </c>
      <c r="Q61" s="34"/>
      <c r="R61" s="34"/>
      <c r="W61" s="34"/>
      <c r="X61" s="32"/>
    </row>
    <row r="62" spans="1:25" s="33" customFormat="1" x14ac:dyDescent="0.25">
      <c r="A62" s="30" t="str">
        <f>IF(COUNTA(C62:D62)=0,"", MAX(A$2:A61)+1)</f>
        <v/>
      </c>
      <c r="B62" s="30"/>
      <c r="C62" s="31"/>
      <c r="D62" s="32"/>
      <c r="H62" s="32"/>
      <c r="I62" s="32"/>
      <c r="J62" s="77"/>
      <c r="K62" s="32"/>
      <c r="L62" s="32"/>
      <c r="M62" s="32"/>
      <c r="N62" s="32"/>
      <c r="P62" s="30" t="str">
        <f>IF(COUNTA(Q62:Q62)=0,"", MAX(P$2:P61)+1)</f>
        <v/>
      </c>
      <c r="Q62" s="34"/>
      <c r="R62" s="34"/>
      <c r="W62" s="34"/>
      <c r="X62" s="32"/>
    </row>
    <row r="63" spans="1:25" s="33" customFormat="1" x14ac:dyDescent="0.25">
      <c r="A63" s="30" t="str">
        <f>IF(COUNTA(C63:D63)=0,"", MAX(A$2:A62)+1)</f>
        <v/>
      </c>
      <c r="B63" s="30"/>
      <c r="C63" s="31"/>
      <c r="D63" s="32"/>
      <c r="H63" s="32"/>
      <c r="I63" s="32"/>
      <c r="J63" s="77"/>
      <c r="K63" s="32"/>
      <c r="L63" s="32"/>
      <c r="M63" s="32"/>
      <c r="N63" s="32"/>
      <c r="P63" s="30" t="str">
        <f>IF(COUNTA(Q63:Q63)=0,"", MAX(P$2:P62)+1)</f>
        <v/>
      </c>
      <c r="Q63" s="34"/>
      <c r="R63" s="34"/>
      <c r="W63" s="34"/>
      <c r="X63" s="32"/>
    </row>
    <row r="64" spans="1:25" s="33" customFormat="1" x14ac:dyDescent="0.25">
      <c r="A64" s="30" t="str">
        <f>IF(COUNTA(C64:D64)=0,"", MAX(A$2:A63)+1)</f>
        <v/>
      </c>
      <c r="B64" s="30"/>
      <c r="C64" s="31"/>
      <c r="D64" s="32"/>
      <c r="H64" s="32"/>
      <c r="I64" s="32"/>
      <c r="J64" s="77"/>
      <c r="K64" s="32"/>
      <c r="L64" s="32"/>
      <c r="M64" s="32"/>
      <c r="N64" s="32"/>
      <c r="P64" s="30" t="str">
        <f>IF(COUNTA(Q64:Q64)=0,"", MAX(P$2:P63)+1)</f>
        <v/>
      </c>
      <c r="Q64" s="34"/>
      <c r="R64" s="34"/>
      <c r="W64" s="34"/>
      <c r="X64" s="32"/>
    </row>
    <row r="65" spans="1:24" s="33" customFormat="1" x14ac:dyDescent="0.25">
      <c r="A65" s="30" t="str">
        <f>IF(COUNTA(C65:D65)=0,"", MAX(A$2:A64)+1)</f>
        <v/>
      </c>
      <c r="B65" s="30"/>
      <c r="C65" s="31"/>
      <c r="D65" s="32"/>
      <c r="H65" s="32"/>
      <c r="I65" s="32"/>
      <c r="J65" s="77"/>
      <c r="K65" s="32"/>
      <c r="L65" s="32"/>
      <c r="M65" s="32"/>
      <c r="N65" s="32"/>
      <c r="P65" s="30" t="str">
        <f>IF(COUNTA(Q65:Q65)=0,"", MAX(P$2:P64)+1)</f>
        <v/>
      </c>
      <c r="Q65" s="34"/>
      <c r="R65" s="34"/>
      <c r="W65" s="34"/>
      <c r="X65" s="32"/>
    </row>
    <row r="66" spans="1:24" s="33" customFormat="1" x14ac:dyDescent="0.25">
      <c r="A66" s="30" t="str">
        <f>IF(COUNTA(C66:D66)=0,"", MAX(A$2:A65)+1)</f>
        <v/>
      </c>
      <c r="B66" s="30"/>
      <c r="C66" s="31"/>
      <c r="D66" s="32"/>
      <c r="H66" s="32"/>
      <c r="I66" s="32"/>
      <c r="J66" s="77"/>
      <c r="K66" s="32"/>
      <c r="L66" s="32"/>
      <c r="M66" s="32"/>
      <c r="N66" s="32"/>
      <c r="P66" s="30" t="str">
        <f>IF(COUNTA(Q66:Q66)=0,"", MAX(P$2:P65)+1)</f>
        <v/>
      </c>
      <c r="Q66" s="34"/>
      <c r="R66" s="34"/>
      <c r="W66" s="34"/>
      <c r="X66" s="32"/>
    </row>
    <row r="67" spans="1:24" s="33" customFormat="1" x14ac:dyDescent="0.25">
      <c r="A67" s="30" t="str">
        <f>IF(COUNTA(C67:D67)=0,"", MAX(A$2:A66)+1)</f>
        <v/>
      </c>
      <c r="B67" s="30"/>
      <c r="C67" s="31"/>
      <c r="D67" s="32"/>
      <c r="H67" s="32"/>
      <c r="I67" s="32"/>
      <c r="J67" s="77"/>
      <c r="K67" s="32"/>
      <c r="L67" s="32"/>
      <c r="M67" s="32"/>
      <c r="N67" s="32"/>
      <c r="P67" s="30" t="str">
        <f>IF(COUNTA(Q67:Q67)=0,"", MAX(P$2:P66)+1)</f>
        <v/>
      </c>
      <c r="Q67" s="34"/>
      <c r="R67" s="34"/>
      <c r="W67" s="34"/>
      <c r="X67" s="32"/>
    </row>
    <row r="68" spans="1:24" s="33" customFormat="1" x14ac:dyDescent="0.25">
      <c r="A68" s="30" t="str">
        <f>IF(COUNTA(C68:D68)=0,"", MAX(A$2:A67)+1)</f>
        <v/>
      </c>
      <c r="B68" s="30"/>
      <c r="C68" s="31"/>
      <c r="D68" s="32"/>
      <c r="H68" s="32"/>
      <c r="I68" s="32"/>
      <c r="J68" s="77"/>
      <c r="K68" s="32"/>
      <c r="L68" s="32"/>
      <c r="M68" s="32"/>
      <c r="N68" s="32"/>
      <c r="P68" s="30" t="str">
        <f>IF(COUNTA(Q68:Q68)=0,"", MAX(P$2:P67)+1)</f>
        <v/>
      </c>
      <c r="Q68" s="34"/>
      <c r="R68" s="34"/>
      <c r="W68" s="34"/>
      <c r="X68" s="32"/>
    </row>
    <row r="69" spans="1:24" s="33" customFormat="1" x14ac:dyDescent="0.25">
      <c r="A69" s="30" t="str">
        <f>IF(COUNTA(C69:D69)=0,"", MAX(A$2:A68)+1)</f>
        <v/>
      </c>
      <c r="B69" s="30"/>
      <c r="C69" s="31"/>
      <c r="D69" s="32"/>
      <c r="H69" s="32"/>
      <c r="I69" s="32"/>
      <c r="J69" s="77"/>
      <c r="K69" s="32"/>
      <c r="L69" s="32"/>
      <c r="M69" s="32"/>
      <c r="N69" s="32"/>
      <c r="P69" s="30" t="str">
        <f>IF(COUNTA(Q69:Q69)=0,"", MAX(P$2:P68)+1)</f>
        <v/>
      </c>
      <c r="Q69" s="34"/>
      <c r="R69" s="34"/>
      <c r="W69" s="34"/>
      <c r="X69" s="32"/>
    </row>
    <row r="70" spans="1:24" s="33" customFormat="1" x14ac:dyDescent="0.25">
      <c r="A70" s="30" t="str">
        <f>IF(COUNTA(C70:D70)=0,"", MAX(A$2:A69)+1)</f>
        <v/>
      </c>
      <c r="B70" s="30"/>
      <c r="C70" s="31"/>
      <c r="D70" s="32"/>
      <c r="H70" s="32"/>
      <c r="I70" s="32"/>
      <c r="J70" s="77"/>
      <c r="K70" s="32"/>
      <c r="L70" s="32"/>
      <c r="M70" s="32"/>
      <c r="N70" s="32"/>
      <c r="P70" s="30" t="str">
        <f>IF(COUNTA(Q70:Q70)=0,"", MAX(P$2:P69)+1)</f>
        <v/>
      </c>
      <c r="Q70" s="34"/>
      <c r="R70" s="34"/>
      <c r="W70" s="34"/>
      <c r="X70" s="32"/>
    </row>
    <row r="71" spans="1:24" s="33" customFormat="1" x14ac:dyDescent="0.25">
      <c r="A71" s="30" t="str">
        <f>IF(COUNTA(C71:D71)=0,"", MAX(A$2:A70)+1)</f>
        <v/>
      </c>
      <c r="B71" s="30"/>
      <c r="C71" s="31"/>
      <c r="D71" s="32"/>
      <c r="H71" s="32"/>
      <c r="I71" s="32"/>
      <c r="J71" s="77"/>
      <c r="K71" s="32"/>
      <c r="L71" s="32"/>
      <c r="M71" s="32"/>
      <c r="N71" s="32"/>
      <c r="P71" s="30" t="str">
        <f>IF(COUNTA(Q71:Q71)=0,"", MAX(P$2:P70)+1)</f>
        <v/>
      </c>
      <c r="Q71" s="34"/>
      <c r="R71" s="34"/>
      <c r="W71" s="34"/>
      <c r="X71" s="32"/>
    </row>
    <row r="72" spans="1:24" s="33" customFormat="1" x14ac:dyDescent="0.25">
      <c r="A72" s="30" t="str">
        <f>IF(COUNTA(C72:D72)=0,"", MAX(A$2:A71)+1)</f>
        <v/>
      </c>
      <c r="B72" s="30"/>
      <c r="C72" s="31"/>
      <c r="D72" s="32"/>
      <c r="H72" s="32"/>
      <c r="I72" s="32"/>
      <c r="J72" s="77"/>
      <c r="K72" s="32"/>
      <c r="L72" s="32"/>
      <c r="M72" s="32"/>
      <c r="N72" s="32"/>
      <c r="P72" s="30" t="str">
        <f>IF(COUNTA(Q72:Q72)=0,"", MAX(P$2:P71)+1)</f>
        <v/>
      </c>
      <c r="Q72" s="34"/>
      <c r="R72" s="34"/>
      <c r="W72" s="34"/>
      <c r="X72" s="32"/>
    </row>
    <row r="73" spans="1:24" s="33" customFormat="1" x14ac:dyDescent="0.25">
      <c r="A73" s="30" t="str">
        <f>IF(COUNTA(C73:D73)=0,"", MAX(A$2:A72)+1)</f>
        <v/>
      </c>
      <c r="B73" s="30"/>
      <c r="C73" s="31"/>
      <c r="D73" s="32"/>
      <c r="H73" s="32"/>
      <c r="I73" s="32"/>
      <c r="J73" s="77"/>
      <c r="K73" s="32"/>
      <c r="L73" s="32"/>
      <c r="M73" s="32"/>
      <c r="N73" s="32"/>
      <c r="P73" s="30" t="str">
        <f>IF(COUNTA(Q73:Q73)=0,"", MAX(P$2:P72)+1)</f>
        <v/>
      </c>
      <c r="Q73" s="34"/>
      <c r="R73" s="34"/>
      <c r="W73" s="34"/>
      <c r="X73" s="32"/>
    </row>
    <row r="74" spans="1:24" s="33" customFormat="1" x14ac:dyDescent="0.25">
      <c r="A74" s="30" t="str">
        <f>IF(COUNTA(C74:D74)=0,"", MAX(A$2:A73)+1)</f>
        <v/>
      </c>
      <c r="B74" s="30"/>
      <c r="C74" s="31"/>
      <c r="D74" s="32"/>
      <c r="H74" s="32"/>
      <c r="I74" s="32"/>
      <c r="J74" s="77"/>
      <c r="K74" s="32"/>
      <c r="L74" s="32"/>
      <c r="M74" s="32"/>
      <c r="N74" s="32"/>
      <c r="P74" s="30" t="str">
        <f>IF(COUNTA(Q74:Q74)=0,"", MAX(P$2:P73)+1)</f>
        <v/>
      </c>
      <c r="Q74" s="34"/>
      <c r="R74" s="34"/>
      <c r="W74" s="34"/>
      <c r="X74" s="32"/>
    </row>
    <row r="75" spans="1:24" s="33" customFormat="1" x14ac:dyDescent="0.25">
      <c r="A75" s="30" t="str">
        <f>IF(COUNTA(C75:D75)=0,"", MAX(A$2:A74)+1)</f>
        <v/>
      </c>
      <c r="B75" s="30"/>
      <c r="C75" s="31"/>
      <c r="D75" s="32"/>
      <c r="H75" s="32"/>
      <c r="I75" s="32"/>
      <c r="J75" s="77"/>
      <c r="K75" s="32"/>
      <c r="L75" s="32"/>
      <c r="M75" s="32"/>
      <c r="N75" s="32"/>
      <c r="P75" s="30" t="str">
        <f>IF(COUNTA(Q75:Q75)=0,"", MAX(P$2:P74)+1)</f>
        <v/>
      </c>
      <c r="Q75" s="34"/>
      <c r="R75" s="34"/>
      <c r="W75" s="34"/>
      <c r="X75" s="32"/>
    </row>
    <row r="76" spans="1:24" s="33" customFormat="1" x14ac:dyDescent="0.25">
      <c r="A76" s="30" t="str">
        <f>IF(COUNTA(C76:D76)=0,"", MAX(A$2:A75)+1)</f>
        <v/>
      </c>
      <c r="B76" s="30"/>
      <c r="C76" s="31"/>
      <c r="D76" s="32"/>
      <c r="H76" s="32"/>
      <c r="I76" s="32"/>
      <c r="J76" s="77"/>
      <c r="K76" s="32"/>
      <c r="L76" s="32"/>
      <c r="M76" s="32"/>
      <c r="N76" s="32"/>
      <c r="P76" s="30" t="str">
        <f>IF(COUNTA(Q76:Q76)=0,"", MAX(P$2:P75)+1)</f>
        <v/>
      </c>
      <c r="Q76" s="34"/>
      <c r="R76" s="34"/>
      <c r="W76" s="34"/>
      <c r="X76" s="32"/>
    </row>
    <row r="77" spans="1:24" s="33" customFormat="1" x14ac:dyDescent="0.25">
      <c r="A77" s="30" t="str">
        <f>IF(COUNTA(C77:D77)=0,"", MAX(A$2:A76)+1)</f>
        <v/>
      </c>
      <c r="B77" s="30"/>
      <c r="C77" s="31"/>
      <c r="D77" s="32"/>
      <c r="H77" s="32"/>
      <c r="I77" s="32"/>
      <c r="J77" s="77"/>
      <c r="K77" s="32"/>
      <c r="L77" s="32"/>
      <c r="M77" s="32"/>
      <c r="N77" s="32"/>
      <c r="P77" s="30" t="str">
        <f>IF(COUNTA(Q77:Q77)=0,"", MAX(P$2:P76)+1)</f>
        <v/>
      </c>
      <c r="Q77" s="34"/>
      <c r="R77" s="34"/>
      <c r="W77" s="34"/>
      <c r="X77" s="32"/>
    </row>
    <row r="78" spans="1:24" s="33" customFormat="1" x14ac:dyDescent="0.25">
      <c r="A78" s="30" t="str">
        <f>IF(COUNTA(C78:D78)=0,"", MAX(A$2:A77)+1)</f>
        <v/>
      </c>
      <c r="B78" s="30"/>
      <c r="C78" s="31"/>
      <c r="D78" s="32"/>
      <c r="H78" s="32"/>
      <c r="I78" s="32"/>
      <c r="J78" s="77"/>
      <c r="K78" s="32"/>
      <c r="L78" s="32"/>
      <c r="M78" s="32"/>
      <c r="N78" s="32"/>
      <c r="P78" s="30" t="str">
        <f>IF(COUNTA(Q78:Q78)=0,"", MAX(P$2:P77)+1)</f>
        <v/>
      </c>
      <c r="Q78" s="34"/>
      <c r="R78" s="34"/>
      <c r="W78" s="34"/>
      <c r="X78" s="32"/>
    </row>
    <row r="79" spans="1:24" s="33" customFormat="1" x14ac:dyDescent="0.25">
      <c r="A79" s="30" t="str">
        <f>IF(COUNTA(C79:D79)=0,"", MAX(A$2:A78)+1)</f>
        <v/>
      </c>
      <c r="B79" s="30"/>
      <c r="C79" s="31"/>
      <c r="D79" s="32"/>
      <c r="H79" s="32"/>
      <c r="I79" s="32"/>
      <c r="J79" s="77"/>
      <c r="K79" s="32"/>
      <c r="L79" s="32"/>
      <c r="M79" s="32"/>
      <c r="N79" s="32"/>
      <c r="P79" s="30" t="str">
        <f>IF(COUNTA(Q79:Q79)=0,"", MAX(P$2:P78)+1)</f>
        <v/>
      </c>
      <c r="Q79" s="34"/>
      <c r="R79" s="34"/>
      <c r="W79" s="34"/>
      <c r="X79" s="32"/>
    </row>
    <row r="80" spans="1:24" s="33" customFormat="1" x14ac:dyDescent="0.25">
      <c r="A80" s="30" t="str">
        <f>IF(COUNTA(C80:D80)=0,"", MAX(A$2:A79)+1)</f>
        <v/>
      </c>
      <c r="B80" s="30"/>
      <c r="C80" s="31"/>
      <c r="D80" s="32"/>
      <c r="H80" s="32"/>
      <c r="I80" s="32"/>
      <c r="J80" s="77"/>
      <c r="K80" s="32"/>
      <c r="L80" s="32"/>
      <c r="M80" s="32"/>
      <c r="N80" s="32"/>
      <c r="P80" s="30" t="str">
        <f>IF(COUNTA(Q80:Q80)=0,"", MAX(P$2:P79)+1)</f>
        <v/>
      </c>
      <c r="Q80" s="34"/>
      <c r="R80" s="34"/>
      <c r="W80" s="34"/>
      <c r="X80" s="32"/>
    </row>
    <row r="81" spans="1:24" s="33" customFormat="1" x14ac:dyDescent="0.25">
      <c r="A81" s="30" t="str">
        <f>IF(COUNTA(C81:D81)=0,"", MAX(A$2:A80)+1)</f>
        <v/>
      </c>
      <c r="B81" s="30"/>
      <c r="C81" s="31"/>
      <c r="D81" s="32"/>
      <c r="H81" s="32"/>
      <c r="I81" s="32"/>
      <c r="J81" s="77"/>
      <c r="K81" s="32"/>
      <c r="L81" s="32"/>
      <c r="M81" s="32"/>
      <c r="N81" s="32"/>
      <c r="P81" s="30" t="str">
        <f>IF(COUNTA(Q81:Q81)=0,"", MAX(P$2:P80)+1)</f>
        <v/>
      </c>
      <c r="Q81" s="34"/>
      <c r="R81" s="34"/>
      <c r="W81" s="34"/>
      <c r="X81" s="32"/>
    </row>
    <row r="82" spans="1:24" s="33" customFormat="1" x14ac:dyDescent="0.25">
      <c r="A82" s="30" t="str">
        <f>IF(COUNTA(C82:D82)=0,"", MAX(A$2:A81)+1)</f>
        <v/>
      </c>
      <c r="B82" s="30"/>
      <c r="C82" s="31"/>
      <c r="D82" s="32"/>
      <c r="H82" s="32"/>
      <c r="I82" s="32"/>
      <c r="J82" s="77"/>
      <c r="K82" s="32"/>
      <c r="L82" s="32"/>
      <c r="M82" s="32"/>
      <c r="N82" s="32"/>
      <c r="P82" s="30" t="str">
        <f>IF(COUNTA(Q82:Q82)=0,"", MAX(P$2:P81)+1)</f>
        <v/>
      </c>
      <c r="Q82" s="34"/>
      <c r="R82" s="34"/>
      <c r="W82" s="34"/>
      <c r="X82" s="32"/>
    </row>
    <row r="83" spans="1:24" s="33" customFormat="1" x14ac:dyDescent="0.25">
      <c r="A83" s="30" t="str">
        <f>IF(COUNTA(C83:D83)=0,"", MAX(A$2:A82)+1)</f>
        <v/>
      </c>
      <c r="B83" s="30"/>
      <c r="C83" s="31"/>
      <c r="D83" s="32"/>
      <c r="H83" s="32"/>
      <c r="I83" s="32"/>
      <c r="J83" s="77"/>
      <c r="K83" s="32"/>
      <c r="L83" s="32"/>
      <c r="M83" s="32"/>
      <c r="N83" s="32"/>
      <c r="P83" s="30" t="str">
        <f>IF(COUNTA(Q83:Q83)=0,"", MAX(P$2:P82)+1)</f>
        <v/>
      </c>
      <c r="Q83" s="34"/>
      <c r="R83" s="34"/>
      <c r="W83" s="34"/>
      <c r="X83" s="32"/>
    </row>
    <row r="84" spans="1:24" s="33" customFormat="1" x14ac:dyDescent="0.25">
      <c r="A84" s="30" t="str">
        <f>IF(COUNTA(C84:D84)=0,"", MAX(A$2:A83)+1)</f>
        <v/>
      </c>
      <c r="B84" s="30"/>
      <c r="C84" s="31"/>
      <c r="D84" s="32"/>
      <c r="H84" s="32"/>
      <c r="I84" s="32"/>
      <c r="J84" s="77"/>
      <c r="K84" s="32"/>
      <c r="L84" s="32"/>
      <c r="M84" s="32"/>
      <c r="N84" s="32"/>
      <c r="P84" s="30" t="str">
        <f>IF(COUNTA(Q84:Q84)=0,"", MAX(P$2:P83)+1)</f>
        <v/>
      </c>
      <c r="Q84" s="34"/>
      <c r="R84" s="34"/>
      <c r="W84" s="34"/>
      <c r="X84" s="32"/>
    </row>
    <row r="85" spans="1:24" s="33" customFormat="1" x14ac:dyDescent="0.25">
      <c r="A85" s="30" t="str">
        <f>IF(COUNTA(C85:D85)=0,"", MAX(A$2:A84)+1)</f>
        <v/>
      </c>
      <c r="B85" s="30"/>
      <c r="C85" s="31"/>
      <c r="D85" s="32"/>
      <c r="H85" s="32"/>
      <c r="I85" s="32"/>
      <c r="J85" s="77"/>
      <c r="K85" s="32"/>
      <c r="L85" s="32"/>
      <c r="M85" s="32"/>
      <c r="N85" s="32"/>
      <c r="P85" s="30" t="str">
        <f>IF(COUNTA(Q85:Q85)=0,"", MAX(P$2:P84)+1)</f>
        <v/>
      </c>
      <c r="Q85" s="34"/>
      <c r="R85" s="34"/>
      <c r="W85" s="34"/>
      <c r="X85" s="32"/>
    </row>
    <row r="86" spans="1:24" s="33" customFormat="1" x14ac:dyDescent="0.25">
      <c r="A86" s="30" t="str">
        <f>IF(COUNTA(C86:D86)=0,"", MAX(A$2:A85)+1)</f>
        <v/>
      </c>
      <c r="B86" s="30"/>
      <c r="C86" s="31"/>
      <c r="D86" s="32"/>
      <c r="H86" s="32"/>
      <c r="I86" s="32"/>
      <c r="J86" s="77"/>
      <c r="K86" s="32"/>
      <c r="L86" s="32"/>
      <c r="M86" s="32"/>
      <c r="N86" s="32"/>
      <c r="P86" s="30" t="str">
        <f>IF(COUNTA(Q86:Q86)=0,"", MAX(P$2:P85)+1)</f>
        <v/>
      </c>
      <c r="Q86" s="34"/>
      <c r="R86" s="34"/>
      <c r="W86" s="34"/>
      <c r="X86" s="32"/>
    </row>
    <row r="87" spans="1:24" s="33" customFormat="1" x14ac:dyDescent="0.25">
      <c r="A87" s="30" t="str">
        <f>IF(COUNTA(C87:D87)=0,"", MAX(A$2:A86)+1)</f>
        <v/>
      </c>
      <c r="B87" s="30"/>
      <c r="C87" s="31"/>
      <c r="D87" s="32"/>
      <c r="H87" s="32"/>
      <c r="I87" s="32"/>
      <c r="J87" s="77"/>
      <c r="K87" s="32"/>
      <c r="L87" s="32"/>
      <c r="M87" s="32"/>
      <c r="N87" s="32"/>
      <c r="P87" s="30" t="str">
        <f>IF(COUNTA(Q87:Q87)=0,"", MAX(P$2:P86)+1)</f>
        <v/>
      </c>
      <c r="Q87" s="34"/>
      <c r="R87" s="34"/>
      <c r="W87" s="34"/>
      <c r="X87" s="32"/>
    </row>
    <row r="88" spans="1:24" s="33" customFormat="1" x14ac:dyDescent="0.25">
      <c r="A88" s="30" t="str">
        <f>IF(COUNTA(C88:D88)=0,"", MAX(A$2:A87)+1)</f>
        <v/>
      </c>
      <c r="B88" s="30"/>
      <c r="C88" s="31"/>
      <c r="D88" s="32"/>
      <c r="H88" s="32"/>
      <c r="I88" s="32"/>
      <c r="J88" s="77"/>
      <c r="K88" s="32"/>
      <c r="L88" s="32"/>
      <c r="M88" s="32"/>
      <c r="N88" s="32"/>
      <c r="P88" s="30" t="str">
        <f>IF(COUNTA(Q88:Q88)=0,"", MAX(P$2:P87)+1)</f>
        <v/>
      </c>
      <c r="Q88" s="34"/>
      <c r="R88" s="34"/>
      <c r="W88" s="34"/>
      <c r="X88" s="32"/>
    </row>
    <row r="89" spans="1:24" s="33" customFormat="1" x14ac:dyDescent="0.25">
      <c r="A89" s="30" t="str">
        <f>IF(COUNTA(C89:D89)=0,"", MAX(A$2:A88)+1)</f>
        <v/>
      </c>
      <c r="B89" s="30"/>
      <c r="C89" s="31"/>
      <c r="D89" s="32"/>
      <c r="H89" s="32"/>
      <c r="I89" s="32"/>
      <c r="J89" s="77"/>
      <c r="K89" s="32"/>
      <c r="L89" s="32"/>
      <c r="M89" s="32"/>
      <c r="N89" s="32"/>
      <c r="P89" s="30" t="str">
        <f>IF(COUNTA(Q89:Q89)=0,"", MAX(P$2:P88)+1)</f>
        <v/>
      </c>
      <c r="Q89" s="34"/>
      <c r="R89" s="34"/>
      <c r="W89" s="34"/>
      <c r="X89" s="32"/>
    </row>
    <row r="90" spans="1:24" s="33" customFormat="1" x14ac:dyDescent="0.25">
      <c r="A90" s="30" t="str">
        <f>IF(COUNTA(C90:D90)=0,"", MAX(A$2:A89)+1)</f>
        <v/>
      </c>
      <c r="B90" s="30"/>
      <c r="C90" s="31"/>
      <c r="D90" s="32"/>
      <c r="H90" s="32"/>
      <c r="I90" s="32"/>
      <c r="J90" s="77"/>
      <c r="K90" s="32"/>
      <c r="L90" s="32"/>
      <c r="M90" s="32"/>
      <c r="N90" s="32"/>
      <c r="P90" s="30" t="str">
        <f>IF(COUNTA(Q90:Q90)=0,"", MAX(P$2:P89)+1)</f>
        <v/>
      </c>
      <c r="Q90" s="34"/>
      <c r="R90" s="34"/>
      <c r="W90" s="34"/>
      <c r="X90" s="32"/>
    </row>
    <row r="91" spans="1:24" s="33" customFormat="1" x14ac:dyDescent="0.25">
      <c r="A91" s="30" t="str">
        <f>IF(COUNTA(C91:D91)=0,"", MAX(A$2:A90)+1)</f>
        <v/>
      </c>
      <c r="B91" s="30"/>
      <c r="C91" s="31"/>
      <c r="D91" s="32"/>
      <c r="H91" s="32"/>
      <c r="I91" s="32"/>
      <c r="J91" s="77"/>
      <c r="K91" s="32"/>
      <c r="L91" s="32"/>
      <c r="M91" s="32"/>
      <c r="N91" s="32"/>
      <c r="P91" s="30" t="str">
        <f>IF(COUNTA(Q91:Q91)=0,"", MAX(P$2:P90)+1)</f>
        <v/>
      </c>
      <c r="Q91" s="34"/>
      <c r="R91" s="34"/>
      <c r="W91" s="34"/>
      <c r="X91" s="32"/>
    </row>
    <row r="92" spans="1:24" s="33" customFormat="1" x14ac:dyDescent="0.25">
      <c r="A92" s="30" t="str">
        <f>IF(COUNTA(C92:D92)=0,"", MAX(A$2:A91)+1)</f>
        <v/>
      </c>
      <c r="B92" s="30"/>
      <c r="C92" s="31"/>
      <c r="D92" s="32"/>
      <c r="H92" s="32"/>
      <c r="I92" s="32"/>
      <c r="J92" s="77"/>
      <c r="K92" s="32"/>
      <c r="L92" s="32"/>
      <c r="M92" s="32"/>
      <c r="N92" s="32"/>
      <c r="P92" s="30" t="str">
        <f>IF(COUNTA(Q92:Q92)=0,"", MAX(P$2:P91)+1)</f>
        <v/>
      </c>
      <c r="Q92" s="34"/>
      <c r="R92" s="34"/>
      <c r="W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80" t="s">
        <v>3</v>
      </c>
      <c r="B1" s="80"/>
      <c r="C1" s="80"/>
    </row>
    <row r="2" spans="1:14" s="2" customFormat="1" ht="38.25" customHeight="1" x14ac:dyDescent="0.25">
      <c r="B2" s="2" t="s">
        <v>28</v>
      </c>
      <c r="C2" s="1" t="s">
        <v>43</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H1" sqref="H1"/>
    </sheetView>
  </sheetViews>
  <sheetFormatPr defaultRowHeight="15.75" x14ac:dyDescent="0.25"/>
  <cols>
    <col min="1" max="1" width="6.625" style="39" customWidth="1"/>
    <col min="2" max="2" width="17.625" style="37" customWidth="1"/>
    <col min="3" max="3" width="15" style="38" customWidth="1"/>
    <col min="4" max="4" width="14.625" style="64" customWidth="1"/>
    <col min="5" max="5" width="12.75" style="37" customWidth="1"/>
    <col min="6" max="6" width="18.75" style="37" customWidth="1"/>
    <col min="7" max="8" width="15.375" style="37" customWidth="1"/>
    <col min="9" max="9" width="15.375" style="65" customWidth="1"/>
    <col min="10" max="12" width="15.625" style="37" customWidth="1"/>
    <col min="13" max="13" width="15.5" style="38" customWidth="1"/>
    <col min="14" max="15" width="15.5" style="37" customWidth="1"/>
    <col min="16" max="16" width="16.875" style="37" customWidth="1"/>
    <col min="17" max="17" width="14.5" style="38" customWidth="1"/>
    <col min="18" max="18" width="15.75" style="37" bestFit="1" customWidth="1"/>
    <col min="19" max="19" width="17.5" style="37" customWidth="1"/>
    <col min="20" max="20" width="18.5" style="37" customWidth="1"/>
    <col min="21" max="21" width="61.25" style="62" customWidth="1"/>
    <col min="22" max="22" width="128.5" style="62" customWidth="1"/>
    <col min="23" max="23" width="15.375" style="64" customWidth="1"/>
    <col min="24" max="16384" width="9" style="37"/>
  </cols>
  <sheetData>
    <row r="1" spans="1:23" s="24" customFormat="1" ht="41.25" customHeight="1" x14ac:dyDescent="0.25">
      <c r="A1" s="81" t="s">
        <v>90</v>
      </c>
      <c r="B1" s="81"/>
      <c r="C1" s="81"/>
      <c r="D1" s="91"/>
      <c r="F1" s="23"/>
      <c r="G1" s="23"/>
      <c r="I1" s="59"/>
      <c r="K1" s="23"/>
      <c r="M1" s="28"/>
      <c r="Q1" s="28"/>
      <c r="T1" s="81" t="s">
        <v>102</v>
      </c>
      <c r="U1" s="81"/>
      <c r="V1" s="60"/>
      <c r="W1" s="61"/>
    </row>
    <row r="2" spans="1:23" s="24" customFormat="1" ht="38.25" customHeight="1" x14ac:dyDescent="0.25">
      <c r="B2" s="24" t="str">
        <f>_xll.OpenApiSubscribe("/openapi/port/v1/orders/subscriptions/active","ClientKey:"&amp;_xll.OpenApiGetClientKey(),"DisplayAndFormat,ExchangeInfo",CONCATENATE("OrderId,DisplayAndFormat.Symbol,OrderTime,BuySell,OpenOrderType,Price,Amount,FilledAmount,DisplayAndFormat.Currency,Exchange.ExchangeId,AssetType,ExpiryDate,Status,Duration.DurationType,Duration",".ExpirationDate,StopLimitPrice"))</f>
        <v>OrderId</v>
      </c>
      <c r="C2" s="28" t="s">
        <v>28</v>
      </c>
      <c r="D2" s="61" t="s">
        <v>146</v>
      </c>
      <c r="E2" s="24" t="s">
        <v>147</v>
      </c>
      <c r="F2" s="24" t="s">
        <v>148</v>
      </c>
      <c r="G2" s="24" t="s">
        <v>149</v>
      </c>
      <c r="H2" s="24" t="s">
        <v>144</v>
      </c>
      <c r="I2" s="59" t="s">
        <v>150</v>
      </c>
      <c r="J2" s="29" t="s">
        <v>64</v>
      </c>
      <c r="K2" s="24" t="s">
        <v>151</v>
      </c>
      <c r="L2" s="24" t="s">
        <v>152</v>
      </c>
      <c r="M2" s="28" t="s">
        <v>153</v>
      </c>
      <c r="N2" s="24" t="s">
        <v>154</v>
      </c>
      <c r="O2" s="24" t="s">
        <v>155</v>
      </c>
      <c r="P2" s="24" t="s">
        <v>156</v>
      </c>
      <c r="Q2" s="28" t="s">
        <v>157</v>
      </c>
      <c r="R2" s="29"/>
      <c r="S2" s="29"/>
      <c r="T2" s="24" t="s">
        <v>103</v>
      </c>
      <c r="U2" s="24" t="s">
        <v>100</v>
      </c>
      <c r="V2" s="24" t="s">
        <v>101</v>
      </c>
      <c r="W2" s="61" t="s">
        <v>104</v>
      </c>
    </row>
    <row r="3" spans="1:23" s="33" customFormat="1" x14ac:dyDescent="0.25">
      <c r="A3" s="30">
        <f>IF(COUNTA(B3:B3)=0,"", MAX(A$2:A2)+1)</f>
        <v>1</v>
      </c>
      <c r="B3" s="33" t="str">
        <f t="array" ref="B3:Q3">_xll.OpenApiSubscribeRtd("ExcelTrader_104","OrderId","68536039")</f>
        <v>68536039</v>
      </c>
      <c r="C3" s="34" t="str">
        <v>RTN:xlon</v>
      </c>
      <c r="D3" s="63">
        <v>42929.473129826387</v>
      </c>
      <c r="E3" s="33" t="str">
        <v>Buy</v>
      </c>
      <c r="F3" s="33" t="str">
        <v>Limit</v>
      </c>
      <c r="G3" s="33">
        <v>300</v>
      </c>
      <c r="H3" s="33">
        <v>5198</v>
      </c>
      <c r="I3" s="33" t="str">
        <v xml:space="preserve"> </v>
      </c>
      <c r="J3" s="33" t="str">
        <v>GBP</v>
      </c>
      <c r="K3" s="33" t="str">
        <v>LSE_SETS</v>
      </c>
      <c r="L3" s="33" t="str">
        <v>CfdOnStock</v>
      </c>
      <c r="M3" s="34" t="str">
        <v xml:space="preserve"> </v>
      </c>
      <c r="N3" s="33" t="str">
        <v>Working</v>
      </c>
      <c r="O3" s="33" t="str">
        <v>GoodTillCancel</v>
      </c>
      <c r="P3" s="33" t="str">
        <v xml:space="preserve"> </v>
      </c>
      <c r="Q3" s="34" t="str">
        <v xml:space="preserve"> </v>
      </c>
      <c r="T3" s="33" t="s">
        <v>105</v>
      </c>
      <c r="U3" s="17" t="s">
        <v>113</v>
      </c>
      <c r="V3" s="62" t="s">
        <v>112</v>
      </c>
      <c r="W3" s="63">
        <v>42923.588194444441</v>
      </c>
    </row>
    <row r="4" spans="1:23" s="33" customFormat="1" x14ac:dyDescent="0.25">
      <c r="A4" s="30" t="str">
        <f>IF(COUNTA(B4:B4)=0,"", MAX(A$2:A3)+1)</f>
        <v/>
      </c>
      <c r="C4" s="34"/>
      <c r="D4" s="63"/>
      <c r="M4" s="34"/>
      <c r="Q4" s="34"/>
      <c r="T4" s="33" t="s">
        <v>121</v>
      </c>
      <c r="U4" t="s">
        <v>123</v>
      </c>
      <c r="V4" s="62" t="s">
        <v>122</v>
      </c>
      <c r="W4" s="63">
        <v>42926.463194444441</v>
      </c>
    </row>
    <row r="5" spans="1:23" s="33" customFormat="1" x14ac:dyDescent="0.25">
      <c r="A5" s="30" t="str">
        <f>IF(COUNTA(B5:B5)=0,"", MAX(A$2:A4)+1)</f>
        <v/>
      </c>
      <c r="C5" s="34"/>
      <c r="D5" s="63"/>
      <c r="M5" s="34"/>
      <c r="Q5" s="34"/>
      <c r="T5" s="33" t="s">
        <v>121</v>
      </c>
      <c r="U5" s="17" t="s">
        <v>124</v>
      </c>
      <c r="V5" s="62" t="s">
        <v>125</v>
      </c>
      <c r="W5" s="63">
        <v>42926.591793981483</v>
      </c>
    </row>
    <row r="6" spans="1:23" s="33" customFormat="1" x14ac:dyDescent="0.25">
      <c r="A6" s="30" t="str">
        <f>IF(COUNTA(B6:B6)=0,"", MAX(A$2:A5)+1)</f>
        <v/>
      </c>
      <c r="C6" s="34"/>
      <c r="D6" s="63"/>
      <c r="M6" s="34"/>
      <c r="Q6" s="34"/>
      <c r="T6" s="33" t="s">
        <v>121</v>
      </c>
      <c r="U6" t="s">
        <v>127</v>
      </c>
      <c r="V6" s="62" t="s">
        <v>126</v>
      </c>
      <c r="W6" s="63">
        <v>42926.594641203701</v>
      </c>
    </row>
    <row r="7" spans="1:23" s="33" customFormat="1" x14ac:dyDescent="0.25">
      <c r="A7" s="30" t="str">
        <f>IF(COUNTA(B7:B7)=0,"", MAX(A$2:A6)+1)</f>
        <v/>
      </c>
      <c r="C7" s="34"/>
      <c r="D7" s="63"/>
      <c r="M7" s="34"/>
      <c r="Q7" s="34"/>
      <c r="T7" s="33" t="s">
        <v>121</v>
      </c>
      <c r="U7" t="s">
        <v>129</v>
      </c>
      <c r="V7" s="62" t="s">
        <v>128</v>
      </c>
      <c r="W7" s="63">
        <v>42926.596226851849</v>
      </c>
    </row>
    <row r="8" spans="1:23" s="33" customFormat="1" x14ac:dyDescent="0.25">
      <c r="A8" s="30" t="str">
        <f>IF(COUNTA(B8:B8)=0,"", MAX(A$2:A7)+1)</f>
        <v/>
      </c>
      <c r="C8" s="34"/>
      <c r="D8" s="63"/>
      <c r="M8" s="34"/>
      <c r="Q8" s="34"/>
      <c r="T8" s="33" t="s">
        <v>121</v>
      </c>
      <c r="U8" t="s">
        <v>130</v>
      </c>
      <c r="V8" s="62" t="s">
        <v>128</v>
      </c>
      <c r="W8" s="63">
        <v>42926.602754629632</v>
      </c>
    </row>
    <row r="9" spans="1:23" s="33" customFormat="1" x14ac:dyDescent="0.25">
      <c r="A9" s="30" t="str">
        <f>IF(COUNTA(B9:B9)=0,"", MAX(A$2:A8)+1)</f>
        <v/>
      </c>
      <c r="C9" s="34"/>
      <c r="D9" s="63"/>
      <c r="M9" s="34"/>
      <c r="Q9" s="34"/>
      <c r="T9" s="33" t="s">
        <v>121</v>
      </c>
      <c r="U9" t="s">
        <v>131</v>
      </c>
      <c r="V9" s="62" t="s">
        <v>128</v>
      </c>
      <c r="W9" s="63">
        <v>42926.604594907411</v>
      </c>
    </row>
    <row r="10" spans="1:23" s="33" customFormat="1" x14ac:dyDescent="0.25">
      <c r="A10" s="30" t="str">
        <f>IF(COUNTA(B10:B10)=0,"", MAX(A$2:A9)+1)</f>
        <v/>
      </c>
      <c r="C10" s="34"/>
      <c r="D10" s="63"/>
      <c r="M10" s="34"/>
      <c r="Q10" s="34"/>
      <c r="T10" s="33" t="s">
        <v>121</v>
      </c>
      <c r="U10" t="s">
        <v>133</v>
      </c>
      <c r="V10" s="62" t="s">
        <v>132</v>
      </c>
      <c r="W10" s="63">
        <v>42926.605590277781</v>
      </c>
    </row>
    <row r="11" spans="1:23" s="33" customFormat="1" x14ac:dyDescent="0.25">
      <c r="A11" s="30" t="str">
        <f>IF(COUNTA(B11:B11)=0,"", MAX(A$2:A10)+1)</f>
        <v/>
      </c>
      <c r="C11" s="34"/>
      <c r="D11" s="63"/>
      <c r="M11" s="34"/>
      <c r="Q11" s="34"/>
      <c r="T11" s="33" t="s">
        <v>121</v>
      </c>
      <c r="U11" t="s">
        <v>135</v>
      </c>
      <c r="V11" s="62" t="s">
        <v>134</v>
      </c>
      <c r="W11" s="63">
        <v>42926.621423611112</v>
      </c>
    </row>
    <row r="12" spans="1:23" s="33" customFormat="1" x14ac:dyDescent="0.25">
      <c r="A12" s="30" t="str">
        <f>IF(COUNTA(B12:B12)=0,"", MAX(A$2:A11)+1)</f>
        <v/>
      </c>
      <c r="C12" s="34"/>
      <c r="D12" s="63"/>
      <c r="M12" s="34"/>
      <c r="Q12" s="34"/>
      <c r="T12" s="33" t="s">
        <v>121</v>
      </c>
      <c r="U12" t="s">
        <v>136</v>
      </c>
      <c r="V12" s="62" t="s">
        <v>132</v>
      </c>
      <c r="W12" s="63">
        <v>42926.622928240744</v>
      </c>
    </row>
    <row r="13" spans="1:23" s="33" customFormat="1" x14ac:dyDescent="0.25">
      <c r="A13" s="30" t="str">
        <f>IF(COUNTA(B13:B13)=0,"", MAX(A$2:A12)+1)</f>
        <v/>
      </c>
      <c r="C13" s="34"/>
      <c r="D13" s="63"/>
      <c r="M13" s="34"/>
      <c r="Q13" s="34"/>
      <c r="T13" s="33" t="s">
        <v>121</v>
      </c>
      <c r="U13" s="62" t="str">
        <f>_xll.OpenApiPlaceOrder("9|9G7dMWchHftzbHmB-YaQ==","RTN:xlon","CfdOnStock",2481,"Buy","DayOrder","Limit",314.31)</f>
        <v xml:space="preserve">Error while placing order: Order price is not in tick size increments_x000D_
</v>
      </c>
      <c r="V13" s="62" t="s">
        <v>138</v>
      </c>
      <c r="W13" s="63">
        <v>42927.760775462964</v>
      </c>
    </row>
    <row r="14" spans="1:23" s="33" customFormat="1" x14ac:dyDescent="0.25">
      <c r="A14" s="30" t="str">
        <f>IF(COUNTA(B14:B14)=0,"", MAX(A$2:A13)+1)</f>
        <v/>
      </c>
      <c r="C14" s="34"/>
      <c r="D14" s="63"/>
      <c r="M14" s="34"/>
      <c r="Q14" s="34"/>
      <c r="T14" s="33" t="s">
        <v>121</v>
      </c>
      <c r="U14" t="s">
        <v>141</v>
      </c>
      <c r="V14" s="62" t="s">
        <v>140</v>
      </c>
      <c r="W14" s="63">
        <v>42927.767812500002</v>
      </c>
    </row>
    <row r="15" spans="1:23" s="33" customFormat="1" x14ac:dyDescent="0.25">
      <c r="A15" s="30" t="str">
        <f>IF(COUNTA(B15:B15)=0,"", MAX(A$2:A14)+1)</f>
        <v/>
      </c>
      <c r="C15" s="34"/>
      <c r="D15" s="63"/>
      <c r="M15" s="34"/>
      <c r="Q15" s="34"/>
      <c r="T15" s="33" t="s">
        <v>121</v>
      </c>
      <c r="U15" t="s">
        <v>142</v>
      </c>
      <c r="V15" s="62" t="s">
        <v>140</v>
      </c>
      <c r="W15" s="63">
        <v>42927.771458333336</v>
      </c>
    </row>
    <row r="16" spans="1:23" s="33" customFormat="1" x14ac:dyDescent="0.25">
      <c r="A16" s="30" t="str">
        <f>IF(COUNTA(B16:B16)=0,"", MAX(A$2:A15)+1)</f>
        <v/>
      </c>
      <c r="C16" s="34"/>
      <c r="D16" s="63"/>
      <c r="M16" s="34"/>
      <c r="Q16" s="34"/>
      <c r="T16" s="33" t="s">
        <v>121</v>
      </c>
      <c r="U16" t="s">
        <v>160</v>
      </c>
      <c r="V16" s="62" t="s">
        <v>159</v>
      </c>
      <c r="W16" s="63">
        <v>42928.466099537036</v>
      </c>
    </row>
    <row r="17" spans="1:23" s="33" customFormat="1" x14ac:dyDescent="0.25">
      <c r="A17" s="30" t="str">
        <f>IF(COUNTA(B17:B17)=0,"", MAX(A$2:A16)+1)</f>
        <v/>
      </c>
      <c r="C17" s="34"/>
      <c r="D17" s="63"/>
      <c r="M17" s="34"/>
      <c r="Q17" s="34"/>
      <c r="T17" s="33" t="s">
        <v>121</v>
      </c>
      <c r="U17" t="s">
        <v>161</v>
      </c>
      <c r="V17" s="62" t="s">
        <v>132</v>
      </c>
      <c r="W17" s="63">
        <v>42928.466481481482</v>
      </c>
    </row>
    <row r="18" spans="1:23" s="33" customFormat="1" x14ac:dyDescent="0.25">
      <c r="A18" s="30" t="str">
        <f>IF(COUNTA(B18:B18)=0,"", MAX(A$2:A17)+1)</f>
        <v/>
      </c>
      <c r="C18" s="34"/>
      <c r="D18" s="63"/>
      <c r="M18" s="34"/>
      <c r="Q18" s="34"/>
      <c r="T18" s="33" t="s">
        <v>121</v>
      </c>
      <c r="U18" t="s">
        <v>166</v>
      </c>
      <c r="V18" s="62" t="s">
        <v>165</v>
      </c>
      <c r="W18" s="63">
        <v>42928.486481481479</v>
      </c>
    </row>
    <row r="19" spans="1:23" s="33" customFormat="1" x14ac:dyDescent="0.25">
      <c r="A19" s="30" t="str">
        <f>IF(COUNTA(B19:B19)=0,"", MAX(A$2:A18)+1)</f>
        <v/>
      </c>
      <c r="C19" s="34"/>
      <c r="D19" s="63"/>
      <c r="M19" s="34"/>
      <c r="Q19" s="34"/>
      <c r="T19" s="33" t="s">
        <v>167</v>
      </c>
      <c r="U19" t="s">
        <v>169</v>
      </c>
      <c r="V19" s="62" t="s">
        <v>168</v>
      </c>
      <c r="W19" s="63">
        <v>42928.493217592593</v>
      </c>
    </row>
    <row r="20" spans="1:23" s="33" customFormat="1" x14ac:dyDescent="0.25">
      <c r="A20" s="30" t="str">
        <f>IF(COUNTA(B20:B20)=0,"", MAX(A$2:A19)+1)</f>
        <v/>
      </c>
      <c r="C20" s="34"/>
      <c r="D20" s="63"/>
      <c r="M20" s="34"/>
      <c r="Q20" s="34"/>
      <c r="T20" s="33" t="s">
        <v>167</v>
      </c>
      <c r="U20" t="s">
        <v>171</v>
      </c>
      <c r="V20" s="62" t="s">
        <v>170</v>
      </c>
      <c r="W20" s="63">
        <v>42928.497546296298</v>
      </c>
    </row>
    <row r="21" spans="1:23" s="33" customFormat="1" x14ac:dyDescent="0.25">
      <c r="A21" s="30" t="str">
        <f>IF(COUNTA(B21:B21)=0,"", MAX(A$2:A20)+1)</f>
        <v/>
      </c>
      <c r="C21" s="34"/>
      <c r="D21" s="63"/>
      <c r="M21" s="34"/>
      <c r="Q21" s="34"/>
      <c r="T21" s="33" t="s">
        <v>167</v>
      </c>
      <c r="U21" t="s">
        <v>173</v>
      </c>
      <c r="V21" s="62" t="s">
        <v>172</v>
      </c>
      <c r="W21" s="63">
        <v>42928.520405092589</v>
      </c>
    </row>
    <row r="22" spans="1:23" s="33" customFormat="1" x14ac:dyDescent="0.25">
      <c r="A22" s="30" t="str">
        <f>IF(COUNTA(B22:B22)=0,"", MAX(A$2:A21)+1)</f>
        <v/>
      </c>
      <c r="C22" s="34"/>
      <c r="D22" s="63"/>
      <c r="M22" s="34"/>
      <c r="Q22" s="34"/>
      <c r="T22" s="33" t="s">
        <v>167</v>
      </c>
      <c r="U22" t="s">
        <v>180</v>
      </c>
      <c r="V22" s="62" t="s">
        <v>179</v>
      </c>
      <c r="W22" s="63">
        <v>42928.577835648146</v>
      </c>
    </row>
    <row r="23" spans="1:23" s="33" customFormat="1" x14ac:dyDescent="0.25">
      <c r="A23" s="30" t="str">
        <f>IF(COUNTA(B23:B23)=0,"", MAX(A$2:A22)+1)</f>
        <v/>
      </c>
      <c r="C23" s="34"/>
      <c r="D23" s="63"/>
      <c r="M23" s="34"/>
      <c r="Q23" s="34"/>
      <c r="T23" s="33" t="s">
        <v>121</v>
      </c>
      <c r="U23" s="62" t="str">
        <f>_xll.OpenApiPlaceOrder("9|9G7dMWchHftzbHmB-YaQ==","RTN:xlon","CfdOnStock",2547,"Sell","DayOrder","Limit",306.15)</f>
        <v xml:space="preserve">Error while placing order: Order price is not in tick size increments_x000D_
</v>
      </c>
      <c r="V23" s="62" t="s">
        <v>181</v>
      </c>
      <c r="W23" s="63">
        <v>42928.580567129633</v>
      </c>
    </row>
    <row r="24" spans="1:23" s="33" customFormat="1" x14ac:dyDescent="0.25">
      <c r="A24" s="30" t="str">
        <f>IF(COUNTA(B24:B24)=0,"", MAX(A$2:A23)+1)</f>
        <v/>
      </c>
      <c r="C24" s="34"/>
      <c r="D24" s="63"/>
      <c r="M24" s="34"/>
      <c r="Q24" s="34"/>
      <c r="T24" s="33" t="s">
        <v>121</v>
      </c>
      <c r="U24" t="s">
        <v>183</v>
      </c>
      <c r="V24" s="62" t="s">
        <v>182</v>
      </c>
      <c r="W24" s="63">
        <v>42928.597233796296</v>
      </c>
    </row>
    <row r="25" spans="1:23" s="33" customFormat="1" x14ac:dyDescent="0.25">
      <c r="A25" s="30" t="str">
        <f>IF(COUNTA(B25:B25)=0,"", MAX(A$2:A24)+1)</f>
        <v/>
      </c>
      <c r="C25" s="34"/>
      <c r="D25" s="63"/>
      <c r="M25" s="34"/>
      <c r="Q25" s="34"/>
      <c r="T25" s="33" t="s">
        <v>167</v>
      </c>
      <c r="U25" t="s">
        <v>185</v>
      </c>
      <c r="V25" s="62" t="s">
        <v>184</v>
      </c>
      <c r="W25" s="63">
        <v>42928.758206018516</v>
      </c>
    </row>
    <row r="26" spans="1:23" s="33" customFormat="1" x14ac:dyDescent="0.25">
      <c r="A26" s="30" t="str">
        <f>IF(COUNTA(B26:B26)=0,"", MAX(A$2:A25)+1)</f>
        <v/>
      </c>
      <c r="C26" s="34"/>
      <c r="D26" s="63"/>
      <c r="M26" s="34"/>
      <c r="Q26" s="34"/>
      <c r="T26" s="33" t="s">
        <v>167</v>
      </c>
      <c r="U26" t="s">
        <v>186</v>
      </c>
      <c r="V26" s="62" t="s">
        <v>184</v>
      </c>
      <c r="W26" s="63">
        <v>42928.76053240741</v>
      </c>
    </row>
    <row r="27" spans="1:23" s="33" customFormat="1" x14ac:dyDescent="0.25">
      <c r="A27" s="30" t="str">
        <f>IF(COUNTA(B27:B27)=0,"", MAX(A$2:A26)+1)</f>
        <v/>
      </c>
      <c r="C27" s="34"/>
      <c r="D27" s="63"/>
      <c r="M27" s="34"/>
      <c r="Q27" s="34"/>
      <c r="T27" s="33" t="s">
        <v>167</v>
      </c>
      <c r="U27" t="s">
        <v>187</v>
      </c>
      <c r="V27" s="62" t="s">
        <v>184</v>
      </c>
      <c r="W27" s="63">
        <v>42928.773055555554</v>
      </c>
    </row>
    <row r="28" spans="1:23" s="33" customFormat="1" x14ac:dyDescent="0.25">
      <c r="A28" s="30" t="str">
        <f>IF(COUNTA(B28:B28)=0,"", MAX(A$2:A27)+1)</f>
        <v/>
      </c>
      <c r="C28" s="34"/>
      <c r="D28" s="63"/>
      <c r="M28" s="34"/>
      <c r="Q28" s="34"/>
      <c r="T28" s="33" t="s">
        <v>167</v>
      </c>
      <c r="U28" s="62" t="s">
        <v>196</v>
      </c>
      <c r="V28" s="62" t="s">
        <v>197</v>
      </c>
      <c r="W28" s="63">
        <v>42929.595069444447</v>
      </c>
    </row>
    <row r="29" spans="1:23" s="33" customFormat="1" x14ac:dyDescent="0.25">
      <c r="A29" s="30" t="str">
        <f>IF(COUNTA(B29:B29)=0,"", MAX(A$2:A28)+1)</f>
        <v/>
      </c>
      <c r="C29" s="34"/>
      <c r="D29" s="63"/>
      <c r="M29" s="34"/>
      <c r="Q29" s="34"/>
      <c r="T29" s="33" t="s">
        <v>167</v>
      </c>
      <c r="U29" s="62" t="s">
        <v>196</v>
      </c>
      <c r="V29" s="62" t="s">
        <v>197</v>
      </c>
      <c r="W29" s="63">
        <v>42929.595555555556</v>
      </c>
    </row>
    <row r="30" spans="1:23" s="33" customFormat="1" x14ac:dyDescent="0.25">
      <c r="A30" s="30" t="str">
        <f>IF(COUNTA(B30:B30)=0,"", MAX(A$2:A29)+1)</f>
        <v/>
      </c>
      <c r="C30" s="34"/>
      <c r="D30" s="63"/>
      <c r="M30" s="34"/>
      <c r="Q30" s="34"/>
      <c r="T30" s="33" t="s">
        <v>167</v>
      </c>
      <c r="U30" t="s">
        <v>199</v>
      </c>
      <c r="V30" s="62" t="s">
        <v>198</v>
      </c>
      <c r="W30" s="63">
        <v>42929.596365740741</v>
      </c>
    </row>
    <row r="31" spans="1:23" s="33" customFormat="1" x14ac:dyDescent="0.25">
      <c r="A31" s="30" t="str">
        <f>IF(COUNTA(B31:B31)=0,"", MAX(A$2:A30)+1)</f>
        <v/>
      </c>
      <c r="C31" s="34"/>
      <c r="D31" s="63"/>
      <c r="M31" s="34"/>
      <c r="Q31" s="34"/>
      <c r="T31" s="33" t="s">
        <v>167</v>
      </c>
      <c r="U31" t="s">
        <v>200</v>
      </c>
      <c r="V31" s="62" t="s">
        <v>198</v>
      </c>
      <c r="W31" s="63">
        <v>42929.59642361111</v>
      </c>
    </row>
    <row r="32" spans="1:23" s="33" customFormat="1" x14ac:dyDescent="0.25">
      <c r="A32" s="30" t="str">
        <f>IF(COUNTA(B32:B32)=0,"", MAX(A$2:A31)+1)</f>
        <v/>
      </c>
      <c r="C32" s="34"/>
      <c r="D32" s="63"/>
      <c r="M32" s="34"/>
      <c r="Q32" s="34"/>
      <c r="T32" s="33" t="s">
        <v>167</v>
      </c>
      <c r="U32" t="s">
        <v>201</v>
      </c>
      <c r="V32" s="62" t="s">
        <v>198</v>
      </c>
      <c r="W32" s="63">
        <v>42929.596458333333</v>
      </c>
    </row>
    <row r="33" spans="1:23" s="33" customFormat="1" x14ac:dyDescent="0.25">
      <c r="A33" s="30" t="str">
        <f>IF(COUNTA(B33:B33)=0,"", MAX(A$2:A32)+1)</f>
        <v/>
      </c>
      <c r="C33" s="34"/>
      <c r="D33" s="63"/>
      <c r="M33" s="34"/>
      <c r="Q33" s="34"/>
      <c r="T33" s="33" t="s">
        <v>167</v>
      </c>
      <c r="U33" t="s">
        <v>202</v>
      </c>
      <c r="V33" s="62" t="s">
        <v>198</v>
      </c>
      <c r="W33" s="63">
        <v>42929.59646990741</v>
      </c>
    </row>
    <row r="34" spans="1:23" s="33" customFormat="1" x14ac:dyDescent="0.25">
      <c r="A34" s="30" t="str">
        <f>IF(COUNTA(B34:B34)=0,"", MAX(A$2:A33)+1)</f>
        <v/>
      </c>
      <c r="C34" s="34"/>
      <c r="D34" s="63"/>
      <c r="M34" s="34"/>
      <c r="Q34" s="34"/>
      <c r="T34" s="33" t="s">
        <v>167</v>
      </c>
      <c r="U34" t="s">
        <v>203</v>
      </c>
      <c r="V34" s="62" t="s">
        <v>198</v>
      </c>
      <c r="W34" s="63">
        <v>42929.596504629626</v>
      </c>
    </row>
    <row r="35" spans="1:23" s="33" customFormat="1" x14ac:dyDescent="0.25">
      <c r="A35" s="30" t="str">
        <f>IF(COUNTA(B35:B35)=0,"", MAX(A$2:A34)+1)</f>
        <v/>
      </c>
      <c r="C35" s="34"/>
      <c r="D35" s="63"/>
      <c r="M35" s="34"/>
      <c r="Q35" s="34"/>
      <c r="T35" s="33" t="s">
        <v>167</v>
      </c>
      <c r="U35" t="s">
        <v>204</v>
      </c>
      <c r="V35" s="62" t="s">
        <v>198</v>
      </c>
      <c r="W35" s="63">
        <v>42929.596585648149</v>
      </c>
    </row>
    <row r="36" spans="1:23" s="33" customFormat="1" x14ac:dyDescent="0.25">
      <c r="A36" s="30" t="str">
        <f>IF(COUNTA(B36:B36)=0,"", MAX(A$2:A35)+1)</f>
        <v/>
      </c>
      <c r="C36" s="34"/>
      <c r="D36" s="63"/>
      <c r="M36" s="34"/>
      <c r="Q36" s="34"/>
      <c r="T36" s="33" t="s">
        <v>167</v>
      </c>
      <c r="U36" t="s">
        <v>206</v>
      </c>
      <c r="V36" s="62" t="s">
        <v>205</v>
      </c>
      <c r="W36" s="63">
        <v>42929.599629629629</v>
      </c>
    </row>
    <row r="37" spans="1:23" s="33" customFormat="1" x14ac:dyDescent="0.25">
      <c r="A37" s="30" t="str">
        <f>IF(COUNTA(B37:B37)=0,"", MAX(A$2:A36)+1)</f>
        <v/>
      </c>
      <c r="C37" s="34"/>
      <c r="D37" s="63"/>
      <c r="M37" s="34"/>
      <c r="Q37" s="34"/>
      <c r="T37" s="33" t="s">
        <v>167</v>
      </c>
      <c r="U37" t="s">
        <v>207</v>
      </c>
      <c r="V37" s="62" t="s">
        <v>205</v>
      </c>
      <c r="W37" s="63">
        <v>42929.600810185184</v>
      </c>
    </row>
    <row r="38" spans="1:23" s="33" customFormat="1" x14ac:dyDescent="0.25">
      <c r="A38" s="30" t="str">
        <f>IF(COUNTA(B38:B38)=0,"", MAX(A$2:A37)+1)</f>
        <v/>
      </c>
      <c r="C38" s="34"/>
      <c r="D38" s="63"/>
      <c r="M38" s="34"/>
      <c r="Q38" s="34"/>
      <c r="T38" s="33" t="s">
        <v>167</v>
      </c>
      <c r="U38" t="s">
        <v>208</v>
      </c>
      <c r="V38" s="62" t="s">
        <v>205</v>
      </c>
      <c r="W38" s="63">
        <v>42929.6016087963</v>
      </c>
    </row>
    <row r="39" spans="1:23" s="33" customFormat="1" x14ac:dyDescent="0.25">
      <c r="A39" s="30" t="str">
        <f>IF(COUNTA(B39:B39)=0,"", MAX(A$2:A38)+1)</f>
        <v/>
      </c>
      <c r="C39" s="34"/>
      <c r="D39" s="63"/>
      <c r="M39" s="34"/>
      <c r="Q39" s="34"/>
      <c r="T39" s="33" t="s">
        <v>167</v>
      </c>
      <c r="U39" t="s">
        <v>209</v>
      </c>
      <c r="V39" s="62" t="s">
        <v>205</v>
      </c>
      <c r="W39" s="63">
        <v>42929.604930555557</v>
      </c>
    </row>
    <row r="40" spans="1:23" s="33" customFormat="1" x14ac:dyDescent="0.25">
      <c r="A40" s="30" t="str">
        <f>IF(COUNTA(B40:B40)=0,"", MAX(A$2:A39)+1)</f>
        <v/>
      </c>
      <c r="C40" s="34"/>
      <c r="D40" s="63"/>
      <c r="M40" s="34"/>
      <c r="Q40" s="34"/>
      <c r="T40" s="33" t="s">
        <v>167</v>
      </c>
      <c r="U40" t="s">
        <v>210</v>
      </c>
      <c r="V40" s="62" t="s">
        <v>205</v>
      </c>
      <c r="W40" s="63">
        <v>42929.60565972222</v>
      </c>
    </row>
    <row r="41" spans="1:23" s="33" customFormat="1" x14ac:dyDescent="0.25">
      <c r="A41" s="30" t="str">
        <f>IF(COUNTA(B41:B41)=0,"", MAX(A$2:A40)+1)</f>
        <v/>
      </c>
      <c r="C41" s="34"/>
      <c r="D41" s="63"/>
      <c r="M41" s="34"/>
      <c r="Q41" s="34"/>
      <c r="T41" s="33" t="s">
        <v>167</v>
      </c>
      <c r="U41" t="s">
        <v>211</v>
      </c>
      <c r="V41" s="62" t="s">
        <v>205</v>
      </c>
      <c r="W41" s="63">
        <v>42929.606469907405</v>
      </c>
    </row>
    <row r="42" spans="1:23" s="33" customFormat="1" x14ac:dyDescent="0.25">
      <c r="A42" s="30" t="str">
        <f>IF(COUNTA(B42:B42)=0,"", MAX(A$2:A41)+1)</f>
        <v/>
      </c>
      <c r="C42" s="34"/>
      <c r="D42" s="63"/>
      <c r="M42" s="34"/>
      <c r="Q42" s="34"/>
      <c r="T42" s="33" t="s">
        <v>167</v>
      </c>
      <c r="U42" t="s">
        <v>213</v>
      </c>
      <c r="V42" s="62" t="s">
        <v>212</v>
      </c>
      <c r="W42" s="63">
        <v>42929.607997685183</v>
      </c>
    </row>
    <row r="43" spans="1:23" s="33" customFormat="1" x14ac:dyDescent="0.25">
      <c r="A43" s="30" t="str">
        <f>IF(COUNTA(B43:B43)=0,"", MAX(A$2:A42)+1)</f>
        <v/>
      </c>
      <c r="C43" s="34"/>
      <c r="D43" s="63"/>
      <c r="M43" s="34"/>
      <c r="Q43" s="34"/>
      <c r="T43" s="33" t="s">
        <v>167</v>
      </c>
      <c r="U43" t="s">
        <v>214</v>
      </c>
      <c r="V43" s="62" t="s">
        <v>212</v>
      </c>
      <c r="W43" s="63">
        <v>42929.608101851853</v>
      </c>
    </row>
    <row r="44" spans="1:23" s="33" customFormat="1" x14ac:dyDescent="0.25">
      <c r="A44" s="30" t="str">
        <f>IF(COUNTA(B44:B44)=0,"", MAX(A$2:A43)+1)</f>
        <v/>
      </c>
      <c r="C44" s="34"/>
      <c r="D44" s="63"/>
      <c r="M44" s="34"/>
      <c r="Q44" s="34"/>
      <c r="T44" s="33" t="s">
        <v>167</v>
      </c>
      <c r="U44" t="s">
        <v>215</v>
      </c>
      <c r="V44" s="62" t="s">
        <v>212</v>
      </c>
      <c r="W44" s="63">
        <v>42929.608217592591</v>
      </c>
    </row>
    <row r="45" spans="1:23" s="33" customFormat="1" x14ac:dyDescent="0.25">
      <c r="A45" s="30" t="str">
        <f>IF(COUNTA(B45:B45)=0,"", MAX(A$2:A44)+1)</f>
        <v/>
      </c>
      <c r="C45" s="34"/>
      <c r="D45" s="63"/>
      <c r="M45" s="34"/>
      <c r="Q45" s="34"/>
      <c r="T45" s="33" t="s">
        <v>167</v>
      </c>
      <c r="U45" t="s">
        <v>216</v>
      </c>
      <c r="V45" s="62" t="s">
        <v>212</v>
      </c>
      <c r="W45" s="63">
        <v>42929.60833333333</v>
      </c>
    </row>
    <row r="46" spans="1:23" s="33" customFormat="1" x14ac:dyDescent="0.25">
      <c r="A46" s="30" t="str">
        <f>IF(COUNTA(B46:B46)=0,"", MAX(A$2:A45)+1)</f>
        <v/>
      </c>
      <c r="C46" s="34"/>
      <c r="D46" s="63"/>
      <c r="M46" s="34"/>
      <c r="Q46" s="34"/>
      <c r="T46" s="33" t="s">
        <v>167</v>
      </c>
      <c r="U46" t="s">
        <v>217</v>
      </c>
      <c r="V46" s="62" t="s">
        <v>212</v>
      </c>
      <c r="W46" s="63">
        <v>42929.608437499999</v>
      </c>
    </row>
    <row r="47" spans="1:23" s="33" customFormat="1" x14ac:dyDescent="0.25">
      <c r="A47" s="30" t="str">
        <f>IF(COUNTA(B47:B47)=0,"", MAX(A$2:A46)+1)</f>
        <v/>
      </c>
      <c r="C47" s="34"/>
      <c r="D47" s="63"/>
      <c r="M47" s="34"/>
      <c r="Q47" s="34"/>
      <c r="T47" s="33" t="s">
        <v>167</v>
      </c>
      <c r="U47" t="s">
        <v>218</v>
      </c>
      <c r="V47" s="62" t="s">
        <v>212</v>
      </c>
      <c r="W47" s="63">
        <v>42929.608553240738</v>
      </c>
    </row>
    <row r="48" spans="1:23" s="33" customFormat="1" x14ac:dyDescent="0.25">
      <c r="A48" s="30" t="str">
        <f>IF(COUNTA(B48:B48)=0,"", MAX(A$2:A47)+1)</f>
        <v/>
      </c>
      <c r="C48" s="34"/>
      <c r="D48" s="63"/>
      <c r="M48" s="34"/>
      <c r="Q48" s="34"/>
      <c r="T48" s="33" t="s">
        <v>167</v>
      </c>
      <c r="U48" t="s">
        <v>219</v>
      </c>
      <c r="V48" s="62" t="s">
        <v>205</v>
      </c>
      <c r="W48" s="63">
        <v>42929.610231481478</v>
      </c>
    </row>
    <row r="49" spans="1:23" s="33" customFormat="1" x14ac:dyDescent="0.25">
      <c r="A49" s="30" t="str">
        <f>IF(COUNTA(B49:B49)=0,"", MAX(A$2:A48)+1)</f>
        <v/>
      </c>
      <c r="C49" s="34"/>
      <c r="D49" s="63"/>
      <c r="M49" s="34"/>
      <c r="Q49" s="34"/>
      <c r="T49" s="33" t="s">
        <v>167</v>
      </c>
      <c r="U49" t="s">
        <v>220</v>
      </c>
      <c r="V49" s="62" t="s">
        <v>205</v>
      </c>
      <c r="W49" s="63">
        <v>42929.610486111109</v>
      </c>
    </row>
    <row r="50" spans="1:23" s="33" customFormat="1" x14ac:dyDescent="0.25">
      <c r="A50" s="30" t="str">
        <f>IF(COUNTA(B50:B50)=0,"", MAX(A$2:A49)+1)</f>
        <v/>
      </c>
      <c r="C50" s="34"/>
      <c r="D50" s="63"/>
      <c r="M50" s="34"/>
      <c r="Q50" s="34"/>
      <c r="T50" s="33" t="s">
        <v>167</v>
      </c>
      <c r="U50" t="s">
        <v>221</v>
      </c>
      <c r="V50" s="62" t="s">
        <v>205</v>
      </c>
      <c r="W50" s="63">
        <v>42929.610844907409</v>
      </c>
    </row>
    <row r="51" spans="1:23" s="33" customFormat="1" x14ac:dyDescent="0.25">
      <c r="A51" s="30" t="str">
        <f>IF(COUNTA(B51:B51)=0,"", MAX(A$2:A50)+1)</f>
        <v/>
      </c>
      <c r="C51" s="34"/>
      <c r="D51" s="63"/>
      <c r="M51" s="34"/>
      <c r="Q51" s="34"/>
      <c r="T51" s="33" t="s">
        <v>167</v>
      </c>
      <c r="U51" t="s">
        <v>222</v>
      </c>
      <c r="V51" s="62" t="s">
        <v>205</v>
      </c>
      <c r="W51" s="63">
        <v>42929.61210648148</v>
      </c>
    </row>
    <row r="52" spans="1:23" s="33" customFormat="1" x14ac:dyDescent="0.25">
      <c r="A52" s="30" t="str">
        <f>IF(COUNTA(B52:B52)=0,"", MAX(A$2:A51)+1)</f>
        <v/>
      </c>
      <c r="C52" s="34"/>
      <c r="D52" s="63"/>
      <c r="M52" s="34"/>
      <c r="Q52" s="34"/>
      <c r="T52" s="33" t="s">
        <v>167</v>
      </c>
      <c r="U52" t="s">
        <v>224</v>
      </c>
      <c r="V52" s="62" t="s">
        <v>223</v>
      </c>
      <c r="W52" s="63">
        <v>42929.617013888892</v>
      </c>
    </row>
    <row r="53" spans="1:23" s="33" customFormat="1" x14ac:dyDescent="0.25">
      <c r="A53" s="30" t="str">
        <f>IF(COUNTA(B53:B53)=0,"", MAX(A$2:A52)+1)</f>
        <v/>
      </c>
      <c r="C53" s="34"/>
      <c r="D53" s="63"/>
      <c r="M53" s="34"/>
      <c r="Q53" s="34"/>
      <c r="T53" s="33" t="s">
        <v>167</v>
      </c>
      <c r="U53" t="s">
        <v>225</v>
      </c>
      <c r="V53" s="62" t="s">
        <v>212</v>
      </c>
      <c r="W53" s="63">
        <v>42929.618171296293</v>
      </c>
    </row>
    <row r="54" spans="1:23" s="33" customFormat="1" x14ac:dyDescent="0.25">
      <c r="A54" s="30" t="str">
        <f>IF(COUNTA(B54:B54)=0,"", MAX(A$2:A53)+1)</f>
        <v/>
      </c>
      <c r="C54" s="34"/>
      <c r="D54" s="63"/>
      <c r="M54" s="34"/>
      <c r="Q54" s="34"/>
      <c r="T54" s="33" t="s">
        <v>167</v>
      </c>
      <c r="U54" t="s">
        <v>227</v>
      </c>
      <c r="V54" s="62" t="s">
        <v>226</v>
      </c>
      <c r="W54" s="63">
        <v>42929.622337962966</v>
      </c>
    </row>
    <row r="55" spans="1:23" s="33" customFormat="1" x14ac:dyDescent="0.25">
      <c r="A55" s="30" t="str">
        <f>IF(COUNTA(B55:B55)=0,"", MAX(A$2:A54)+1)</f>
        <v/>
      </c>
      <c r="C55" s="34"/>
      <c r="D55" s="63"/>
      <c r="M55" s="34"/>
      <c r="Q55" s="34"/>
      <c r="T55" s="33" t="s">
        <v>167</v>
      </c>
      <c r="U55" t="s">
        <v>228</v>
      </c>
      <c r="V55" s="62" t="s">
        <v>212</v>
      </c>
      <c r="W55" s="63">
        <v>42929.623611111114</v>
      </c>
    </row>
    <row r="56" spans="1:23" s="33" customFormat="1" x14ac:dyDescent="0.25">
      <c r="A56" s="30" t="str">
        <f>IF(COUNTA(B56:B56)=0,"", MAX(A$2:A55)+1)</f>
        <v/>
      </c>
      <c r="C56" s="34"/>
      <c r="D56" s="63"/>
      <c r="M56" s="34"/>
      <c r="Q56" s="34"/>
      <c r="T56" s="33" t="s">
        <v>167</v>
      </c>
      <c r="U56" t="s">
        <v>229</v>
      </c>
      <c r="V56" s="62" t="s">
        <v>212</v>
      </c>
      <c r="W56" s="63">
        <v>42929.626921296294</v>
      </c>
    </row>
    <row r="57" spans="1:23" s="33" customFormat="1" x14ac:dyDescent="0.25">
      <c r="A57" s="30" t="str">
        <f>IF(COUNTA(B57:B57)=0,"", MAX(A$2:A56)+1)</f>
        <v/>
      </c>
      <c r="C57" s="34"/>
      <c r="D57" s="63"/>
      <c r="M57" s="34"/>
      <c r="Q57" s="34"/>
      <c r="T57" s="33" t="s">
        <v>167</v>
      </c>
      <c r="U57" t="s">
        <v>230</v>
      </c>
      <c r="V57" s="62" t="s">
        <v>212</v>
      </c>
      <c r="W57" s="63">
        <v>42929.633750000001</v>
      </c>
    </row>
    <row r="58" spans="1:23" s="33" customFormat="1" x14ac:dyDescent="0.25">
      <c r="A58" s="30" t="str">
        <f>IF(COUNTA(B58:B58)=0,"", MAX(A$2:A57)+1)</f>
        <v/>
      </c>
      <c r="C58" s="34"/>
      <c r="D58" s="63"/>
      <c r="M58" s="34"/>
      <c r="Q58" s="34"/>
      <c r="T58" s="33" t="s">
        <v>167</v>
      </c>
      <c r="U58" t="s">
        <v>231</v>
      </c>
      <c r="V58" s="62" t="s">
        <v>212</v>
      </c>
      <c r="W58" s="63">
        <v>42929.63417824074</v>
      </c>
    </row>
    <row r="59" spans="1:23" s="33" customFormat="1" x14ac:dyDescent="0.25">
      <c r="A59" s="30" t="str">
        <f>IF(COUNTA(B59:B59)=0,"", MAX(A$2:A58)+1)</f>
        <v/>
      </c>
      <c r="C59" s="34"/>
      <c r="D59" s="63"/>
      <c r="M59" s="34"/>
      <c r="Q59" s="34"/>
      <c r="T59" s="33" t="s">
        <v>167</v>
      </c>
      <c r="U59" t="s">
        <v>233</v>
      </c>
      <c r="V59" s="62" t="s">
        <v>232</v>
      </c>
      <c r="W59" s="63">
        <v>42929.634837962964</v>
      </c>
    </row>
    <row r="60" spans="1:23" s="33" customFormat="1" x14ac:dyDescent="0.25">
      <c r="A60" s="30" t="str">
        <f>IF(COUNTA(B60:B60)=0,"", MAX(A$2:A59)+1)</f>
        <v/>
      </c>
      <c r="C60" s="34"/>
      <c r="D60" s="63"/>
      <c r="M60" s="34"/>
      <c r="Q60" s="34"/>
      <c r="T60" s="33" t="s">
        <v>167</v>
      </c>
      <c r="U60" t="s">
        <v>235</v>
      </c>
      <c r="V60" s="62" t="s">
        <v>234</v>
      </c>
      <c r="W60" s="63">
        <v>42929.63722222222</v>
      </c>
    </row>
    <row r="61" spans="1:23" s="33" customFormat="1" x14ac:dyDescent="0.25">
      <c r="A61" s="30" t="str">
        <f>IF(COUNTA(B61:B61)=0,"", MAX(A$2:A60)+1)</f>
        <v/>
      </c>
      <c r="C61" s="34"/>
      <c r="D61" s="63"/>
      <c r="M61" s="34"/>
      <c r="Q61" s="34"/>
      <c r="T61" s="33" t="s">
        <v>167</v>
      </c>
      <c r="U61" t="s">
        <v>236</v>
      </c>
      <c r="V61" s="62" t="s">
        <v>234</v>
      </c>
      <c r="W61" s="63">
        <v>42929.637418981481</v>
      </c>
    </row>
    <row r="62" spans="1:23" s="33" customFormat="1" x14ac:dyDescent="0.25">
      <c r="A62" s="30" t="str">
        <f>IF(COUNTA(B62:B62)=0,"", MAX(A$2:A61)+1)</f>
        <v/>
      </c>
      <c r="C62" s="34"/>
      <c r="D62" s="63"/>
      <c r="M62" s="34"/>
      <c r="Q62" s="34"/>
      <c r="T62" s="33" t="s">
        <v>167</v>
      </c>
      <c r="U62" t="s">
        <v>237</v>
      </c>
      <c r="V62" s="62" t="s">
        <v>234</v>
      </c>
      <c r="W62" s="63">
        <v>42929.63753472222</v>
      </c>
    </row>
    <row r="63" spans="1:23" s="33" customFormat="1" x14ac:dyDescent="0.25">
      <c r="A63" s="30" t="str">
        <f>IF(COUNTA(B63:B63)=0,"", MAX(A$2:A62)+1)</f>
        <v/>
      </c>
      <c r="C63" s="34"/>
      <c r="D63" s="63"/>
      <c r="M63" s="34"/>
      <c r="Q63" s="34"/>
      <c r="T63" s="33" t="s">
        <v>167</v>
      </c>
      <c r="U63" t="s">
        <v>239</v>
      </c>
      <c r="V63" s="62" t="s">
        <v>238</v>
      </c>
      <c r="W63" s="63">
        <v>42929.637662037036</v>
      </c>
    </row>
    <row r="64" spans="1:23" s="33" customFormat="1" x14ac:dyDescent="0.25">
      <c r="A64" s="30" t="str">
        <f>IF(COUNTA(B64:B64)=0,"", MAX(A$2:A63)+1)</f>
        <v/>
      </c>
      <c r="C64" s="34"/>
      <c r="D64" s="63"/>
      <c r="M64" s="34"/>
      <c r="Q64" s="34"/>
      <c r="T64" s="33" t="s">
        <v>167</v>
      </c>
      <c r="U64" t="s">
        <v>241</v>
      </c>
      <c r="V64" s="62" t="s">
        <v>240</v>
      </c>
      <c r="W64" s="63">
        <v>42929.638541666667</v>
      </c>
    </row>
    <row r="65" spans="1:23" s="33" customFormat="1" x14ac:dyDescent="0.25">
      <c r="A65" s="30" t="str">
        <f>IF(COUNTA(B65:B65)=0,"", MAX(A$2:A64)+1)</f>
        <v/>
      </c>
      <c r="C65" s="34"/>
      <c r="D65" s="63"/>
      <c r="M65" s="34"/>
      <c r="Q65" s="34"/>
      <c r="T65" s="33" t="s">
        <v>167</v>
      </c>
      <c r="U65" t="s">
        <v>242</v>
      </c>
      <c r="V65" s="62" t="s">
        <v>240</v>
      </c>
      <c r="W65" s="63">
        <v>42929.638668981483</v>
      </c>
    </row>
    <row r="66" spans="1:23" s="33" customFormat="1" x14ac:dyDescent="0.25">
      <c r="A66" s="30" t="str">
        <f>IF(COUNTA(B66:B66)=0,"", MAX(A$2:A65)+1)</f>
        <v/>
      </c>
      <c r="C66" s="34"/>
      <c r="D66" s="63"/>
      <c r="M66" s="34"/>
      <c r="Q66" s="34"/>
      <c r="T66" s="33" t="s">
        <v>167</v>
      </c>
      <c r="U66" t="s">
        <v>244</v>
      </c>
      <c r="V66" s="62" t="s">
        <v>243</v>
      </c>
      <c r="W66" s="63">
        <v>42929.638854166667</v>
      </c>
    </row>
    <row r="67" spans="1:23" s="33" customFormat="1" x14ac:dyDescent="0.25">
      <c r="A67" s="30" t="str">
        <f>IF(COUNTA(B67:B67)=0,"", MAX(A$2:A66)+1)</f>
        <v/>
      </c>
      <c r="C67" s="34"/>
      <c r="D67" s="63"/>
      <c r="M67" s="34"/>
      <c r="Q67" s="34"/>
      <c r="T67" s="33" t="s">
        <v>167</v>
      </c>
      <c r="U67" t="s">
        <v>246</v>
      </c>
      <c r="V67" s="62" t="s">
        <v>245</v>
      </c>
      <c r="W67" s="63">
        <v>42929.644884259258</v>
      </c>
    </row>
    <row r="68" spans="1:23" s="33" customFormat="1" x14ac:dyDescent="0.25">
      <c r="A68" s="30" t="str">
        <f>IF(COUNTA(B68:B68)=0,"", MAX(A$2:A67)+1)</f>
        <v/>
      </c>
      <c r="C68" s="34"/>
      <c r="D68" s="63"/>
      <c r="M68" s="34"/>
      <c r="Q68" s="34"/>
      <c r="T68" s="33" t="s">
        <v>167</v>
      </c>
      <c r="U68" t="s">
        <v>247</v>
      </c>
      <c r="V68" s="62" t="s">
        <v>245</v>
      </c>
      <c r="W68" s="63">
        <v>42929.644988425927</v>
      </c>
    </row>
    <row r="69" spans="1:23" s="33" customFormat="1" x14ac:dyDescent="0.25">
      <c r="A69" s="30" t="str">
        <f>IF(COUNTA(B69:B69)=0,"", MAX(A$2:A68)+1)</f>
        <v/>
      </c>
      <c r="C69" s="34"/>
      <c r="D69" s="63"/>
      <c r="M69" s="34"/>
      <c r="Q69" s="34"/>
      <c r="T69" s="33" t="s">
        <v>167</v>
      </c>
      <c r="U69" t="s">
        <v>249</v>
      </c>
      <c r="V69" s="62" t="s">
        <v>248</v>
      </c>
      <c r="W69" s="63">
        <v>42929.645092592589</v>
      </c>
    </row>
    <row r="70" spans="1:23" s="33" customFormat="1" x14ac:dyDescent="0.25">
      <c r="A70" s="30" t="str">
        <f>IF(COUNTA(B70:B70)=0,"", MAX(A$2:A69)+1)</f>
        <v/>
      </c>
      <c r="C70" s="34"/>
      <c r="D70" s="63"/>
      <c r="M70" s="34"/>
      <c r="Q70" s="34"/>
      <c r="U70" s="62"/>
      <c r="V70" s="62"/>
      <c r="W70" s="63"/>
    </row>
    <row r="71" spans="1:23" s="33" customFormat="1" x14ac:dyDescent="0.25">
      <c r="A71" s="30" t="str">
        <f>IF(COUNTA(B71:B71)=0,"", MAX(A$2:A70)+1)</f>
        <v/>
      </c>
      <c r="C71" s="34"/>
      <c r="D71" s="63"/>
      <c r="M71" s="34"/>
      <c r="Q71" s="34"/>
      <c r="U71" s="62"/>
      <c r="V71" s="62"/>
      <c r="W71" s="63"/>
    </row>
    <row r="72" spans="1:23" s="33" customFormat="1" x14ac:dyDescent="0.25">
      <c r="A72" s="30" t="str">
        <f>IF(COUNTA(B72:B72)=0,"", MAX(A$2:A71)+1)</f>
        <v/>
      </c>
      <c r="C72" s="34"/>
      <c r="D72" s="63"/>
      <c r="M72" s="34"/>
      <c r="Q72" s="34"/>
      <c r="U72" s="62"/>
      <c r="V72" s="62"/>
      <c r="W72" s="63"/>
    </row>
    <row r="73" spans="1:23" s="33" customFormat="1" x14ac:dyDescent="0.25">
      <c r="A73" s="30" t="str">
        <f>IF(COUNTA(B73:B73)=0,"", MAX(A$2:A72)+1)</f>
        <v/>
      </c>
      <c r="C73" s="34"/>
      <c r="D73" s="63"/>
      <c r="M73" s="34"/>
      <c r="Q73" s="34"/>
      <c r="U73" s="62"/>
      <c r="V73" s="62"/>
      <c r="W73" s="63"/>
    </row>
    <row r="74" spans="1:23" s="33" customFormat="1" x14ac:dyDescent="0.25">
      <c r="A74" s="30" t="str">
        <f>IF(COUNTA(B74:B74)=0,"", MAX(A$2:A73)+1)</f>
        <v/>
      </c>
      <c r="C74" s="34"/>
      <c r="D74" s="63"/>
      <c r="M74" s="34"/>
      <c r="Q74" s="34"/>
      <c r="U74" s="62"/>
      <c r="V74" s="62"/>
      <c r="W74" s="63"/>
    </row>
    <row r="75" spans="1:23" s="33" customFormat="1" x14ac:dyDescent="0.25">
      <c r="A75" s="30" t="str">
        <f>IF(COUNTA(B75:B75)=0,"", MAX(A$2:A74)+1)</f>
        <v/>
      </c>
      <c r="C75" s="34"/>
      <c r="D75" s="63"/>
      <c r="M75" s="34"/>
      <c r="Q75" s="34"/>
      <c r="U75" s="62"/>
      <c r="V75" s="62"/>
      <c r="W75" s="63"/>
    </row>
    <row r="76" spans="1:23" s="33" customFormat="1" x14ac:dyDescent="0.25">
      <c r="A76" s="30" t="str">
        <f>IF(COUNTA(B76:B76)=0,"", MAX(A$2:A75)+1)</f>
        <v/>
      </c>
      <c r="C76" s="34"/>
      <c r="D76" s="63"/>
      <c r="M76" s="34"/>
      <c r="Q76" s="34"/>
      <c r="U76" s="62"/>
      <c r="V76" s="62"/>
      <c r="W76" s="63"/>
    </row>
    <row r="77" spans="1:23" s="33" customFormat="1" x14ac:dyDescent="0.25">
      <c r="A77" s="30" t="str">
        <f>IF(COUNTA(B77:B77)=0,"", MAX(A$2:A76)+1)</f>
        <v/>
      </c>
      <c r="C77" s="34"/>
      <c r="D77" s="63"/>
      <c r="M77" s="34"/>
      <c r="Q77" s="34"/>
      <c r="U77" s="62"/>
      <c r="V77" s="62"/>
      <c r="W77" s="63"/>
    </row>
    <row r="78" spans="1:23" s="33" customFormat="1" x14ac:dyDescent="0.25">
      <c r="A78" s="30" t="str">
        <f>IF(COUNTA(B78:B78)=0,"", MAX(A$2:A77)+1)</f>
        <v/>
      </c>
      <c r="C78" s="34"/>
      <c r="D78" s="63"/>
      <c r="M78" s="34"/>
      <c r="Q78" s="34"/>
      <c r="U78" s="62"/>
      <c r="V78" s="62"/>
      <c r="W78" s="63"/>
    </row>
    <row r="79" spans="1:23" s="33" customFormat="1" x14ac:dyDescent="0.25">
      <c r="A79" s="30" t="str">
        <f>IF(COUNTA(B79:B79)=0,"", MAX(A$2:A78)+1)</f>
        <v/>
      </c>
      <c r="C79" s="34"/>
      <c r="D79" s="63"/>
      <c r="M79" s="34"/>
      <c r="Q79" s="34"/>
      <c r="U79" s="62"/>
      <c r="V79" s="62"/>
      <c r="W79" s="63"/>
    </row>
    <row r="80" spans="1:23" s="33" customFormat="1" x14ac:dyDescent="0.25">
      <c r="A80" s="30" t="str">
        <f>IF(COUNTA(B80:B80)=0,"", MAX(A$2:A79)+1)</f>
        <v/>
      </c>
      <c r="C80" s="34"/>
      <c r="D80" s="63"/>
      <c r="M80" s="34"/>
      <c r="Q80" s="34"/>
      <c r="U80" s="62"/>
      <c r="V80" s="62"/>
      <c r="W80" s="63"/>
    </row>
    <row r="81" spans="1:23" s="33" customFormat="1" x14ac:dyDescent="0.25">
      <c r="A81" s="30" t="str">
        <f>IF(COUNTA(B81:B81)=0,"", MAX(A$2:A80)+1)</f>
        <v/>
      </c>
      <c r="C81" s="34"/>
      <c r="D81" s="63"/>
      <c r="M81" s="34"/>
      <c r="Q81" s="34"/>
      <c r="U81" s="62"/>
      <c r="V81" s="62"/>
      <c r="W81" s="63"/>
    </row>
    <row r="82" spans="1:23" s="33" customFormat="1" x14ac:dyDescent="0.25">
      <c r="A82" s="30" t="str">
        <f>IF(COUNTA(B82:B82)=0,"", MAX(A$2:A81)+1)</f>
        <v/>
      </c>
      <c r="C82" s="34"/>
      <c r="D82" s="63"/>
      <c r="M82" s="34"/>
      <c r="Q82" s="34"/>
      <c r="U82" s="62"/>
      <c r="V82" s="62"/>
      <c r="W82" s="63"/>
    </row>
    <row r="83" spans="1:23" s="33" customFormat="1" x14ac:dyDescent="0.25">
      <c r="A83" s="30" t="str">
        <f>IF(COUNTA(B83:B83)=0,"", MAX(A$2:A82)+1)</f>
        <v/>
      </c>
      <c r="C83" s="34"/>
      <c r="D83" s="63"/>
      <c r="M83" s="34"/>
      <c r="Q83" s="34"/>
      <c r="U83" s="62"/>
      <c r="V83" s="62"/>
      <c r="W83" s="63"/>
    </row>
    <row r="84" spans="1:23" s="33" customFormat="1" x14ac:dyDescent="0.25">
      <c r="A84" s="30" t="str">
        <f>IF(COUNTA(B84:B84)=0,"", MAX(A$2:A83)+1)</f>
        <v/>
      </c>
      <c r="C84" s="34"/>
      <c r="D84" s="63"/>
      <c r="M84" s="34"/>
      <c r="Q84" s="34"/>
      <c r="U84" s="62"/>
      <c r="V84" s="62"/>
      <c r="W84" s="63"/>
    </row>
    <row r="85" spans="1:23" s="33" customFormat="1" x14ac:dyDescent="0.25">
      <c r="A85" s="30" t="str">
        <f>IF(COUNTA(B85:B85)=0,"", MAX(A$2:A84)+1)</f>
        <v/>
      </c>
      <c r="C85" s="34"/>
      <c r="D85" s="63"/>
      <c r="M85" s="34"/>
      <c r="Q85" s="34"/>
      <c r="U85" s="62"/>
      <c r="V85" s="62"/>
      <c r="W85" s="63"/>
    </row>
    <row r="86" spans="1:23" s="33" customFormat="1" x14ac:dyDescent="0.25">
      <c r="A86" s="30" t="str">
        <f>IF(COUNTA(B86:B86)=0,"", MAX(A$2:A85)+1)</f>
        <v/>
      </c>
      <c r="C86" s="34"/>
      <c r="D86" s="63"/>
      <c r="M86" s="34"/>
      <c r="Q86" s="34"/>
      <c r="U86" s="62"/>
      <c r="V86" s="62"/>
      <c r="W86" s="63"/>
    </row>
    <row r="87" spans="1:23" s="33" customFormat="1" x14ac:dyDescent="0.25">
      <c r="A87" s="30" t="str">
        <f>IF(COUNTA(B87:B87)=0,"", MAX(A$2:A86)+1)</f>
        <v/>
      </c>
      <c r="C87" s="34"/>
      <c r="D87" s="63"/>
      <c r="M87" s="34"/>
      <c r="Q87" s="34"/>
      <c r="U87" s="62"/>
      <c r="V87" s="62"/>
      <c r="W87" s="63"/>
    </row>
    <row r="88" spans="1:23" s="33" customFormat="1" x14ac:dyDescent="0.25">
      <c r="A88" s="30" t="str">
        <f>IF(COUNTA(B88:B88)=0,"", MAX(A$2:A87)+1)</f>
        <v/>
      </c>
      <c r="C88" s="34"/>
      <c r="D88" s="63"/>
      <c r="M88" s="34"/>
      <c r="Q88" s="34"/>
      <c r="U88" s="62"/>
      <c r="V88" s="62"/>
      <c r="W88" s="63"/>
    </row>
    <row r="89" spans="1:23" s="33" customFormat="1" x14ac:dyDescent="0.25">
      <c r="A89" s="30" t="str">
        <f>IF(COUNTA(B89:B89)=0,"", MAX(A$2:A88)+1)</f>
        <v/>
      </c>
      <c r="C89" s="34"/>
      <c r="D89" s="63"/>
      <c r="M89" s="34"/>
      <c r="Q89" s="34"/>
      <c r="U89" s="62"/>
      <c r="V89" s="62"/>
      <c r="W89" s="63"/>
    </row>
    <row r="90" spans="1:23" s="33" customFormat="1" x14ac:dyDescent="0.25">
      <c r="A90" s="30" t="str">
        <f>IF(COUNTA(B90:B90)=0,"", MAX(A$2:A89)+1)</f>
        <v/>
      </c>
      <c r="C90" s="34"/>
      <c r="D90" s="63"/>
      <c r="M90" s="34"/>
      <c r="Q90" s="34"/>
      <c r="U90" s="62"/>
      <c r="V90" s="62"/>
      <c r="W90" s="63"/>
    </row>
    <row r="91" spans="1:23" s="33" customFormat="1" x14ac:dyDescent="0.25">
      <c r="A91" s="30" t="str">
        <f>IF(COUNTA(B91:B91)=0,"", MAX(A$2:A90)+1)</f>
        <v/>
      </c>
      <c r="C91" s="34"/>
      <c r="D91" s="63"/>
      <c r="M91" s="34"/>
      <c r="Q91" s="34"/>
      <c r="U91" s="62"/>
      <c r="V91" s="62"/>
      <c r="W91" s="63"/>
    </row>
    <row r="92" spans="1:23" s="33" customFormat="1" x14ac:dyDescent="0.25">
      <c r="A92" s="30" t="str">
        <f>IF(COUNTA(B92:B92)=0,"", MAX(A$2:A91)+1)</f>
        <v/>
      </c>
      <c r="C92" s="34"/>
      <c r="D92" s="63"/>
      <c r="M92" s="34"/>
      <c r="Q92" s="34"/>
      <c r="U92" s="62"/>
      <c r="V92" s="62"/>
      <c r="W92" s="63"/>
    </row>
    <row r="93" spans="1:23" x14ac:dyDescent="0.25">
      <c r="A93" s="30" t="str">
        <f>IF(COUNTA(B93:B93)=0,"", MAX(A$2:A92)+1)</f>
        <v/>
      </c>
      <c r="I93" s="37"/>
    </row>
    <row r="94" spans="1:23" x14ac:dyDescent="0.25">
      <c r="A94" s="30" t="str">
        <f>IF(COUNTA(B94:B94)=0,"", MAX(A$2:A93)+1)</f>
        <v/>
      </c>
      <c r="I94" s="37"/>
    </row>
    <row r="95" spans="1:23" x14ac:dyDescent="0.25">
      <c r="A95" s="30" t="str">
        <f>IF(COUNTA(B95:B95)=0,"", MAX(A$2:A94)+1)</f>
        <v/>
      </c>
    </row>
    <row r="96" spans="1:23" x14ac:dyDescent="0.25">
      <c r="A96" s="30" t="str">
        <f>IF(COUNTA(B96:B96)=0,"", MAX(A$2:A95)+1)</f>
        <v/>
      </c>
    </row>
    <row r="97" spans="1:1" x14ac:dyDescent="0.25">
      <c r="A97" s="30" t="str">
        <f>IF(COUNTA(B97:B97)=0,"", MAX(A$2:A96)+1)</f>
        <v/>
      </c>
    </row>
    <row r="98" spans="1:1" x14ac:dyDescent="0.25">
      <c r="A98" s="30" t="str">
        <f>IF(COUNTA(B98:B98)=0,"", MAX(A$2:A97)+1)</f>
        <v/>
      </c>
    </row>
    <row r="99" spans="1:1" x14ac:dyDescent="0.25">
      <c r="A99" s="30" t="str">
        <f>IF(COUNTA(B99:B99)=0,"", MAX(A$2:A98)+1)</f>
        <v/>
      </c>
    </row>
    <row r="100" spans="1:1" x14ac:dyDescent="0.25">
      <c r="A100" s="30" t="str">
        <f>IF(COUNTA(B100:B100)=0,"", MAX(A$2:A99)+1)</f>
        <v/>
      </c>
    </row>
    <row r="101" spans="1:1" x14ac:dyDescent="0.25">
      <c r="A101" s="30" t="str">
        <f>IF(COUNTA(B101:B101)=0,"", MAX(A$2:A100)+1)</f>
        <v/>
      </c>
    </row>
    <row r="102" spans="1:1" x14ac:dyDescent="0.25">
      <c r="A102" s="30" t="str">
        <f>IF(COUNTA(B102:B102)=0,"", MAX(A$2:A101)+1)</f>
        <v/>
      </c>
    </row>
  </sheetData>
  <mergeCells count="2">
    <mergeCell ref="A1:C1"/>
    <mergeCell ref="T1:U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4" sqref="C14"/>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80" t="s">
        <v>87</v>
      </c>
      <c r="B1" s="80"/>
      <c r="C1" s="80"/>
      <c r="D1" s="80"/>
      <c r="E1" s="80"/>
      <c r="F1" s="80"/>
      <c r="G1" s="80"/>
    </row>
    <row r="2" spans="1:14" s="2" customFormat="1" ht="38.25" customHeight="1" x14ac:dyDescent="0.25">
      <c r="B2" s="2" t="s">
        <v>64</v>
      </c>
      <c r="C2" s="1" t="s">
        <v>63</v>
      </c>
      <c r="D2" s="6"/>
      <c r="F2" s="2" t="s">
        <v>76</v>
      </c>
      <c r="G2" s="2" t="s">
        <v>64</v>
      </c>
      <c r="M2" s="6"/>
      <c r="N2" s="6"/>
    </row>
    <row r="3" spans="1:14" x14ac:dyDescent="0.25">
      <c r="A3" s="11">
        <f>IF(ISBLANK(B3),"", MAX(A$2:A2)+1)</f>
        <v>1</v>
      </c>
      <c r="B3" s="17" t="s">
        <v>57</v>
      </c>
      <c r="C3" s="17">
        <v>78</v>
      </c>
      <c r="D3" s="12"/>
      <c r="E3" s="11">
        <f>IF(ISBLANK(F3),"", MAX(E$2:E2)+1)</f>
        <v>1</v>
      </c>
      <c r="F3" s="19" t="s">
        <v>77</v>
      </c>
      <c r="G3" s="19" t="s">
        <v>57</v>
      </c>
      <c r="H3" s="41"/>
      <c r="I3" s="41"/>
      <c r="J3" s="41"/>
      <c r="K3" s="41"/>
      <c r="L3" s="41"/>
      <c r="M3" s="12"/>
      <c r="N3" s="12"/>
    </row>
    <row r="4" spans="1:14" x14ac:dyDescent="0.25">
      <c r="A4" s="11">
        <f>IF(ISBLANK(B4),"", MAX(A$2:A3)+1)</f>
        <v>2</v>
      </c>
      <c r="B4" s="17" t="s">
        <v>58</v>
      </c>
      <c r="C4" s="17">
        <v>0.89</v>
      </c>
      <c r="D4" s="19"/>
      <c r="E4" s="11">
        <f>IF(ISBLANK(F4),"", MAX(E$2:E3)+1)</f>
        <v>2</v>
      </c>
      <c r="F4" s="19" t="s">
        <v>78</v>
      </c>
      <c r="G4" s="19" t="s">
        <v>58</v>
      </c>
      <c r="H4" s="19"/>
      <c r="I4" s="19"/>
      <c r="J4" s="19"/>
      <c r="K4" s="19"/>
      <c r="L4" s="19"/>
      <c r="M4" s="12"/>
      <c r="N4" s="12"/>
    </row>
    <row r="5" spans="1:14" x14ac:dyDescent="0.25">
      <c r="A5" s="11">
        <f>IF(ISBLANK(B5),"", MAX(A$2:A4)+1)</f>
        <v>3</v>
      </c>
      <c r="B5" s="17" t="s">
        <v>59</v>
      </c>
      <c r="C5" s="17">
        <v>9</v>
      </c>
      <c r="D5" s="19"/>
      <c r="E5" s="11">
        <f>IF(ISBLANK(F5),"", MAX(E$2:E4)+1)</f>
        <v>3</v>
      </c>
      <c r="F5" s="42" t="s">
        <v>79</v>
      </c>
      <c r="G5" s="19" t="s">
        <v>58</v>
      </c>
      <c r="H5" s="19"/>
      <c r="I5" s="19"/>
      <c r="J5" s="19"/>
      <c r="K5" s="19"/>
      <c r="L5" s="19"/>
      <c r="M5" s="12"/>
      <c r="N5" s="12"/>
    </row>
    <row r="6" spans="1:14" x14ac:dyDescent="0.25">
      <c r="A6" s="11">
        <f>IF(ISBLANK(B6),"", MAX(A$2:A5)+1)</f>
        <v>4</v>
      </c>
      <c r="B6" s="17" t="s">
        <v>60</v>
      </c>
      <c r="C6" s="17">
        <v>8</v>
      </c>
      <c r="D6" s="19"/>
      <c r="E6" s="11">
        <f>IF(ISBLANK(F6),"", MAX(E$2:E5)+1)</f>
        <v>4</v>
      </c>
      <c r="F6" s="42" t="s">
        <v>80</v>
      </c>
      <c r="G6" s="19" t="s">
        <v>58</v>
      </c>
      <c r="H6" s="19"/>
      <c r="I6" s="19"/>
      <c r="J6" s="19"/>
      <c r="K6" s="19"/>
      <c r="L6" s="19"/>
      <c r="M6" s="12"/>
      <c r="N6" s="12"/>
    </row>
    <row r="7" spans="1:14" x14ac:dyDescent="0.25">
      <c r="A7" s="11">
        <f>IF(ISBLANK(B7),"", MAX(A$2:A6)+1)</f>
        <v>5</v>
      </c>
      <c r="B7" s="17" t="s">
        <v>61</v>
      </c>
      <c r="C7" s="17">
        <v>6.66</v>
      </c>
      <c r="D7" s="19"/>
      <c r="E7" s="11">
        <f>IF(ISBLANK(F7),"", MAX(E$2:E6)+1)</f>
        <v>5</v>
      </c>
      <c r="F7" s="42" t="s">
        <v>81</v>
      </c>
      <c r="G7" s="19" t="s">
        <v>58</v>
      </c>
      <c r="H7" s="19"/>
      <c r="I7" s="19"/>
      <c r="J7" s="19"/>
      <c r="K7" s="19"/>
      <c r="L7" s="19"/>
      <c r="M7" s="12"/>
      <c r="N7" s="12"/>
    </row>
    <row r="8" spans="1:14" x14ac:dyDescent="0.25">
      <c r="A8" s="11">
        <f>IF(ISBLANK(B8),"", MAX(A$2:A7)+1)</f>
        <v>6</v>
      </c>
      <c r="B8" s="17" t="s">
        <v>62</v>
      </c>
      <c r="C8" s="17">
        <v>0.97</v>
      </c>
      <c r="D8" s="19"/>
      <c r="E8" s="11">
        <f>IF(ISBLANK(F8),"", MAX(E$2:E7)+1)</f>
        <v>6</v>
      </c>
      <c r="F8" s="42" t="s">
        <v>82</v>
      </c>
      <c r="G8" s="19" t="s">
        <v>58</v>
      </c>
      <c r="H8" s="19"/>
      <c r="I8" s="19"/>
      <c r="J8" s="19"/>
      <c r="K8" s="19"/>
      <c r="L8" s="19"/>
      <c r="M8" s="12"/>
      <c r="N8" s="12"/>
    </row>
    <row r="9" spans="1:14" x14ac:dyDescent="0.25">
      <c r="A9" s="11" t="str">
        <f>IF(ISBLANK(B9),"", MAX(A$2:A8)+1)</f>
        <v/>
      </c>
      <c r="C9" s="12"/>
      <c r="D9" s="19"/>
      <c r="E9" s="11">
        <f>IF(ISBLANK(F9),"", MAX(E$2:E8)+1)</f>
        <v>7</v>
      </c>
      <c r="F9" s="42" t="s">
        <v>83</v>
      </c>
      <c r="G9" s="19" t="s">
        <v>59</v>
      </c>
      <c r="H9" s="19"/>
      <c r="I9" s="19"/>
      <c r="J9" s="19"/>
      <c r="K9" s="19"/>
      <c r="L9" s="19"/>
      <c r="M9" s="12"/>
      <c r="N9" s="12"/>
    </row>
    <row r="10" spans="1:14" x14ac:dyDescent="0.25">
      <c r="A10" s="11" t="str">
        <f>IF(ISBLANK(B10),"", MAX(A$2:A9)+1)</f>
        <v/>
      </c>
      <c r="C10" s="12"/>
      <c r="D10" s="12"/>
      <c r="E10" s="11">
        <f>IF(ISBLANK(F10),"", MAX(E$2:E9)+1)</f>
        <v>8</v>
      </c>
      <c r="F10" s="40" t="s">
        <v>84</v>
      </c>
      <c r="G10" s="42" t="s">
        <v>60</v>
      </c>
      <c r="H10" s="19"/>
      <c r="I10" s="19"/>
      <c r="J10" s="19"/>
      <c r="K10" s="19"/>
      <c r="L10" s="19"/>
      <c r="M10" s="12"/>
      <c r="N10" s="12"/>
    </row>
    <row r="11" spans="1:14" x14ac:dyDescent="0.25">
      <c r="A11" s="11" t="str">
        <f>IF(ISBLANK(B11),"", MAX(A$2:A10)+1)</f>
        <v/>
      </c>
      <c r="C11" s="12"/>
      <c r="D11" s="12"/>
      <c r="E11" s="11">
        <f>IF(ISBLANK(F11),"", MAX(E$2:E10)+1)</f>
        <v>9</v>
      </c>
      <c r="F11" s="40" t="s">
        <v>85</v>
      </c>
      <c r="G11" s="42" t="s">
        <v>61</v>
      </c>
      <c r="H11" s="19"/>
      <c r="I11" s="19"/>
      <c r="J11" s="19"/>
      <c r="K11" s="19"/>
      <c r="L11" s="19"/>
      <c r="M11" s="12"/>
      <c r="N11" s="12"/>
    </row>
    <row r="12" spans="1:14" x14ac:dyDescent="0.25">
      <c r="A12" s="11" t="str">
        <f>IF(ISBLANK(B12),"", MAX(A$2:A11)+1)</f>
        <v/>
      </c>
      <c r="C12" s="12"/>
      <c r="D12" s="12"/>
      <c r="E12" s="11">
        <f>IF(ISBLANK(F12),"", MAX(E$2:E11)+1)</f>
        <v>10</v>
      </c>
      <c r="F12" s="40" t="s">
        <v>86</v>
      </c>
      <c r="G12" s="42" t="s">
        <v>62</v>
      </c>
      <c r="H12" s="19"/>
      <c r="I12" s="19"/>
      <c r="J12" s="19"/>
      <c r="K12" s="19"/>
      <c r="L12" s="19"/>
      <c r="M12" s="12"/>
      <c r="N12" s="12"/>
    </row>
    <row r="13" spans="1:14" x14ac:dyDescent="0.25">
      <c r="A13" s="11" t="str">
        <f>IF(ISBLANK(B13),"", MAX(A$2:A12)+1)</f>
        <v/>
      </c>
      <c r="C13" s="12"/>
      <c r="D13" s="12"/>
      <c r="E13" s="11">
        <f>IF(ISBLANK(F13),"", MAX(E$2:E12)+1)</f>
        <v>11</v>
      </c>
      <c r="F13" s="40" t="s">
        <v>88</v>
      </c>
      <c r="G13" s="42" t="s">
        <v>89</v>
      </c>
      <c r="H13" s="19"/>
      <c r="I13" s="19"/>
      <c r="J13" s="19"/>
      <c r="K13" s="19"/>
      <c r="L13" s="19"/>
      <c r="M13" s="12"/>
      <c r="N13" s="12"/>
    </row>
    <row r="14" spans="1:14" x14ac:dyDescent="0.25">
      <c r="A14" s="11" t="str">
        <f>IF(ISBLANK(B14),"", MAX(A$2:A13)+1)</f>
        <v/>
      </c>
      <c r="C14" s="12"/>
      <c r="D14" s="12"/>
      <c r="E14" s="11" t="str">
        <f>IF(ISBLANK(F14),"", MAX(E$2:E13)+1)</f>
        <v/>
      </c>
      <c r="F14" s="40"/>
      <c r="G14" s="42"/>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G23" sqref="G23"/>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hidden="1" customWidth="1"/>
    <col min="17" max="18" width="12.375" style="17" hidden="1" customWidth="1"/>
    <col min="19" max="19" width="14.625" style="17" hidden="1" customWidth="1"/>
    <col min="20" max="24" width="12.375" style="17" hidden="1" customWidth="1"/>
    <col min="25" max="25" width="15.875" style="58" hidden="1" customWidth="1"/>
    <col min="26" max="30" width="11.75" style="17" hidden="1" customWidth="1"/>
    <col min="31" max="16384" width="9" style="17"/>
  </cols>
  <sheetData>
    <row r="1" spans="1:30" s="45" customFormat="1" ht="41.25" customHeight="1" x14ac:dyDescent="0.25">
      <c r="A1" s="80" t="s">
        <v>38</v>
      </c>
      <c r="B1" s="80"/>
      <c r="C1" s="80"/>
      <c r="D1" s="80"/>
      <c r="E1" s="80"/>
      <c r="F1" s="80" t="s">
        <v>39</v>
      </c>
      <c r="G1" s="80"/>
      <c r="H1" s="80"/>
      <c r="I1" s="80"/>
      <c r="J1" s="80"/>
      <c r="K1" s="80" t="s">
        <v>3</v>
      </c>
      <c r="L1" s="80"/>
      <c r="M1" s="80"/>
      <c r="N1" s="80"/>
      <c r="O1" s="80"/>
      <c r="P1" s="44"/>
      <c r="Q1" s="80"/>
      <c r="R1" s="80"/>
      <c r="S1" s="80"/>
      <c r="T1" s="80"/>
      <c r="Y1" s="83"/>
      <c r="Z1" s="83"/>
      <c r="AA1" s="83"/>
      <c r="AB1" s="44"/>
      <c r="AC1" s="82">
        <f ca="1">IF(OR(WEEKDAY(NOW())=1,WEEKDAY(NOW())=2), DATE(YEAR(NOW()), MONTH(NOW()), DAY(NOW()) - 1 - WEEKDAY(NOW())), DATE(YEAR(NOW()), MONTH(NOW()), DAY(NOW()) - 1))</f>
        <v>42928</v>
      </c>
      <c r="AD1" s="82"/>
    </row>
    <row r="2" spans="1:30" s="51" customFormat="1" ht="38.25" customHeight="1" x14ac:dyDescent="0.25">
      <c r="A2" s="46"/>
      <c r="B2" s="47" t="s">
        <v>28</v>
      </c>
      <c r="C2" s="47" t="s">
        <v>33</v>
      </c>
      <c r="D2" s="47" t="s">
        <v>34</v>
      </c>
      <c r="E2" s="48" t="s">
        <v>56</v>
      </c>
      <c r="F2" s="46"/>
      <c r="G2" s="47" t="s">
        <v>28</v>
      </c>
      <c r="H2" s="47" t="s">
        <v>33</v>
      </c>
      <c r="I2" s="47" t="s">
        <v>34</v>
      </c>
      <c r="J2" s="48" t="s">
        <v>56</v>
      </c>
      <c r="K2" s="46"/>
      <c r="L2" s="47" t="s">
        <v>28</v>
      </c>
      <c r="M2" s="47" t="s">
        <v>33</v>
      </c>
      <c r="N2" s="47" t="s">
        <v>34</v>
      </c>
      <c r="O2" s="48" t="s">
        <v>56</v>
      </c>
      <c r="P2" s="46"/>
      <c r="Q2" s="47"/>
      <c r="R2" s="47" t="s">
        <v>45</v>
      </c>
      <c r="S2" s="49" t="s">
        <v>48</v>
      </c>
      <c r="T2" s="49" t="s">
        <v>37</v>
      </c>
      <c r="U2" s="49" t="s">
        <v>35</v>
      </c>
      <c r="V2" s="49" t="s">
        <v>36</v>
      </c>
      <c r="W2" s="49" t="s">
        <v>33</v>
      </c>
      <c r="X2" s="49" t="s">
        <v>34</v>
      </c>
      <c r="Y2" s="50" t="s">
        <v>28</v>
      </c>
      <c r="Z2" s="49" t="s">
        <v>37</v>
      </c>
      <c r="AA2" s="49" t="s">
        <v>35</v>
      </c>
      <c r="AB2" s="49" t="s">
        <v>36</v>
      </c>
      <c r="AC2" s="49" t="s">
        <v>33</v>
      </c>
      <c r="AD2" s="49" t="s">
        <v>34</v>
      </c>
    </row>
    <row r="3" spans="1:30" x14ac:dyDescent="0.25">
      <c r="A3" s="52">
        <f>IF(OR(ISBLANK(B3), B3=""),"", MAX(A$2:A2)+1)</f>
        <v>1</v>
      </c>
      <c r="B3" s="17" t="str">
        <f>IF(ISBLANK(Reporting!$B3), "", Reporting!$B3)</f>
        <v>DNLM-LON</v>
      </c>
      <c r="C3" s="53">
        <f>_xll.ESQuote($B3,_xll.ESFldID(C$2))</f>
        <v>560</v>
      </c>
      <c r="D3" s="17">
        <f>_xll.ESQuote($B3,_xll.ESFldID(D$2))</f>
        <v>93162</v>
      </c>
      <c r="E3" s="54">
        <f>_xll.ESQuote($B3,_xll.ESFldID(E$2))</f>
        <v>42929.643437500003</v>
      </c>
      <c r="F3" s="52">
        <f>IF(OR(ISBLANK(G3), G3=""),"", MAX(F$2:F2)+1)</f>
        <v>1</v>
      </c>
      <c r="G3" s="17" t="str">
        <f>IF(ISBLANK(Existing!$B3), "", Existing!$B3)</f>
        <v>BEKB-EEB</v>
      </c>
      <c r="H3" s="53">
        <f>_xll.ESQuote($G3,_xll.ESFldID(H$2))</f>
        <v>44.945</v>
      </c>
      <c r="I3" s="17">
        <f>_xll.ESQuote($G3,_xll.ESFldID(I$2))</f>
        <v>31016</v>
      </c>
      <c r="J3" s="54">
        <f>_xll.ESQuote($G3,_xll.ESFldID(J$2))</f>
        <v>42929.64435185185</v>
      </c>
      <c r="K3" s="52" t="str">
        <f>IF(OR(ISBLANK(L3), L3=""),"", MAX(K$2:K2)+1)</f>
        <v/>
      </c>
      <c r="L3" s="17" t="str">
        <f>IF(ISBLANK(Monitoring!$B3), "",Monitoring!$B3)</f>
        <v/>
      </c>
      <c r="M3" s="53" t="str">
        <f>_xll.ESQuote($L3,_xll.ESFldID(M$2))</f>
        <v/>
      </c>
      <c r="N3" s="17" t="str">
        <f>_xll.ESQuote($L3,_xll.ESFldID(N$2))</f>
        <v/>
      </c>
      <c r="O3" s="54" t="str">
        <f>_xll.ESQuote($L3,_xll.ESFldID(O$2))</f>
        <v/>
      </c>
      <c r="P3" s="52">
        <f>IF(OR(ISBLANK(Q3), Q3=""),"", MAX(P$2:P2)+1)</f>
        <v>1</v>
      </c>
      <c r="Q3" s="17" t="s">
        <v>107</v>
      </c>
      <c r="R3" s="22" t="s">
        <v>38</v>
      </c>
      <c r="S3" s="16">
        <v>42927</v>
      </c>
      <c r="T3" s="53">
        <f>_xll.ESHistD($Q3,_xll.ESFldID(T$2,"D"),"D",$S3)</f>
        <v>594</v>
      </c>
      <c r="U3" s="53">
        <f>_xll.ESHistD($Q3,_xll.ESFldID(U$2,"D"),"D",$S3)</f>
        <v>594</v>
      </c>
      <c r="V3" s="53">
        <f>_xll.ESHistD($Q3,_xll.ESFldID(V$2,"D"),"D",$S3)</f>
        <v>555.5</v>
      </c>
      <c r="W3" s="53">
        <f>_xll.ESHistD($Q3,_xll.ESFldID(W$2,"D"),"D",$S3)</f>
        <v>557</v>
      </c>
      <c r="X3" s="22">
        <f>_xll.ESHistD($Q3,_xll.ESFldID(X$2,"D"),"D",$S3)</f>
        <v>458796</v>
      </c>
      <c r="Y3" s="55" t="str">
        <f>IF(ISBLANK(Q3), "", Q3)</f>
        <v>DNLM-LON</v>
      </c>
      <c r="Z3" s="53">
        <f ca="1">_xll.ESHistD($Q3,_xll.ESFldID(Z$2,"D"),"D",$AC$1)</f>
        <v>558</v>
      </c>
      <c r="AA3" s="53">
        <f ca="1">_xll.ESHistD($Q3,_xll.ESFldID(AA$2,"D"),"D",$AC$1)</f>
        <v>570</v>
      </c>
      <c r="AB3" s="53">
        <f ca="1">_xll.ESHistD($Q3,_xll.ESFldID(AB$2,"D"),"D",$AC$1)</f>
        <v>541.5</v>
      </c>
      <c r="AC3" s="53">
        <f ca="1">_xll.ESHistD($Q3,_xll.ESFldID(AC$2,"D"),"D",$AC$1)</f>
        <v>545</v>
      </c>
      <c r="AD3" s="22">
        <f ca="1">_xll.ESHistD($Q3,_xll.ESFldID(AD$2,"D"),"D",$AC$1)</f>
        <v>201506</v>
      </c>
    </row>
    <row r="4" spans="1:30" x14ac:dyDescent="0.25">
      <c r="A4" s="52">
        <f>IF(OR(ISBLANK(B4), B4=""),"", MAX(A$2:A3)+1)</f>
        <v>2</v>
      </c>
      <c r="B4" s="17" t="str">
        <f>IF(ISBLANK(Reporting!$B4), "", Reporting!$B4)</f>
        <v>FENR-LON</v>
      </c>
      <c r="C4" s="53">
        <f>_xll.ESQuote($B4,_xll.ESFldID(C$2))</f>
        <v>343</v>
      </c>
      <c r="D4" s="17">
        <f>_xll.ESQuote($B4,_xll.ESFldID(D$2))</f>
        <v>271098</v>
      </c>
      <c r="E4" s="54">
        <f>_xll.ESQuote($B4,_xll.ESFldID(E$2))</f>
        <v>42929.643321759257</v>
      </c>
      <c r="F4" s="52">
        <f>IF(OR(ISBLANK(G4), G4=""),"", MAX(F$2:F3)+1)</f>
        <v>2</v>
      </c>
      <c r="G4" s="17" t="str">
        <f>IF(ISBLANK(Existing!$B4), "", Existing!$B4)</f>
        <v>RTN-LON</v>
      </c>
      <c r="H4" s="53">
        <f>_xll.ESQuote($G4,_xll.ESFldID(H$2))</f>
        <v>311.10000000000002</v>
      </c>
      <c r="I4" s="17">
        <f>_xll.ESQuote($G4,_xll.ESFldID(I$2))</f>
        <v>278659</v>
      </c>
      <c r="J4" s="54">
        <f>_xll.ESQuote($G4,_xll.ESFldID(J$2))</f>
        <v>42929.644745370373</v>
      </c>
      <c r="K4" s="52" t="str">
        <f>IF(OR(ISBLANK(L4), L4=""),"", MAX(K$2:K3)+1)</f>
        <v/>
      </c>
      <c r="L4" s="17" t="str">
        <f>IF(ISBLANK(Monitoring!$B4), "",Monitoring!$B4)</f>
        <v/>
      </c>
      <c r="M4" s="53" t="str">
        <f>_xll.ESQuote($L4,_xll.ESFldID(M$2))</f>
        <v/>
      </c>
      <c r="N4" s="17" t="str">
        <f>_xll.ESQuote($L4,_xll.ESFldID(N$2))</f>
        <v/>
      </c>
      <c r="O4" s="54" t="str">
        <f>_xll.ESQuote($L4,_xll.ESFldID(O$2))</f>
        <v/>
      </c>
      <c r="P4" s="52">
        <f>IF(OR(ISBLANK(Q4), Q4=""),"", MAX(P$2:P3)+1)</f>
        <v>2</v>
      </c>
      <c r="Q4" s="17" t="s">
        <v>106</v>
      </c>
      <c r="R4" s="22" t="s">
        <v>38</v>
      </c>
      <c r="S4" s="16">
        <v>42927</v>
      </c>
      <c r="T4" s="53">
        <f>_xll.ESHistD($Q4,_xll.ESFldID(T$2,"D"),"D",$S4)</f>
        <v>336</v>
      </c>
      <c r="U4" s="53">
        <f>_xll.ESHistD($Q4,_xll.ESFldID(U$2,"D"),"D",$S4)</f>
        <v>336.75</v>
      </c>
      <c r="V4" s="53">
        <f>_xll.ESHistD($Q4,_xll.ESFldID(V$2,"D"),"D",$S4)</f>
        <v>331.25</v>
      </c>
      <c r="W4" s="53">
        <f>_xll.ESHistD($Q4,_xll.ESFldID(W$2,"D"),"D",$S4)</f>
        <v>333.75</v>
      </c>
      <c r="X4" s="22">
        <f>_xll.ESHistD($Q4,_xll.ESFldID(X$2,"D"),"D",$S4)</f>
        <v>665822</v>
      </c>
      <c r="Y4" s="55" t="str">
        <f t="shared" ref="Y4:Y67" si="0">IF(ISBLANK(Q4), "", Q4)</f>
        <v>FENR-LON</v>
      </c>
      <c r="Z4" s="53">
        <f ca="1">_xll.ESHistD($Q4,_xll.ESFldID(Z$2,"D"),"D",$AC$1)</f>
        <v>334</v>
      </c>
      <c r="AA4" s="53">
        <f ca="1">_xll.ESHistD($Q4,_xll.ESFldID(AA$2,"D"),"D",$AC$1)</f>
        <v>339</v>
      </c>
      <c r="AB4" s="53">
        <f ca="1">_xll.ESHistD($Q4,_xll.ESFldID(AB$2,"D"),"D",$AC$1)</f>
        <v>330</v>
      </c>
      <c r="AC4" s="53">
        <f ca="1">_xll.ESHistD($Q4,_xll.ESFldID(AC$2,"D"),"D",$AC$1)</f>
        <v>336.5</v>
      </c>
      <c r="AD4" s="22">
        <f ca="1">_xll.ESHistD($Q4,_xll.ESFldID(AD$2,"D"),"D",$AC$1)</f>
        <v>580153</v>
      </c>
    </row>
    <row r="5" spans="1:30" x14ac:dyDescent="0.25">
      <c r="A5" s="52">
        <f>IF(OR(ISBLANK(B5), B5=""),"", MAX(A$2:A4)+1)</f>
        <v>3</v>
      </c>
      <c r="B5" s="17" t="str">
        <f>IF(ISBLANK(Reporting!$B5), "", Reporting!$B5)</f>
        <v>FR-EEB</v>
      </c>
      <c r="C5" s="53">
        <f>_xll.ESQuote($B5,_xll.ESFldID(C$2))</f>
        <v>63.83</v>
      </c>
      <c r="D5" s="17">
        <f>_xll.ESQuote($B5,_xll.ESFldID(D$2))</f>
        <v>341725</v>
      </c>
      <c r="E5" s="54">
        <f>_xll.ESQuote($B5,_xll.ESFldID(E$2))</f>
        <v>42929.645370370374</v>
      </c>
      <c r="F5" s="52">
        <f>IF(OR(ISBLANK(G5), G5=""),"", MAX(F$2:F4)+1)</f>
        <v>3</v>
      </c>
      <c r="G5" s="17" t="str">
        <f>IF(ISBLANK(Existing!$B5), "", Existing!$B5)</f>
        <v>VOD-LON</v>
      </c>
      <c r="H5" s="53">
        <f>_xll.ESQuote($G5,_xll.ESFldID(H$2))</f>
        <v>220.9</v>
      </c>
      <c r="I5" s="17">
        <f>_xll.ESQuote($G5,_xll.ESFldID(I$2))</f>
        <v>22380354</v>
      </c>
      <c r="J5" s="54">
        <f>_xll.ESQuote($G5,_xll.ESFldID(J$2))</f>
        <v>42929.645381944443</v>
      </c>
      <c r="K5" s="52" t="str">
        <f>IF(OR(ISBLANK(L5), L5=""),"", MAX(K$2:K4)+1)</f>
        <v/>
      </c>
      <c r="L5" s="17" t="str">
        <f>IF(ISBLANK(Monitoring!$B5), "",Monitoring!$B5)</f>
        <v/>
      </c>
      <c r="M5" s="53" t="str">
        <f>_xll.ESQuote($L5,_xll.ESFldID(M$2))</f>
        <v/>
      </c>
      <c r="N5" s="17" t="str">
        <f>_xll.ESQuote($L5,_xll.ESFldID(N$2))</f>
        <v/>
      </c>
      <c r="O5" s="54" t="str">
        <f>_xll.ESQuote($L5,_xll.ESFldID(O$2))</f>
        <v/>
      </c>
      <c r="P5" s="52">
        <f>IF(OR(ISBLANK(Q5), Q5=""),"", MAX(P$2:P4)+1)</f>
        <v>3</v>
      </c>
      <c r="Q5" s="17" t="s">
        <v>10</v>
      </c>
      <c r="R5" s="22" t="s">
        <v>38</v>
      </c>
      <c r="S5" s="16">
        <v>42927</v>
      </c>
      <c r="T5" s="53">
        <f>_xll.ESHistD($Q5,_xll.ESFldID(T$2,"D"),"D",$S5)</f>
        <v>61.849997999999999</v>
      </c>
      <c r="U5" s="53">
        <f>_xll.ESHistD($Q5,_xll.ESFldID(U$2,"D"),"D",$S5)</f>
        <v>62.779998999999997</v>
      </c>
      <c r="V5" s="53">
        <f>_xll.ESHistD($Q5,_xll.ESFldID(V$2,"D"),"D",$S5)</f>
        <v>61.810001</v>
      </c>
      <c r="W5" s="53">
        <f>_xll.ESHistD($Q5,_xll.ESFldID(W$2,"D"),"D",$S5)</f>
        <v>62.400002000000001</v>
      </c>
      <c r="X5" s="22">
        <f>_xll.ESHistD($Q5,_xll.ESFldID(X$2,"D"),"D",$S5)</f>
        <v>732595</v>
      </c>
      <c r="Y5" s="55" t="str">
        <f t="shared" si="0"/>
        <v>FR-EEB</v>
      </c>
      <c r="Z5" s="53">
        <f ca="1">_xll.ESHistD($Q5,_xll.ESFldID(Z$2,"D"),"D",$AC$1)</f>
        <v>63.47</v>
      </c>
      <c r="AA5" s="53">
        <f ca="1">_xll.ESHistD($Q5,_xll.ESFldID(AA$2,"D"),"D",$AC$1)</f>
        <v>64.97</v>
      </c>
      <c r="AB5" s="53">
        <f ca="1">_xll.ESHistD($Q5,_xll.ESFldID(AB$2,"D"),"D",$AC$1)</f>
        <v>62.93</v>
      </c>
      <c r="AC5" s="53">
        <f ca="1">_xll.ESHistD($Q5,_xll.ESFldID(AC$2,"D"),"D",$AC$1)</f>
        <v>64.349999999999994</v>
      </c>
      <c r="AD5" s="22">
        <f ca="1">_xll.ESHistD($Q5,_xll.ESFldID(AD$2,"D"),"D",$AC$1)</f>
        <v>905831</v>
      </c>
    </row>
    <row r="6" spans="1:30" x14ac:dyDescent="0.25">
      <c r="A6" s="52">
        <f>IF(OR(ISBLANK(B6), B6=""),"", MAX(A$2:A5)+1)</f>
        <v>4</v>
      </c>
      <c r="B6" s="17" t="str">
        <f>IF(ISBLANK(Reporting!$B6), "", Reporting!$B6)</f>
        <v>IGG-LON</v>
      </c>
      <c r="C6" s="53">
        <f>_xll.ESQuote($B6,_xll.ESFldID(C$2))</f>
        <v>553.5</v>
      </c>
      <c r="D6" s="17">
        <f>_xll.ESQuote($B6,_xll.ESFldID(D$2))</f>
        <v>195995</v>
      </c>
      <c r="E6" s="54">
        <f>_xll.ESQuote($B6,_xll.ESFldID(E$2))</f>
        <v>42929.641643518517</v>
      </c>
      <c r="F6" s="52" t="str">
        <f>IF(OR(ISBLANK(G6), G6=""),"", MAX(F$2:F5)+1)</f>
        <v/>
      </c>
      <c r="G6" s="17" t="str">
        <f>IF(ISBLANK(Existing!$B6), "", Existing!$B6)</f>
        <v/>
      </c>
      <c r="H6" s="53" t="str">
        <f>_xll.ESQuote($G6,_xll.ESFldID(H$2))</f>
        <v/>
      </c>
      <c r="I6" s="17" t="str">
        <f>_xll.ESQuote($G6,_xll.ESFldID(I$2))</f>
        <v/>
      </c>
      <c r="J6" s="54" t="str">
        <f>_xll.ESQuote($G6,_xll.ESFldID(J$2))</f>
        <v/>
      </c>
      <c r="K6" s="52" t="str">
        <f>IF(OR(ISBLANK(L6), L6=""),"", MAX(K$2:K5)+1)</f>
        <v/>
      </c>
      <c r="L6" s="17" t="str">
        <f>IF(ISBLANK(Monitoring!$B6), "",Monitoring!$B6)</f>
        <v/>
      </c>
      <c r="M6" s="53" t="str">
        <f>_xll.ESQuote($L6,_xll.ESFldID(M$2))</f>
        <v/>
      </c>
      <c r="N6" s="17" t="str">
        <f>_xll.ESQuote($L6,_xll.ESFldID(N$2))</f>
        <v/>
      </c>
      <c r="O6" s="54" t="str">
        <f>_xll.ESQuote($L6,_xll.ESFldID(O$2))</f>
        <v/>
      </c>
      <c r="P6" s="52">
        <f>IF(OR(ISBLANK(Q6), Q6=""),"", MAX(P$2:P5)+1)</f>
        <v>4</v>
      </c>
      <c r="Q6" s="17" t="s">
        <v>5</v>
      </c>
      <c r="R6" s="22" t="s">
        <v>38</v>
      </c>
      <c r="S6" s="16">
        <v>42927</v>
      </c>
      <c r="T6" s="53">
        <f>_xll.ESHistD($Q6,_xll.ESFldID(T$2,"D"),"D",$S6)</f>
        <v>553</v>
      </c>
      <c r="U6" s="53">
        <f>_xll.ESHistD($Q6,_xll.ESFldID(U$2,"D"),"D",$S6)</f>
        <v>553</v>
      </c>
      <c r="V6" s="53">
        <f>_xll.ESHistD($Q6,_xll.ESFldID(V$2,"D"),"D",$S6)</f>
        <v>545.5</v>
      </c>
      <c r="W6" s="53">
        <f>_xll.ESHistD($Q6,_xll.ESFldID(W$2,"D"),"D",$S6)</f>
        <v>547.5</v>
      </c>
      <c r="X6" s="22">
        <f>_xll.ESHistD($Q6,_xll.ESFldID(X$2,"D"),"D",$S6)</f>
        <v>498671</v>
      </c>
      <c r="Y6" s="55" t="str">
        <f t="shared" si="0"/>
        <v>IGG-LON</v>
      </c>
      <c r="Z6" s="53">
        <f ca="1">_xll.ESHistD($Q6,_xll.ESFldID(Z$2,"D"),"D",$AC$1)</f>
        <v>547.5</v>
      </c>
      <c r="AA6" s="53">
        <f ca="1">_xll.ESHistD($Q6,_xll.ESFldID(AA$2,"D"),"D",$AC$1)</f>
        <v>554.5</v>
      </c>
      <c r="AB6" s="53">
        <f ca="1">_xll.ESHistD($Q6,_xll.ESFldID(AB$2,"D"),"D",$AC$1)</f>
        <v>546.5</v>
      </c>
      <c r="AC6" s="53">
        <f ca="1">_xll.ESHistD($Q6,_xll.ESFldID(AC$2,"D"),"D",$AC$1)</f>
        <v>550</v>
      </c>
      <c r="AD6" s="22">
        <f ca="1">_xll.ESHistD($Q6,_xll.ESFldID(AD$2,"D"),"D",$AC$1)</f>
        <v>450993</v>
      </c>
    </row>
    <row r="7" spans="1:30" x14ac:dyDescent="0.25">
      <c r="A7" s="52">
        <f>IF(OR(ISBLANK(B7), B7=""),"", MAX(A$2:A6)+1)</f>
        <v>5</v>
      </c>
      <c r="B7" s="17" t="str">
        <f>IF(ISBLANK(Reporting!$B7), "", Reporting!$B7)</f>
        <v>LAM-LON</v>
      </c>
      <c r="C7" s="53">
        <f>_xll.ESQuote($B7,_xll.ESFldID(C$2))</f>
        <v>99.25</v>
      </c>
      <c r="D7" s="17">
        <f>_xll.ESQuote($B7,_xll.ESFldID(D$2))</f>
        <v>36029</v>
      </c>
      <c r="E7" s="54">
        <f>_xll.ESQuote($B7,_xll.ESFldID(E$2))</f>
        <v>42929.638599537036</v>
      </c>
      <c r="F7" s="52" t="str">
        <f>IF(OR(ISBLANK(G7), G7=""),"", MAX(F$2:F6)+1)</f>
        <v/>
      </c>
      <c r="G7" s="17" t="str">
        <f>IF(ISBLANK(Existing!$B7), "", Existing!$B7)</f>
        <v/>
      </c>
      <c r="H7" s="53" t="str">
        <f>_xll.ESQuote($G7,_xll.ESFldID(H$2))</f>
        <v/>
      </c>
      <c r="I7" s="17" t="str">
        <f>_xll.ESQuote($G7,_xll.ESFldID(I$2))</f>
        <v/>
      </c>
      <c r="J7" s="54" t="str">
        <f>_xll.ESQuote($G7,_xll.ESFldID(J$2))</f>
        <v/>
      </c>
      <c r="K7" s="52" t="str">
        <f>IF(OR(ISBLANK(L7), L7=""),"", MAX(K$2:K6)+1)</f>
        <v/>
      </c>
      <c r="L7" s="17" t="str">
        <f>IF(ISBLANK(Monitoring!$B7), "",Monitoring!$B7)</f>
        <v/>
      </c>
      <c r="M7" s="53" t="str">
        <f>_xll.ESQuote($L7,_xll.ESFldID(M$2))</f>
        <v/>
      </c>
      <c r="N7" s="17" t="str">
        <f>_xll.ESQuote($L7,_xll.ESFldID(N$2))</f>
        <v/>
      </c>
      <c r="O7" s="54" t="str">
        <f>_xll.ESQuote($L7,_xll.ESFldID(O$2))</f>
        <v/>
      </c>
      <c r="P7" s="52">
        <f>IF(OR(ISBLANK(Q7), Q7=""),"", MAX(P$2:P6)+1)</f>
        <v>5</v>
      </c>
      <c r="Q7" s="17" t="s">
        <v>4</v>
      </c>
      <c r="R7" s="22" t="s">
        <v>38</v>
      </c>
      <c r="S7" s="16">
        <v>42927</v>
      </c>
      <c r="T7" s="53">
        <f>_xll.ESHistD($Q7,_xll.ESFldID(T$2,"D"),"D",$S7)</f>
        <v>100</v>
      </c>
      <c r="U7" s="53">
        <f>_xll.ESHistD($Q7,_xll.ESFldID(U$2,"D"),"D",$S7)</f>
        <v>101.25</v>
      </c>
      <c r="V7" s="53">
        <f>_xll.ESHistD($Q7,_xll.ESFldID(V$2,"D"),"D",$S7)</f>
        <v>100</v>
      </c>
      <c r="W7" s="53">
        <f>_xll.ESHistD($Q7,_xll.ESFldID(W$2,"D"),"D",$S7)</f>
        <v>100</v>
      </c>
      <c r="X7" s="22">
        <f>_xll.ESHistD($Q7,_xll.ESFldID(X$2,"D"),"D",$S7)</f>
        <v>39208</v>
      </c>
      <c r="Y7" s="55" t="str">
        <f t="shared" si="0"/>
        <v>LAM-LON</v>
      </c>
      <c r="Z7" s="53">
        <f ca="1">_xll.ESHistD($Q7,_xll.ESFldID(Z$2,"D"),"D",$AC$1)</f>
        <v>100</v>
      </c>
      <c r="AA7" s="53">
        <f ca="1">_xll.ESHistD($Q7,_xll.ESFldID(AA$2,"D"),"D",$AC$1)</f>
        <v>101</v>
      </c>
      <c r="AB7" s="53">
        <f ca="1">_xll.ESHistD($Q7,_xll.ESFldID(AB$2,"D"),"D",$AC$1)</f>
        <v>99</v>
      </c>
      <c r="AC7" s="53">
        <f ca="1">_xll.ESHistD($Q7,_xll.ESFldID(AC$2,"D"),"D",$AC$1)</f>
        <v>100.5</v>
      </c>
      <c r="AD7" s="22">
        <f ca="1">_xll.ESHistD($Q7,_xll.ESFldID(AD$2,"D"),"D",$AC$1)</f>
        <v>95148</v>
      </c>
    </row>
    <row r="8" spans="1:30" x14ac:dyDescent="0.25">
      <c r="A8" s="52">
        <f>IF(OR(ISBLANK(B8), B8=""),"", MAX(A$2:A7)+1)</f>
        <v>6</v>
      </c>
      <c r="B8" s="17" t="str">
        <f>IF(ISBLANK(Reporting!$B8), "", Reporting!$B8)</f>
        <v>MEO-XET</v>
      </c>
      <c r="C8" s="53">
        <f>_xll.ESQuote($B8,_xll.ESFldID(C$2))</f>
        <v>29.184999999999999</v>
      </c>
      <c r="D8" s="17">
        <f>_xll.ESQuote($B8,_xll.ESFldID(D$2))</f>
        <v>2904257</v>
      </c>
      <c r="E8" s="54">
        <f>_xll.ESQuote($B8,_xll.ESFldID(E$2))</f>
        <v>42928.691562499997</v>
      </c>
      <c r="F8" s="52" t="str">
        <f>IF(OR(ISBLANK(G8), G8=""),"", MAX(F$2:F7)+1)</f>
        <v/>
      </c>
      <c r="G8" s="17" t="str">
        <f>IF(ISBLANK(Existing!$B8), "", Existing!$B8)</f>
        <v/>
      </c>
      <c r="H8" s="53" t="str">
        <f>_xll.ESQuote($G8,_xll.ESFldID(H$2))</f>
        <v/>
      </c>
      <c r="I8" s="17" t="str">
        <f>_xll.ESQuote($G8,_xll.ESFldID(I$2))</f>
        <v/>
      </c>
      <c r="J8" s="54" t="str">
        <f>_xll.ESQuote($G8,_xll.ESFldID(J$2))</f>
        <v/>
      </c>
      <c r="K8" s="52" t="str">
        <f>IF(OR(ISBLANK(L8), L8=""),"", MAX(K$2:K7)+1)</f>
        <v/>
      </c>
      <c r="L8" s="17" t="str">
        <f>IF(ISBLANK(Monitoring!$B8), "",Monitoring!$B8)</f>
        <v/>
      </c>
      <c r="M8" s="53" t="str">
        <f>_xll.ESQuote($L8,_xll.ESFldID(M$2))</f>
        <v/>
      </c>
      <c r="N8" s="17" t="str">
        <f>_xll.ESQuote($L8,_xll.ESFldID(N$2))</f>
        <v/>
      </c>
      <c r="O8" s="54" t="str">
        <f>_xll.ESQuote($L8,_xll.ESFldID(O$2))</f>
        <v/>
      </c>
      <c r="P8" s="52">
        <f>IF(OR(ISBLANK(Q8), Q8=""),"", MAX(P$2:P7)+1)</f>
        <v>6</v>
      </c>
      <c r="Q8" s="17" t="s">
        <v>7</v>
      </c>
      <c r="R8" s="22" t="s">
        <v>38</v>
      </c>
      <c r="S8" s="16">
        <v>42927</v>
      </c>
      <c r="T8" s="53">
        <f>_xll.ESHistD($Q8,_xll.ESFldID(T$2,"D"),"D",$S8)</f>
        <v>29.024999999999999</v>
      </c>
      <c r="U8" s="53">
        <f>_xll.ESHistD($Q8,_xll.ESFldID(U$2,"D"),"D",$S8)</f>
        <v>29.379999000000002</v>
      </c>
      <c r="V8" s="53">
        <f>_xll.ESHistD($Q8,_xll.ESFldID(V$2,"D"),"D",$S8)</f>
        <v>28.99</v>
      </c>
      <c r="W8" s="53">
        <f>_xll.ESHistD($Q8,_xll.ESFldID(W$2,"D"),"D",$S8)</f>
        <v>29.215</v>
      </c>
      <c r="X8" s="22">
        <f>_xll.ESHistD($Q8,_xll.ESFldID(X$2,"D"),"D",$S8)</f>
        <v>754579</v>
      </c>
      <c r="Y8" s="55" t="str">
        <f t="shared" si="0"/>
        <v>MEO-XET</v>
      </c>
      <c r="Z8" s="53">
        <f ca="1">_xll.ESHistD($Q8,_xll.ESFldID(Z$2,"D"),"D",$AC$1)</f>
        <v>29.215</v>
      </c>
      <c r="AA8" s="53">
        <f ca="1">_xll.ESHistD($Q8,_xll.ESFldID(AA$2,"D"),"D",$AC$1)</f>
        <v>30.05</v>
      </c>
      <c r="AB8" s="53">
        <f ca="1">_xll.ESHistD($Q8,_xll.ESFldID(AB$2,"D"),"D",$AC$1)</f>
        <v>28</v>
      </c>
      <c r="AC8" s="53">
        <f ca="1">_xll.ESHistD($Q8,_xll.ESFldID(AC$2,"D"),"D",$AC$1)</f>
        <v>29.184999999999999</v>
      </c>
      <c r="AD8" s="22">
        <f ca="1">_xll.ESHistD($Q8,_xll.ESFldID(AD$2,"D"),"D",$AC$1)</f>
        <v>2904257</v>
      </c>
    </row>
    <row r="9" spans="1:30" x14ac:dyDescent="0.25">
      <c r="A9" s="52">
        <f>IF(OR(ISBLANK(B9), B9=""),"", MAX(A$2:A8)+1)</f>
        <v>7</v>
      </c>
      <c r="B9" s="17" t="str">
        <f>IF(ISBLANK(Reporting!$B9), "", Reporting!$B9)</f>
        <v>RTN-LON</v>
      </c>
      <c r="C9" s="53">
        <f>_xll.ESQuote($B9,_xll.ESFldID(C$2))</f>
        <v>311.10000000000002</v>
      </c>
      <c r="D9" s="17">
        <f>_xll.ESQuote($B9,_xll.ESFldID(D$2))</f>
        <v>278659</v>
      </c>
      <c r="E9" s="54">
        <f>_xll.ESQuote($B9,_xll.ESFldID(E$2))</f>
        <v>42929.644745370373</v>
      </c>
      <c r="F9" s="52" t="str">
        <f>IF(OR(ISBLANK(G9), G9=""),"", MAX(F$2:F8)+1)</f>
        <v/>
      </c>
      <c r="G9" s="17" t="str">
        <f>IF(ISBLANK(Existing!$B9), "", Existing!$B9)</f>
        <v/>
      </c>
      <c r="H9" s="53" t="str">
        <f>_xll.ESQuote($G9,_xll.ESFldID(H$2))</f>
        <v/>
      </c>
      <c r="I9" s="17" t="str">
        <f>_xll.ESQuote($G9,_xll.ESFldID(I$2))</f>
        <v/>
      </c>
      <c r="J9" s="54" t="str">
        <f>_xll.ESQuote($G9,_xll.ESFldID(J$2))</f>
        <v/>
      </c>
      <c r="K9" s="52" t="str">
        <f>IF(OR(ISBLANK(L9), L9=""),"", MAX(K$2:K8)+1)</f>
        <v/>
      </c>
      <c r="L9" s="17" t="str">
        <f>IF(ISBLANK(Monitoring!$B9), "",Monitoring!$B9)</f>
        <v/>
      </c>
      <c r="M9" s="53" t="str">
        <f>_xll.ESQuote($L9,_xll.ESFldID(M$2))</f>
        <v/>
      </c>
      <c r="N9" s="17" t="str">
        <f>_xll.ESQuote($L9,_xll.ESFldID(N$2))</f>
        <v/>
      </c>
      <c r="O9" s="54" t="str">
        <f>_xll.ESQuote($L9,_xll.ESFldID(O$2))</f>
        <v/>
      </c>
      <c r="P9" s="52">
        <f>IF(OR(ISBLANK(Q9), Q9=""),"", MAX(P$2:P8)+1)</f>
        <v>7</v>
      </c>
      <c r="Q9" s="17" t="s">
        <v>9</v>
      </c>
      <c r="R9" s="22" t="s">
        <v>38</v>
      </c>
      <c r="S9" s="16">
        <v>42927</v>
      </c>
      <c r="T9" s="53">
        <f>_xll.ESHistD($Q9,_xll.ESFldID(T$2,"D"),"D",$S9)</f>
        <v>312</v>
      </c>
      <c r="U9" s="53">
        <f>_xll.ESHistD($Q9,_xll.ESFldID(U$2,"D"),"D",$S9)</f>
        <v>313.29998999999998</v>
      </c>
      <c r="V9" s="53">
        <f>_xll.ESHistD($Q9,_xll.ESFldID(V$2,"D"),"D",$S9)</f>
        <v>302.10001</v>
      </c>
      <c r="W9" s="53">
        <f>_xll.ESHistD($Q9,_xll.ESFldID(W$2,"D"),"D",$S9)</f>
        <v>303.10001</v>
      </c>
      <c r="X9" s="22">
        <f>_xll.ESHistD($Q9,_xll.ESFldID(X$2,"D"),"D",$S9)</f>
        <v>693948</v>
      </c>
      <c r="Y9" s="55" t="str">
        <f t="shared" si="0"/>
        <v>RTN-LON</v>
      </c>
      <c r="Z9" s="53">
        <f ca="1">_xll.ESHistD($Q9,_xll.ESFldID(Z$2,"D"),"D",$AC$1)</f>
        <v>306.7</v>
      </c>
      <c r="AA9" s="53">
        <f ca="1">_xll.ESHistD($Q9,_xll.ESFldID(AA$2,"D"),"D",$AC$1)</f>
        <v>313</v>
      </c>
      <c r="AB9" s="53">
        <f ca="1">_xll.ESHistD($Q9,_xll.ESFldID(AB$2,"D"),"D",$AC$1)</f>
        <v>298.8</v>
      </c>
      <c r="AC9" s="53">
        <f ca="1">_xll.ESHistD($Q9,_xll.ESFldID(AC$2,"D"),"D",$AC$1)</f>
        <v>305.39999999999998</v>
      </c>
      <c r="AD9" s="22">
        <f ca="1">_xll.ESHistD($Q9,_xll.ESFldID(AD$2,"D"),"D",$AC$1)</f>
        <v>488205</v>
      </c>
    </row>
    <row r="10" spans="1:30" x14ac:dyDescent="0.25">
      <c r="A10" s="52">
        <f>IF(OR(ISBLANK(B10), B10=""),"", MAX(A$2:A9)+1)</f>
        <v>8</v>
      </c>
      <c r="B10" s="17" t="str">
        <f>IF(ISBLANK(Reporting!$B10), "", Reporting!$B10)</f>
        <v>VOD-LON</v>
      </c>
      <c r="C10" s="53">
        <f>_xll.ESQuote($B10,_xll.ESFldID(C$2))</f>
        <v>220.9</v>
      </c>
      <c r="D10" s="17">
        <f>_xll.ESQuote($B10,_xll.ESFldID(D$2))</f>
        <v>22380354</v>
      </c>
      <c r="E10" s="54">
        <f>_xll.ESQuote($B10,_xll.ESFldID(E$2))</f>
        <v>42929.645381944443</v>
      </c>
      <c r="F10" s="52" t="str">
        <f>IF(OR(ISBLANK(G10), G10=""),"", MAX(F$2:F9)+1)</f>
        <v/>
      </c>
      <c r="G10" s="17" t="str">
        <f>IF(ISBLANK(Existing!$B10), "", Existing!$B10)</f>
        <v/>
      </c>
      <c r="H10" s="53" t="str">
        <f>_xll.ESQuote($G10,_xll.ESFldID(H$2))</f>
        <v/>
      </c>
      <c r="I10" s="17" t="str">
        <f>_xll.ESQuote($G10,_xll.ESFldID(I$2))</f>
        <v/>
      </c>
      <c r="J10" s="54" t="str">
        <f>_xll.ESQuote($G10,_xll.ESFldID(J$2))</f>
        <v/>
      </c>
      <c r="K10" s="52" t="str">
        <f>IF(OR(ISBLANK(L10), L10=""),"", MAX(K$2:K9)+1)</f>
        <v/>
      </c>
      <c r="L10" s="17" t="str">
        <f>IF(ISBLANK(Monitoring!$B10), "",Monitoring!$B10)</f>
        <v/>
      </c>
      <c r="M10" s="53" t="str">
        <f>_xll.ESQuote($L10,_xll.ESFldID(M$2))</f>
        <v/>
      </c>
      <c r="N10" s="17" t="str">
        <f>_xll.ESQuote($L10,_xll.ESFldID(N$2))</f>
        <v/>
      </c>
      <c r="O10" s="54" t="str">
        <f>_xll.ESQuote($L10,_xll.ESFldID(O$2))</f>
        <v/>
      </c>
      <c r="P10" s="52">
        <f>IF(OR(ISBLANK(Q10), Q10=""),"", MAX(P$2:P9)+1)</f>
        <v>8</v>
      </c>
      <c r="Q10" s="17" t="s">
        <v>0</v>
      </c>
      <c r="R10" s="22" t="s">
        <v>38</v>
      </c>
      <c r="S10" s="16">
        <v>42927</v>
      </c>
      <c r="T10" s="53">
        <f>_xll.ESHistD($Q10,_xll.ESFldID(T$2,"D"),"D",$S10)</f>
        <v>219.64999</v>
      </c>
      <c r="U10" s="53">
        <f>_xll.ESHistD($Q10,_xll.ESFldID(U$2,"D"),"D",$S10)</f>
        <v>220.3</v>
      </c>
      <c r="V10" s="53">
        <f>_xll.ESHistD($Q10,_xll.ESFldID(V$2,"D"),"D",$S10)</f>
        <v>217.10001</v>
      </c>
      <c r="W10" s="53">
        <f>_xll.ESHistD($Q10,_xll.ESFldID(W$2,"D"),"D",$S10)</f>
        <v>217.5</v>
      </c>
      <c r="X10" s="22">
        <f>_xll.ESHistD($Q10,_xll.ESFldID(X$2,"D"),"D",$S10)</f>
        <v>38001310</v>
      </c>
      <c r="Y10" s="55" t="str">
        <f t="shared" si="0"/>
        <v>VOD-LON</v>
      </c>
      <c r="Z10" s="53">
        <f ca="1">_xll.ESHistD($Q10,_xll.ESFldID(Z$2,"D"),"D",$AC$1)</f>
        <v>218.5</v>
      </c>
      <c r="AA10" s="53">
        <f ca="1">_xll.ESHistD($Q10,_xll.ESFldID(AA$2,"D"),"D",$AC$1)</f>
        <v>226.95</v>
      </c>
      <c r="AB10" s="53">
        <f ca="1">_xll.ESHistD($Q10,_xll.ESFldID(AB$2,"D"),"D",$AC$1)</f>
        <v>217.85</v>
      </c>
      <c r="AC10" s="53">
        <f ca="1">_xll.ESHistD($Q10,_xll.ESFldID(AC$2,"D"),"D",$AC$1)</f>
        <v>220.45</v>
      </c>
      <c r="AD10" s="22">
        <f ca="1">_xll.ESHistD($Q10,_xll.ESFldID(AD$2,"D"),"D",$AC$1)</f>
        <v>24710067</v>
      </c>
    </row>
    <row r="11" spans="1:30" x14ac:dyDescent="0.25">
      <c r="A11" s="52" t="str">
        <f>IF(OR(ISBLANK(B11), B11=""),"", MAX(A$2:A10)+1)</f>
        <v/>
      </c>
      <c r="B11" s="17" t="str">
        <f>IF(ISBLANK(Reporting!$B11), "", Reporting!$B11)</f>
        <v/>
      </c>
      <c r="C11" s="53" t="str">
        <f>_xll.ESQuote($B11,_xll.ESFldID(C$2))</f>
        <v/>
      </c>
      <c r="D11" s="17" t="str">
        <f>_xll.ESQuote($B11,_xll.ESFldID(D$2))</f>
        <v/>
      </c>
      <c r="E11" s="54" t="str">
        <f>_xll.ESQuote($B11,_xll.ESFldID(E$2))</f>
        <v/>
      </c>
      <c r="F11" s="52" t="str">
        <f>IF(OR(ISBLANK(G11), G11=""),"", MAX(F$2:F10)+1)</f>
        <v/>
      </c>
      <c r="G11" s="17" t="str">
        <f>IF(ISBLANK(Existing!$B11), "", Existing!$B11)</f>
        <v/>
      </c>
      <c r="H11" s="53" t="str">
        <f>_xll.ESQuote($G11,_xll.ESFldID(H$2))</f>
        <v/>
      </c>
      <c r="I11" s="17" t="str">
        <f>_xll.ESQuote($G11,_xll.ESFldID(I$2))</f>
        <v/>
      </c>
      <c r="J11" s="54" t="str">
        <f>_xll.ESQuote($G11,_xll.ESFldID(J$2))</f>
        <v/>
      </c>
      <c r="K11" s="52" t="str">
        <f>IF(OR(ISBLANK(L11), L11=""),"", MAX(K$2:K10)+1)</f>
        <v/>
      </c>
      <c r="L11" s="17" t="str">
        <f>IF(ISBLANK(Monitoring!$B11), "",Monitoring!$B11)</f>
        <v/>
      </c>
      <c r="M11" s="53" t="str">
        <f>_xll.ESQuote($L11,_xll.ESFldID(M$2))</f>
        <v/>
      </c>
      <c r="N11" s="17" t="str">
        <f>_xll.ESQuote($L11,_xll.ESFldID(N$2))</f>
        <v/>
      </c>
      <c r="O11" s="54" t="str">
        <f>_xll.ESQuote($L11,_xll.ESFldID(O$2))</f>
        <v/>
      </c>
      <c r="P11" s="52">
        <f>IF(OR(ISBLANK(Q11), Q11=""),"", MAX(P$2:P10)+1)</f>
        <v>9</v>
      </c>
      <c r="Q11" s="17" t="s">
        <v>8</v>
      </c>
      <c r="R11" s="17" t="s">
        <v>39</v>
      </c>
      <c r="S11" s="16">
        <v>42927</v>
      </c>
      <c r="T11" s="53">
        <f>_xll.ESHistD($Q11,_xll.ESFldID(T$2,"D"),"D",$S11)</f>
        <v>44.240001999999997</v>
      </c>
      <c r="U11" s="53">
        <f>_xll.ESHistD($Q11,_xll.ESFldID(U$2,"D"),"D",$S11)</f>
        <v>44.700001</v>
      </c>
      <c r="V11" s="53">
        <f>_xll.ESHistD($Q11,_xll.ESFldID(V$2,"D"),"D",$S11)</f>
        <v>44.240001999999997</v>
      </c>
      <c r="W11" s="53">
        <f>_xll.ESHistD($Q11,_xll.ESFldID(W$2,"D"),"D",$S11)</f>
        <v>44.505001</v>
      </c>
      <c r="X11" s="22">
        <f>_xll.ESHistD($Q11,_xll.ESFldID(X$2,"D"),"D",$S11)</f>
        <v>64853</v>
      </c>
      <c r="Y11" s="55" t="str">
        <f t="shared" si="0"/>
        <v>BEKB-EEB</v>
      </c>
      <c r="Z11" s="53">
        <f ca="1">_xll.ESHistD($Q11,_xll.ESFldID(Z$2,"D"),"D",$AC$1)</f>
        <v>44.63</v>
      </c>
      <c r="AA11" s="53">
        <f ca="1">_xll.ESHistD($Q11,_xll.ESFldID(AA$2,"D"),"D",$AC$1)</f>
        <v>45</v>
      </c>
      <c r="AB11" s="53">
        <f ca="1">_xll.ESHistD($Q11,_xll.ESFldID(AB$2,"D"),"D",$AC$1)</f>
        <v>44.41</v>
      </c>
      <c r="AC11" s="53">
        <f ca="1">_xll.ESHistD($Q11,_xll.ESFldID(AC$2,"D"),"D",$AC$1)</f>
        <v>44.795000000000002</v>
      </c>
      <c r="AD11" s="22">
        <f ca="1">_xll.ESHistD($Q11,_xll.ESFldID(AD$2,"D"),"D",$AC$1)</f>
        <v>33897</v>
      </c>
    </row>
    <row r="12" spans="1:30" x14ac:dyDescent="0.25">
      <c r="A12" s="52" t="str">
        <f>IF(OR(ISBLANK(B12), B12=""),"", MAX(A$2:A11)+1)</f>
        <v/>
      </c>
      <c r="B12" s="17" t="str">
        <f>IF(ISBLANK(Reporting!$B12), "", Reporting!$B12)</f>
        <v/>
      </c>
      <c r="C12" s="53" t="str">
        <f>_xll.ESQuote($B12,_xll.ESFldID(C$2))</f>
        <v/>
      </c>
      <c r="D12" s="17" t="str">
        <f>_xll.ESQuote($B12,_xll.ESFldID(D$2))</f>
        <v/>
      </c>
      <c r="E12" s="54" t="str">
        <f>_xll.ESQuote($B12,_xll.ESFldID(E$2))</f>
        <v/>
      </c>
      <c r="F12" s="52" t="str">
        <f>IF(OR(ISBLANK(G12), G12=""),"", MAX(F$2:F11)+1)</f>
        <v/>
      </c>
      <c r="G12" s="17" t="str">
        <f>IF(ISBLANK(Existing!$B12), "", Existing!$B12)</f>
        <v/>
      </c>
      <c r="H12" s="53" t="str">
        <f>_xll.ESQuote($G12,_xll.ESFldID(H$2))</f>
        <v/>
      </c>
      <c r="I12" s="17" t="str">
        <f>_xll.ESQuote($G12,_xll.ESFldID(I$2))</f>
        <v/>
      </c>
      <c r="J12" s="54" t="str">
        <f>_xll.ESQuote($G12,_xll.ESFldID(J$2))</f>
        <v/>
      </c>
      <c r="K12" s="52" t="str">
        <f>IF(OR(ISBLANK(L12), L12=""),"", MAX(K$2:K11)+1)</f>
        <v/>
      </c>
      <c r="L12" s="17" t="str">
        <f>IF(ISBLANK(Monitoring!$B12), "",Monitoring!$B12)</f>
        <v/>
      </c>
      <c r="M12" s="53" t="str">
        <f>_xll.ESQuote($L12,_xll.ESFldID(M$2))</f>
        <v/>
      </c>
      <c r="N12" s="17" t="str">
        <f>_xll.ESQuote($L12,_xll.ESFldID(N$2))</f>
        <v/>
      </c>
      <c r="O12" s="54" t="str">
        <f>_xll.ESQuote($L12,_xll.ESFldID(O$2))</f>
        <v/>
      </c>
      <c r="P12" s="52" t="str">
        <f>IF(OR(ISBLANK(Q12), Q12=""),"", MAX(P$2:P11)+1)</f>
        <v/>
      </c>
      <c r="S12" s="16"/>
      <c r="T12" s="53" t="str">
        <f>_xll.ESHistD($Q12,_xll.ESFldID(T$2,"D"),"D",$S12)</f>
        <v/>
      </c>
      <c r="U12" s="53" t="str">
        <f>_xll.ESHistD($Q12,_xll.ESFldID(U$2,"D"),"D",$S12)</f>
        <v/>
      </c>
      <c r="V12" s="53" t="str">
        <f>_xll.ESHistD($Q12,_xll.ESFldID(V$2,"D"),"D",$S12)</f>
        <v/>
      </c>
      <c r="W12" s="53" t="str">
        <f>_xll.ESHistD($Q12,_xll.ESFldID(W$2,"D"),"D",$S12)</f>
        <v/>
      </c>
      <c r="X12" s="22" t="str">
        <f>_xll.ESHistD($Q12,_xll.ESFldID(X$2,"D"),"D",$S12)</f>
        <v/>
      </c>
      <c r="Y12" s="55" t="str">
        <f t="shared" si="0"/>
        <v/>
      </c>
      <c r="Z12" s="53" t="str">
        <f ca="1">_xll.ESHistD($Q12,_xll.ESFldID(Z$2,"D"),"D",$AC$1)</f>
        <v/>
      </c>
      <c r="AA12" s="53" t="str">
        <f ca="1">_xll.ESHistD($Q12,_xll.ESFldID(AA$2,"D"),"D",$AC$1)</f>
        <v/>
      </c>
      <c r="AB12" s="53" t="str">
        <f ca="1">_xll.ESHistD($Q12,_xll.ESFldID(AB$2,"D"),"D",$AC$1)</f>
        <v/>
      </c>
      <c r="AC12" s="53" t="str">
        <f ca="1">_xll.ESHistD($Q12,_xll.ESFldID(AC$2,"D"),"D",$AC$1)</f>
        <v/>
      </c>
      <c r="AD12" s="22" t="str">
        <f ca="1">_xll.ESHistD($Q12,_xll.ESFldID(AD$2,"D"),"D",$AC$1)</f>
        <v/>
      </c>
    </row>
    <row r="13" spans="1:30" x14ac:dyDescent="0.25">
      <c r="A13" s="52" t="str">
        <f>IF(OR(ISBLANK(B13), B13=""),"", MAX(A$2:A12)+1)</f>
        <v/>
      </c>
      <c r="B13" s="17" t="str">
        <f>IF(ISBLANK(Reporting!$B13), "", Reporting!$B13)</f>
        <v/>
      </c>
      <c r="C13" s="53" t="str">
        <f>_xll.ESQuote($B13,_xll.ESFldID(C$2))</f>
        <v/>
      </c>
      <c r="D13" s="17" t="str">
        <f>_xll.ESQuote($B13,_xll.ESFldID(D$2))</f>
        <v/>
      </c>
      <c r="E13" s="54" t="str">
        <f>_xll.ESQuote($B13,_xll.ESFldID(E$2))</f>
        <v/>
      </c>
      <c r="F13" s="52" t="str">
        <f>IF(OR(ISBLANK(G13), G13=""),"", MAX(F$2:F12)+1)</f>
        <v/>
      </c>
      <c r="G13" s="17" t="str">
        <f>IF(ISBLANK(Existing!$B13), "", Existing!$B13)</f>
        <v/>
      </c>
      <c r="H13" s="53" t="str">
        <f>_xll.ESQuote($G13,_xll.ESFldID(H$2))</f>
        <v/>
      </c>
      <c r="I13" s="17" t="str">
        <f>_xll.ESQuote($G13,_xll.ESFldID(I$2))</f>
        <v/>
      </c>
      <c r="J13" s="54" t="str">
        <f>_xll.ESQuote($G13,_xll.ESFldID(J$2))</f>
        <v/>
      </c>
      <c r="K13" s="52" t="str">
        <f>IF(OR(ISBLANK(L13), L13=""),"", MAX(K$2:K12)+1)</f>
        <v/>
      </c>
      <c r="L13" s="17" t="str">
        <f>IF(ISBLANK(Monitoring!$B13), "",Monitoring!$B13)</f>
        <v/>
      </c>
      <c r="M13" s="53" t="str">
        <f>_xll.ESQuote($L13,_xll.ESFldID(M$2))</f>
        <v/>
      </c>
      <c r="N13" s="17" t="str">
        <f>_xll.ESQuote($L13,_xll.ESFldID(N$2))</f>
        <v/>
      </c>
      <c r="O13" s="54" t="str">
        <f>_xll.ESQuote($L13,_xll.ESFldID(O$2))</f>
        <v/>
      </c>
      <c r="P13" s="52" t="str">
        <f>IF(OR(ISBLANK(Q13), Q13=""),"", MAX(P$2:P12)+1)</f>
        <v/>
      </c>
      <c r="S13" s="16"/>
      <c r="T13" s="53" t="str">
        <f>_xll.ESHistD($Q13,_xll.ESFldID(T$2,"D"),"D",$S13)</f>
        <v/>
      </c>
      <c r="U13" s="53" t="str">
        <f>_xll.ESHistD($Q13,_xll.ESFldID(U$2,"D"),"D",$S13)</f>
        <v/>
      </c>
      <c r="V13" s="53" t="str">
        <f>_xll.ESHistD($Q13,_xll.ESFldID(V$2,"D"),"D",$S13)</f>
        <v/>
      </c>
      <c r="W13" s="53" t="str">
        <f>_xll.ESHistD($Q13,_xll.ESFldID(W$2,"D"),"D",$S13)</f>
        <v/>
      </c>
      <c r="X13" s="22" t="str">
        <f>_xll.ESHistD($Q13,_xll.ESFldID(X$2,"D"),"D",$S13)</f>
        <v/>
      </c>
      <c r="Y13" s="55" t="str">
        <f t="shared" si="0"/>
        <v/>
      </c>
      <c r="Z13" s="53" t="str">
        <f ca="1">_xll.ESHistD($Q13,_xll.ESFldID(Z$2,"D"),"D",$AC$1)</f>
        <v/>
      </c>
      <c r="AA13" s="53" t="str">
        <f ca="1">_xll.ESHistD($Q13,_xll.ESFldID(AA$2,"D"),"D",$AC$1)</f>
        <v/>
      </c>
      <c r="AB13" s="53" t="str">
        <f ca="1">_xll.ESHistD($Q13,_xll.ESFldID(AB$2,"D"),"D",$AC$1)</f>
        <v/>
      </c>
      <c r="AC13" s="53" t="str">
        <f ca="1">_xll.ESHistD($Q13,_xll.ESFldID(AC$2,"D"),"D",$AC$1)</f>
        <v/>
      </c>
      <c r="AD13" s="22" t="str">
        <f ca="1">_xll.ESHistD($Q13,_xll.ESFldID(AD$2,"D"),"D",$AC$1)</f>
        <v/>
      </c>
    </row>
    <row r="14" spans="1:30" x14ac:dyDescent="0.25">
      <c r="A14" s="52" t="str">
        <f>IF(OR(ISBLANK(B14), B14=""),"", MAX(A$2:A13)+1)</f>
        <v/>
      </c>
      <c r="B14" s="17" t="str">
        <f>IF(ISBLANK(Reporting!$B14), "", Reporting!$B14)</f>
        <v/>
      </c>
      <c r="C14" s="53" t="str">
        <f>_xll.ESQuote($B14,_xll.ESFldID(C$2))</f>
        <v/>
      </c>
      <c r="D14" s="17" t="str">
        <f>_xll.ESQuote($B14,_xll.ESFldID(D$2))</f>
        <v/>
      </c>
      <c r="E14" s="54" t="str">
        <f>_xll.ESQuote($B14,_xll.ESFldID(E$2))</f>
        <v/>
      </c>
      <c r="F14" s="52" t="str">
        <f>IF(OR(ISBLANK(G14), G14=""),"", MAX(F$2:F13)+1)</f>
        <v/>
      </c>
      <c r="G14" s="17" t="str">
        <f>IF(ISBLANK(Existing!$B14), "", Existing!$B14)</f>
        <v/>
      </c>
      <c r="H14" s="53" t="str">
        <f>_xll.ESQuote($G14,_xll.ESFldID(H$2))</f>
        <v/>
      </c>
      <c r="I14" s="17" t="str">
        <f>_xll.ESQuote($G14,_xll.ESFldID(I$2))</f>
        <v/>
      </c>
      <c r="J14" s="54" t="str">
        <f>_xll.ESQuote($G14,_xll.ESFldID(J$2))</f>
        <v/>
      </c>
      <c r="K14" s="52" t="str">
        <f>IF(OR(ISBLANK(L14), L14=""),"", MAX(K$2:K13)+1)</f>
        <v/>
      </c>
      <c r="L14" s="17" t="str">
        <f>IF(ISBLANK(Monitoring!$B14), "",Monitoring!$B14)</f>
        <v/>
      </c>
      <c r="M14" s="53" t="str">
        <f>_xll.ESQuote($L14,_xll.ESFldID(M$2))</f>
        <v/>
      </c>
      <c r="N14" s="17" t="str">
        <f>_xll.ESQuote($L14,_xll.ESFldID(N$2))</f>
        <v/>
      </c>
      <c r="O14" s="54" t="str">
        <f>_xll.ESQuote($L14,_xll.ESFldID(O$2))</f>
        <v/>
      </c>
      <c r="P14" s="52" t="str">
        <f>IF(OR(ISBLANK(Q14), Q14=""),"", MAX(P$2:P13)+1)</f>
        <v/>
      </c>
      <c r="S14" s="16"/>
      <c r="T14" s="53" t="str">
        <f>_xll.ESHistD($Q14,_xll.ESFldID(T$2,"D"),"D",$S14)</f>
        <v/>
      </c>
      <c r="U14" s="53" t="str">
        <f>_xll.ESHistD($Q14,_xll.ESFldID(U$2,"D"),"D",$S14)</f>
        <v/>
      </c>
      <c r="V14" s="53" t="str">
        <f>_xll.ESHistD($Q14,_xll.ESFldID(V$2,"D"),"D",$S14)</f>
        <v/>
      </c>
      <c r="W14" s="53" t="str">
        <f>_xll.ESHistD($Q14,_xll.ESFldID(W$2,"D"),"D",$S14)</f>
        <v/>
      </c>
      <c r="X14" s="22" t="str">
        <f>_xll.ESHistD($Q14,_xll.ESFldID(X$2,"D"),"D",$S14)</f>
        <v/>
      </c>
      <c r="Y14" s="55" t="str">
        <f t="shared" si="0"/>
        <v/>
      </c>
      <c r="Z14" s="53" t="str">
        <f ca="1">_xll.ESHistD($Q14,_xll.ESFldID(Z$2,"D"),"D",$AC$1)</f>
        <v/>
      </c>
      <c r="AA14" s="53" t="str">
        <f ca="1">_xll.ESHistD($Q14,_xll.ESFldID(AA$2,"D"),"D",$AC$1)</f>
        <v/>
      </c>
      <c r="AB14" s="53" t="str">
        <f ca="1">_xll.ESHistD($Q14,_xll.ESFldID(AB$2,"D"),"D",$AC$1)</f>
        <v/>
      </c>
      <c r="AC14" s="53" t="str">
        <f ca="1">_xll.ESHistD($Q14,_xll.ESFldID(AC$2,"D"),"D",$AC$1)</f>
        <v/>
      </c>
      <c r="AD14" s="22" t="str">
        <f ca="1">_xll.ESHistD($Q14,_xll.ESFldID(AD$2,"D"),"D",$AC$1)</f>
        <v/>
      </c>
    </row>
    <row r="15" spans="1:30" x14ac:dyDescent="0.25">
      <c r="A15" s="52" t="str">
        <f>IF(OR(ISBLANK(B15), B15=""),"", MAX(A$2:A14)+1)</f>
        <v/>
      </c>
      <c r="B15" s="17" t="str">
        <f>IF(ISBLANK(Reporting!$B15), "", Reporting!$B15)</f>
        <v/>
      </c>
      <c r="C15" s="53" t="str">
        <f>_xll.ESQuote($B15,_xll.ESFldID(C$2))</f>
        <v/>
      </c>
      <c r="D15" s="17" t="str">
        <f>_xll.ESQuote($B15,_xll.ESFldID(D$2))</f>
        <v/>
      </c>
      <c r="E15" s="54" t="str">
        <f>_xll.ESQuote($B15,_xll.ESFldID(E$2))</f>
        <v/>
      </c>
      <c r="F15" s="52" t="str">
        <f>IF(OR(ISBLANK(G15), G15=""),"", MAX(F$2:F14)+1)</f>
        <v/>
      </c>
      <c r="G15" s="17" t="str">
        <f>IF(ISBLANK(Existing!$B15), "", Existing!$B15)</f>
        <v/>
      </c>
      <c r="H15" s="53" t="str">
        <f>_xll.ESQuote($G15,_xll.ESFldID(H$2))</f>
        <v/>
      </c>
      <c r="I15" s="17" t="str">
        <f>_xll.ESQuote($G15,_xll.ESFldID(I$2))</f>
        <v/>
      </c>
      <c r="J15" s="54" t="str">
        <f>_xll.ESQuote($G15,_xll.ESFldID(J$2))</f>
        <v/>
      </c>
      <c r="K15" s="52" t="str">
        <f>IF(OR(ISBLANK(L15), L15=""),"", MAX(K$2:K14)+1)</f>
        <v/>
      </c>
      <c r="L15" s="17" t="str">
        <f>IF(ISBLANK(Monitoring!$B15), "",Monitoring!$B15)</f>
        <v/>
      </c>
      <c r="M15" s="53" t="str">
        <f>_xll.ESQuote($L15,_xll.ESFldID(M$2))</f>
        <v/>
      </c>
      <c r="N15" s="17" t="str">
        <f>_xll.ESQuote($L15,_xll.ESFldID(N$2))</f>
        <v/>
      </c>
      <c r="O15" s="54" t="str">
        <f>_xll.ESQuote($L15,_xll.ESFldID(O$2))</f>
        <v/>
      </c>
      <c r="P15" s="52" t="str">
        <f>IF(OR(ISBLANK(Q15), Q15=""),"", MAX(P$2:P14)+1)</f>
        <v/>
      </c>
      <c r="S15" s="16"/>
      <c r="T15" s="53" t="str">
        <f>_xll.ESHistD($Q15,_xll.ESFldID(T$2,"D"),"D",$S15)</f>
        <v/>
      </c>
      <c r="U15" s="53" t="str">
        <f>_xll.ESHistD($Q15,_xll.ESFldID(U$2,"D"),"D",$S15)</f>
        <v/>
      </c>
      <c r="V15" s="53" t="str">
        <f>_xll.ESHistD($Q15,_xll.ESFldID(V$2,"D"),"D",$S15)</f>
        <v/>
      </c>
      <c r="W15" s="53" t="str">
        <f>_xll.ESHistD($Q15,_xll.ESFldID(W$2,"D"),"D",$S15)</f>
        <v/>
      </c>
      <c r="X15" s="22" t="str">
        <f>_xll.ESHistD($Q15,_xll.ESFldID(X$2,"D"),"D",$S15)</f>
        <v/>
      </c>
      <c r="Y15" s="55" t="str">
        <f t="shared" si="0"/>
        <v/>
      </c>
      <c r="Z15" s="53" t="str">
        <f ca="1">_xll.ESHistD($Q15,_xll.ESFldID(Z$2,"D"),"D",$AC$1)</f>
        <v/>
      </c>
      <c r="AA15" s="53" t="str">
        <f ca="1">_xll.ESHistD($Q15,_xll.ESFldID(AA$2,"D"),"D",$AC$1)</f>
        <v/>
      </c>
      <c r="AB15" s="53" t="str">
        <f ca="1">_xll.ESHistD($Q15,_xll.ESFldID(AB$2,"D"),"D",$AC$1)</f>
        <v/>
      </c>
      <c r="AC15" s="53" t="str">
        <f ca="1">_xll.ESHistD($Q15,_xll.ESFldID(AC$2,"D"),"D",$AC$1)</f>
        <v/>
      </c>
      <c r="AD15" s="22" t="str">
        <f ca="1">_xll.ESHistD($Q15,_xll.ESFldID(AD$2,"D"),"D",$AC$1)</f>
        <v/>
      </c>
    </row>
    <row r="16" spans="1:30" x14ac:dyDescent="0.25">
      <c r="A16" s="52" t="str">
        <f>IF(OR(ISBLANK(B16), B16=""),"", MAX(A$2:A15)+1)</f>
        <v/>
      </c>
      <c r="B16" s="17" t="str">
        <f>IF(ISBLANK(Reporting!$B16), "", Reporting!$B16)</f>
        <v/>
      </c>
      <c r="C16" s="53" t="str">
        <f>_xll.ESQuote($B16,_xll.ESFldID(C$2))</f>
        <v/>
      </c>
      <c r="D16" s="17" t="str">
        <f>_xll.ESQuote($B16,_xll.ESFldID(D$2))</f>
        <v/>
      </c>
      <c r="E16" s="54" t="str">
        <f>_xll.ESQuote($B16,_xll.ESFldID(E$2))</f>
        <v/>
      </c>
      <c r="F16" s="52" t="str">
        <f>IF(OR(ISBLANK(G16), G16=""),"", MAX(F$2:F15)+1)</f>
        <v/>
      </c>
      <c r="G16" s="17" t="str">
        <f>IF(ISBLANK(Existing!$B16), "", Existing!$B16)</f>
        <v/>
      </c>
      <c r="H16" s="53" t="str">
        <f>_xll.ESQuote($G16,_xll.ESFldID(H$2))</f>
        <v/>
      </c>
      <c r="I16" s="17" t="str">
        <f>_xll.ESQuote($G16,_xll.ESFldID(I$2))</f>
        <v/>
      </c>
      <c r="J16" s="54" t="str">
        <f>_xll.ESQuote($G16,_xll.ESFldID(J$2))</f>
        <v/>
      </c>
      <c r="K16" s="52" t="str">
        <f>IF(OR(ISBLANK(L16), L16=""),"", MAX(K$2:K15)+1)</f>
        <v/>
      </c>
      <c r="L16" s="17" t="str">
        <f>IF(ISBLANK(Monitoring!$B16), "",Monitoring!$B16)</f>
        <v/>
      </c>
      <c r="M16" s="53" t="str">
        <f>_xll.ESQuote($L16,_xll.ESFldID(M$2))</f>
        <v/>
      </c>
      <c r="N16" s="17" t="str">
        <f>_xll.ESQuote($L16,_xll.ESFldID(N$2))</f>
        <v/>
      </c>
      <c r="O16" s="54" t="str">
        <f>_xll.ESQuote($L16,_xll.ESFldID(O$2))</f>
        <v/>
      </c>
      <c r="P16" s="52" t="str">
        <f>IF(OR(ISBLANK(Q16), Q16=""),"", MAX(P$2:P15)+1)</f>
        <v/>
      </c>
      <c r="S16" s="16"/>
      <c r="T16" s="53" t="str">
        <f>_xll.ESHistD($Q16,_xll.ESFldID(T$2,"D"),"D",$S16)</f>
        <v/>
      </c>
      <c r="U16" s="53" t="str">
        <f>_xll.ESHistD($Q16,_xll.ESFldID(U$2,"D"),"D",$S16)</f>
        <v/>
      </c>
      <c r="V16" s="53" t="str">
        <f>_xll.ESHistD($Q16,_xll.ESFldID(V$2,"D"),"D",$S16)</f>
        <v/>
      </c>
      <c r="W16" s="53" t="str">
        <f>_xll.ESHistD($Q16,_xll.ESFldID(W$2,"D"),"D",$S16)</f>
        <v/>
      </c>
      <c r="X16" s="22" t="str">
        <f>_xll.ESHistD($Q16,_xll.ESFldID(X$2,"D"),"D",$S16)</f>
        <v/>
      </c>
      <c r="Y16" s="55" t="str">
        <f t="shared" si="0"/>
        <v/>
      </c>
      <c r="Z16" s="53" t="str">
        <f ca="1">_xll.ESHistD($Q16,_xll.ESFldID(Z$2,"D"),"D",$AC$1)</f>
        <v/>
      </c>
      <c r="AA16" s="53" t="str">
        <f ca="1">_xll.ESHistD($Q16,_xll.ESFldID(AA$2,"D"),"D",$AC$1)</f>
        <v/>
      </c>
      <c r="AB16" s="53" t="str">
        <f ca="1">_xll.ESHistD($Q16,_xll.ESFldID(AB$2,"D"),"D",$AC$1)</f>
        <v/>
      </c>
      <c r="AC16" s="53" t="str">
        <f ca="1">_xll.ESHistD($Q16,_xll.ESFldID(AC$2,"D"),"D",$AC$1)</f>
        <v/>
      </c>
      <c r="AD16" s="22" t="str">
        <f ca="1">_xll.ESHistD($Q16,_xll.ESFldID(AD$2,"D"),"D",$AC$1)</f>
        <v/>
      </c>
    </row>
    <row r="17" spans="1:30" x14ac:dyDescent="0.25">
      <c r="A17" s="52" t="str">
        <f>IF(OR(ISBLANK(B17), B17=""),"", MAX(A$2:A16)+1)</f>
        <v/>
      </c>
      <c r="B17" s="17" t="str">
        <f>IF(ISBLANK(Reporting!$B17), "", Reporting!$B17)</f>
        <v/>
      </c>
      <c r="C17" s="53" t="str">
        <f>_xll.ESQuote($B17,_xll.ESFldID(C$2))</f>
        <v/>
      </c>
      <c r="D17" s="17" t="str">
        <f>_xll.ESQuote($B17,_xll.ESFldID(D$2))</f>
        <v/>
      </c>
      <c r="E17" s="54" t="str">
        <f>_xll.ESQuote($B17,_xll.ESFldID(E$2))</f>
        <v/>
      </c>
      <c r="F17" s="52" t="str">
        <f>IF(OR(ISBLANK(G17), G17=""),"", MAX(F$2:F16)+1)</f>
        <v/>
      </c>
      <c r="G17" s="17" t="str">
        <f>IF(ISBLANK(Existing!$B17), "", Existing!$B17)</f>
        <v/>
      </c>
      <c r="H17" s="53" t="str">
        <f>_xll.ESQuote($G17,_xll.ESFldID(H$2))</f>
        <v/>
      </c>
      <c r="I17" s="17" t="str">
        <f>_xll.ESQuote($G17,_xll.ESFldID(I$2))</f>
        <v/>
      </c>
      <c r="J17" s="54" t="str">
        <f>_xll.ESQuote($G17,_xll.ESFldID(J$2))</f>
        <v/>
      </c>
      <c r="K17" s="52" t="str">
        <f>IF(OR(ISBLANK(L17), L17=""),"", MAX(K$2:K16)+1)</f>
        <v/>
      </c>
      <c r="L17" s="17" t="str">
        <f>IF(ISBLANK(Monitoring!$B17), "",Monitoring!$B17)</f>
        <v/>
      </c>
      <c r="M17" s="53" t="str">
        <f>_xll.ESQuote($L17,_xll.ESFldID(M$2))</f>
        <v/>
      </c>
      <c r="N17" s="17" t="str">
        <f>_xll.ESQuote($L17,_xll.ESFldID(N$2))</f>
        <v/>
      </c>
      <c r="O17" s="54" t="str">
        <f>_xll.ESQuote($L17,_xll.ESFldID(O$2))</f>
        <v/>
      </c>
      <c r="P17" s="52" t="str">
        <f>IF(OR(ISBLANK(Q17), Q17=""),"", MAX(P$2:P16)+1)</f>
        <v/>
      </c>
      <c r="S17" s="16"/>
      <c r="T17" s="53" t="str">
        <f>_xll.ESHistD($Q17,_xll.ESFldID(T$2,"D"),"D",$S17)</f>
        <v/>
      </c>
      <c r="U17" s="53" t="str">
        <f>_xll.ESHistD($Q17,_xll.ESFldID(U$2,"D"),"D",$S17)</f>
        <v/>
      </c>
      <c r="V17" s="53" t="str">
        <f>_xll.ESHistD($Q17,_xll.ESFldID(V$2,"D"),"D",$S17)</f>
        <v/>
      </c>
      <c r="W17" s="53" t="str">
        <f>_xll.ESHistD($Q17,_xll.ESFldID(W$2,"D"),"D",$S17)</f>
        <v/>
      </c>
      <c r="X17" s="22" t="str">
        <f>_xll.ESHistD($Q17,_xll.ESFldID(X$2,"D"),"D",$S17)</f>
        <v/>
      </c>
      <c r="Y17" s="55" t="str">
        <f t="shared" si="0"/>
        <v/>
      </c>
      <c r="Z17" s="53" t="str">
        <f ca="1">_xll.ESHistD($Q17,_xll.ESFldID(Z$2,"D"),"D",$AC$1)</f>
        <v/>
      </c>
      <c r="AA17" s="53" t="str">
        <f ca="1">_xll.ESHistD($Q17,_xll.ESFldID(AA$2,"D"),"D",$AC$1)</f>
        <v/>
      </c>
      <c r="AB17" s="53" t="str">
        <f ca="1">_xll.ESHistD($Q17,_xll.ESFldID(AB$2,"D"),"D",$AC$1)</f>
        <v/>
      </c>
      <c r="AC17" s="53" t="str">
        <f ca="1">_xll.ESHistD($Q17,_xll.ESFldID(AC$2,"D"),"D",$AC$1)</f>
        <v/>
      </c>
      <c r="AD17" s="22" t="str">
        <f ca="1">_xll.ESHistD($Q17,_xll.ESFldID(AD$2,"D"),"D",$AC$1)</f>
        <v/>
      </c>
    </row>
    <row r="18" spans="1:30" x14ac:dyDescent="0.25">
      <c r="A18" s="52" t="str">
        <f>IF(OR(ISBLANK(B18), B18=""),"", MAX(A$2:A17)+1)</f>
        <v/>
      </c>
      <c r="B18" s="17" t="str">
        <f>IF(ISBLANK(Reporting!$B18), "", Reporting!$B18)</f>
        <v/>
      </c>
      <c r="C18" s="53" t="str">
        <f>_xll.ESQuote($B18,_xll.ESFldID(C$2))</f>
        <v/>
      </c>
      <c r="D18" s="17" t="str">
        <f>_xll.ESQuote($B18,_xll.ESFldID(D$2))</f>
        <v/>
      </c>
      <c r="E18" s="54" t="str">
        <f>_xll.ESQuote($B18,_xll.ESFldID(E$2))</f>
        <v/>
      </c>
      <c r="F18" s="52" t="str">
        <f>IF(OR(ISBLANK(G18), G18=""),"", MAX(F$2:F17)+1)</f>
        <v/>
      </c>
      <c r="G18" s="17" t="str">
        <f>IF(ISBLANK(Existing!$B18), "", Existing!$B18)</f>
        <v/>
      </c>
      <c r="H18" s="53" t="str">
        <f>_xll.ESQuote($G18,_xll.ESFldID(H$2))</f>
        <v/>
      </c>
      <c r="I18" s="17" t="str">
        <f>_xll.ESQuote($G18,_xll.ESFldID(I$2))</f>
        <v/>
      </c>
      <c r="J18" s="54" t="str">
        <f>_xll.ESQuote($G18,_xll.ESFldID(J$2))</f>
        <v/>
      </c>
      <c r="K18" s="52" t="str">
        <f>IF(OR(ISBLANK(L18), L18=""),"", MAX(K$2:K17)+1)</f>
        <v/>
      </c>
      <c r="L18" s="17" t="str">
        <f>IF(ISBLANK(Monitoring!$B18), "",Monitoring!$B18)</f>
        <v/>
      </c>
      <c r="M18" s="53" t="str">
        <f>_xll.ESQuote($L18,_xll.ESFldID(M$2))</f>
        <v/>
      </c>
      <c r="N18" s="17" t="str">
        <f>_xll.ESQuote($L18,_xll.ESFldID(N$2))</f>
        <v/>
      </c>
      <c r="O18" s="54" t="str">
        <f>_xll.ESQuote($L18,_xll.ESFldID(O$2))</f>
        <v/>
      </c>
      <c r="P18" s="52" t="str">
        <f>IF(OR(ISBLANK(Q18), Q18=""),"", MAX(P$2:P17)+1)</f>
        <v/>
      </c>
      <c r="S18" s="16"/>
      <c r="T18" s="53" t="str">
        <f>_xll.ESHistD($Q18,_xll.ESFldID(T$2,"D"),"D",$S18)</f>
        <v/>
      </c>
      <c r="U18" s="53" t="str">
        <f>_xll.ESHistD($Q18,_xll.ESFldID(U$2,"D"),"D",$S18)</f>
        <v/>
      </c>
      <c r="V18" s="53" t="str">
        <f>_xll.ESHistD($Q18,_xll.ESFldID(V$2,"D"),"D",$S18)</f>
        <v/>
      </c>
      <c r="W18" s="53" t="str">
        <f>_xll.ESHistD($Q18,_xll.ESFldID(W$2,"D"),"D",$S18)</f>
        <v/>
      </c>
      <c r="X18" s="22" t="str">
        <f>_xll.ESHistD($Q18,_xll.ESFldID(X$2,"D"),"D",$S18)</f>
        <v/>
      </c>
      <c r="Y18" s="55" t="str">
        <f t="shared" si="0"/>
        <v/>
      </c>
      <c r="Z18" s="53" t="str">
        <f ca="1">_xll.ESHistD($Q18,_xll.ESFldID(Z$2,"D"),"D",$AC$1)</f>
        <v/>
      </c>
      <c r="AA18" s="53" t="str">
        <f ca="1">_xll.ESHistD($Q18,_xll.ESFldID(AA$2,"D"),"D",$AC$1)</f>
        <v/>
      </c>
      <c r="AB18" s="53" t="str">
        <f ca="1">_xll.ESHistD($Q18,_xll.ESFldID(AB$2,"D"),"D",$AC$1)</f>
        <v/>
      </c>
      <c r="AC18" s="53" t="str">
        <f ca="1">_xll.ESHistD($Q18,_xll.ESFldID(AC$2,"D"),"D",$AC$1)</f>
        <v/>
      </c>
      <c r="AD18" s="22" t="str">
        <f ca="1">_xll.ESHistD($Q18,_xll.ESFldID(AD$2,"D"),"D",$AC$1)</f>
        <v/>
      </c>
    </row>
    <row r="19" spans="1:30" x14ac:dyDescent="0.25">
      <c r="A19" s="52" t="str">
        <f>IF(OR(ISBLANK(B19), B19=""),"", MAX(A$2:A18)+1)</f>
        <v/>
      </c>
      <c r="B19" s="17" t="str">
        <f>IF(ISBLANK(Reporting!$B19), "", Reporting!$B19)</f>
        <v/>
      </c>
      <c r="C19" s="53" t="str">
        <f>_xll.ESQuote($B19,_xll.ESFldID(C$2))</f>
        <v/>
      </c>
      <c r="D19" s="17" t="str">
        <f>_xll.ESQuote($B19,_xll.ESFldID(D$2))</f>
        <v/>
      </c>
      <c r="E19" s="54" t="str">
        <f>_xll.ESQuote($B19,_xll.ESFldID(E$2))</f>
        <v/>
      </c>
      <c r="F19" s="52" t="str">
        <f>IF(OR(ISBLANK(G19), G19=""),"", MAX(F$2:F18)+1)</f>
        <v/>
      </c>
      <c r="G19" s="17" t="str">
        <f>IF(ISBLANK(Existing!$B19), "", Existing!$B19)</f>
        <v/>
      </c>
      <c r="H19" s="53" t="str">
        <f>_xll.ESQuote($G19,_xll.ESFldID(H$2))</f>
        <v/>
      </c>
      <c r="I19" s="17" t="str">
        <f>_xll.ESQuote($G19,_xll.ESFldID(I$2))</f>
        <v/>
      </c>
      <c r="J19" s="54" t="str">
        <f>_xll.ESQuote($G19,_xll.ESFldID(J$2))</f>
        <v/>
      </c>
      <c r="K19" s="52" t="str">
        <f>IF(OR(ISBLANK(L19), L19=""),"", MAX(K$2:K18)+1)</f>
        <v/>
      </c>
      <c r="L19" s="17" t="str">
        <f>IF(ISBLANK(Monitoring!$B19), "",Monitoring!$B19)</f>
        <v/>
      </c>
      <c r="M19" s="53" t="str">
        <f>_xll.ESQuote($L19,_xll.ESFldID(M$2))</f>
        <v/>
      </c>
      <c r="N19" s="17" t="str">
        <f>_xll.ESQuote($L19,_xll.ESFldID(N$2))</f>
        <v/>
      </c>
      <c r="O19" s="54" t="str">
        <f>_xll.ESQuote($L19,_xll.ESFldID(O$2))</f>
        <v/>
      </c>
      <c r="P19" s="52" t="str">
        <f>IF(OR(ISBLANK(Q19), Q19=""),"", MAX(P$2:P18)+1)</f>
        <v/>
      </c>
      <c r="S19" s="16"/>
      <c r="T19" s="53" t="str">
        <f>_xll.ESHistD($Q19,_xll.ESFldID(T$2,"D"),"D",$S19)</f>
        <v/>
      </c>
      <c r="U19" s="53" t="str">
        <f>_xll.ESHistD($Q19,_xll.ESFldID(U$2,"D"),"D",$S19)</f>
        <v/>
      </c>
      <c r="V19" s="53" t="str">
        <f>_xll.ESHistD($Q19,_xll.ESFldID(V$2,"D"),"D",$S19)</f>
        <v/>
      </c>
      <c r="W19" s="53" t="str">
        <f>_xll.ESHistD($Q19,_xll.ESFldID(W$2,"D"),"D",$S19)</f>
        <v/>
      </c>
      <c r="X19" s="22" t="str">
        <f>_xll.ESHistD($Q19,_xll.ESFldID(X$2,"D"),"D",$S19)</f>
        <v/>
      </c>
      <c r="Y19" s="55" t="str">
        <f t="shared" si="0"/>
        <v/>
      </c>
      <c r="Z19" s="53" t="str">
        <f ca="1">_xll.ESHistD($Q19,_xll.ESFldID(Z$2,"D"),"D",$AC$1)</f>
        <v/>
      </c>
      <c r="AA19" s="53" t="str">
        <f ca="1">_xll.ESHistD($Q19,_xll.ESFldID(AA$2,"D"),"D",$AC$1)</f>
        <v/>
      </c>
      <c r="AB19" s="53" t="str">
        <f ca="1">_xll.ESHistD($Q19,_xll.ESFldID(AB$2,"D"),"D",$AC$1)</f>
        <v/>
      </c>
      <c r="AC19" s="53" t="str">
        <f ca="1">_xll.ESHistD($Q19,_xll.ESFldID(AC$2,"D"),"D",$AC$1)</f>
        <v/>
      </c>
      <c r="AD19" s="22" t="str">
        <f ca="1">_xll.ESHistD($Q19,_xll.ESFldID(AD$2,"D"),"D",$AC$1)</f>
        <v/>
      </c>
    </row>
    <row r="20" spans="1:30" x14ac:dyDescent="0.25">
      <c r="A20" s="52" t="str">
        <f>IF(OR(ISBLANK(B20), B20=""),"", MAX(A$2:A19)+1)</f>
        <v/>
      </c>
      <c r="B20" s="17" t="str">
        <f>IF(ISBLANK(Reporting!$B20), "", Reporting!$B20)</f>
        <v/>
      </c>
      <c r="C20" s="53" t="str">
        <f>_xll.ESQuote($B20,_xll.ESFldID(C$2))</f>
        <v/>
      </c>
      <c r="D20" s="17" t="str">
        <f>_xll.ESQuote($B20,_xll.ESFldID(D$2))</f>
        <v/>
      </c>
      <c r="E20" s="54" t="str">
        <f>_xll.ESQuote($B20,_xll.ESFldID(E$2))</f>
        <v/>
      </c>
      <c r="F20" s="52" t="str">
        <f>IF(OR(ISBLANK(G20), G20=""),"", MAX(F$2:F19)+1)</f>
        <v/>
      </c>
      <c r="G20" s="17" t="str">
        <f>IF(ISBLANK(Existing!$B20), "", Existing!$B20)</f>
        <v/>
      </c>
      <c r="H20" s="53" t="str">
        <f>_xll.ESQuote($G20,_xll.ESFldID(H$2))</f>
        <v/>
      </c>
      <c r="I20" s="17" t="str">
        <f>_xll.ESQuote($G20,_xll.ESFldID(I$2))</f>
        <v/>
      </c>
      <c r="J20" s="54" t="str">
        <f>_xll.ESQuote($G20,_xll.ESFldID(J$2))</f>
        <v/>
      </c>
      <c r="K20" s="52" t="str">
        <f>IF(OR(ISBLANK(L20), L20=""),"", MAX(K$2:K19)+1)</f>
        <v/>
      </c>
      <c r="L20" s="17" t="str">
        <f>IF(ISBLANK(Monitoring!$B20), "",Monitoring!$B20)</f>
        <v/>
      </c>
      <c r="M20" s="53" t="str">
        <f>_xll.ESQuote($L20,_xll.ESFldID(M$2))</f>
        <v/>
      </c>
      <c r="N20" s="17" t="str">
        <f>_xll.ESQuote($L20,_xll.ESFldID(N$2))</f>
        <v/>
      </c>
      <c r="O20" s="54" t="str">
        <f>_xll.ESQuote($L20,_xll.ESFldID(O$2))</f>
        <v/>
      </c>
      <c r="P20" s="52" t="str">
        <f>IF(OR(ISBLANK(Q20), Q20=""),"", MAX(P$2:P19)+1)</f>
        <v/>
      </c>
      <c r="S20" s="16"/>
      <c r="T20" s="53" t="str">
        <f>_xll.ESHistD($Q20,_xll.ESFldID(T$2,"D"),"D",$S20)</f>
        <v/>
      </c>
      <c r="U20" s="53" t="str">
        <f>_xll.ESHistD($Q20,_xll.ESFldID(U$2,"D"),"D",$S20)</f>
        <v/>
      </c>
      <c r="V20" s="53" t="str">
        <f>_xll.ESHistD($Q20,_xll.ESFldID(V$2,"D"),"D",$S20)</f>
        <v/>
      </c>
      <c r="W20" s="53" t="str">
        <f>_xll.ESHistD($Q20,_xll.ESFldID(W$2,"D"),"D",$S20)</f>
        <v/>
      </c>
      <c r="X20" s="22" t="str">
        <f>_xll.ESHistD($Q20,_xll.ESFldID(X$2,"D"),"D",$S20)</f>
        <v/>
      </c>
      <c r="Y20" s="55" t="str">
        <f t="shared" si="0"/>
        <v/>
      </c>
      <c r="Z20" s="53" t="str">
        <f ca="1">_xll.ESHistD($Q20,_xll.ESFldID(Z$2,"D"),"D",$AC$1)</f>
        <v/>
      </c>
      <c r="AA20" s="53" t="str">
        <f ca="1">_xll.ESHistD($Q20,_xll.ESFldID(AA$2,"D"),"D",$AC$1)</f>
        <v/>
      </c>
      <c r="AB20" s="53" t="str">
        <f ca="1">_xll.ESHistD($Q20,_xll.ESFldID(AB$2,"D"),"D",$AC$1)</f>
        <v/>
      </c>
      <c r="AC20" s="53" t="str">
        <f ca="1">_xll.ESHistD($Q20,_xll.ESFldID(AC$2,"D"),"D",$AC$1)</f>
        <v/>
      </c>
      <c r="AD20" s="22" t="str">
        <f ca="1">_xll.ESHistD($Q20,_xll.ESFldID(AD$2,"D"),"D",$AC$1)</f>
        <v/>
      </c>
    </row>
    <row r="21" spans="1:30" x14ac:dyDescent="0.25">
      <c r="A21" s="52" t="str">
        <f>IF(OR(ISBLANK(B21), B21=""),"", MAX(A$2:A20)+1)</f>
        <v/>
      </c>
      <c r="B21" s="17" t="str">
        <f>IF(ISBLANK(Reporting!$B21), "", Reporting!$B21)</f>
        <v/>
      </c>
      <c r="C21" s="53" t="str">
        <f>_xll.ESQuote($B21,_xll.ESFldID(C$2))</f>
        <v/>
      </c>
      <c r="D21" s="17" t="str">
        <f>_xll.ESQuote($B21,_xll.ESFldID(D$2))</f>
        <v/>
      </c>
      <c r="E21" s="54" t="str">
        <f>_xll.ESQuote($B21,_xll.ESFldID(E$2))</f>
        <v/>
      </c>
      <c r="F21" s="52" t="str">
        <f>IF(OR(ISBLANK(G21), G21=""),"", MAX(F$2:F20)+1)</f>
        <v/>
      </c>
      <c r="G21" s="17" t="str">
        <f>IF(ISBLANK(Existing!$B21), "", Existing!$B21)</f>
        <v/>
      </c>
      <c r="H21" s="53" t="str">
        <f>_xll.ESQuote($G21,_xll.ESFldID(H$2))</f>
        <v/>
      </c>
      <c r="I21" s="17" t="str">
        <f>_xll.ESQuote($G21,_xll.ESFldID(I$2))</f>
        <v/>
      </c>
      <c r="J21" s="54" t="str">
        <f>_xll.ESQuote($G21,_xll.ESFldID(J$2))</f>
        <v/>
      </c>
      <c r="K21" s="52" t="str">
        <f>IF(OR(ISBLANK(L21), L21=""),"", MAX(K$2:K20)+1)</f>
        <v/>
      </c>
      <c r="L21" s="17" t="str">
        <f>IF(ISBLANK(Monitoring!$B21), "",Monitoring!$B21)</f>
        <v/>
      </c>
      <c r="M21" s="53" t="str">
        <f>_xll.ESQuote($L21,_xll.ESFldID(M$2))</f>
        <v/>
      </c>
      <c r="N21" s="17" t="str">
        <f>_xll.ESQuote($L21,_xll.ESFldID(N$2))</f>
        <v/>
      </c>
      <c r="O21" s="54" t="str">
        <f>_xll.ESQuote($L21,_xll.ESFldID(O$2))</f>
        <v/>
      </c>
      <c r="P21" s="52" t="str">
        <f>IF(OR(ISBLANK(Q21), Q21=""),"", MAX(P$2:P20)+1)</f>
        <v/>
      </c>
      <c r="S21" s="16"/>
      <c r="T21" s="53" t="str">
        <f>_xll.ESHistD($Q21,_xll.ESFldID(T$2,"D"),"D",$S21)</f>
        <v/>
      </c>
      <c r="U21" s="53" t="str">
        <f>_xll.ESHistD($Q21,_xll.ESFldID(U$2,"D"),"D",$S21)</f>
        <v/>
      </c>
      <c r="V21" s="53" t="str">
        <f>_xll.ESHistD($Q21,_xll.ESFldID(V$2,"D"),"D",$S21)</f>
        <v/>
      </c>
      <c r="W21" s="53" t="str">
        <f>_xll.ESHistD($Q21,_xll.ESFldID(W$2,"D"),"D",$S21)</f>
        <v/>
      </c>
      <c r="X21" s="22" t="str">
        <f>_xll.ESHistD($Q21,_xll.ESFldID(X$2,"D"),"D",$S21)</f>
        <v/>
      </c>
      <c r="Y21" s="55" t="str">
        <f t="shared" si="0"/>
        <v/>
      </c>
      <c r="Z21" s="53" t="str">
        <f ca="1">_xll.ESHistD($Q21,_xll.ESFldID(Z$2,"D"),"D",$AC$1)</f>
        <v/>
      </c>
      <c r="AA21" s="53" t="str">
        <f ca="1">_xll.ESHistD($Q21,_xll.ESFldID(AA$2,"D"),"D",$AC$1)</f>
        <v/>
      </c>
      <c r="AB21" s="53" t="str">
        <f ca="1">_xll.ESHistD($Q21,_xll.ESFldID(AB$2,"D"),"D",$AC$1)</f>
        <v/>
      </c>
      <c r="AC21" s="53" t="str">
        <f ca="1">_xll.ESHistD($Q21,_xll.ESFldID(AC$2,"D"),"D",$AC$1)</f>
        <v/>
      </c>
      <c r="AD21" s="22" t="str">
        <f ca="1">_xll.ESHistD($Q21,_xll.ESFldID(AD$2,"D"),"D",$AC$1)</f>
        <v/>
      </c>
    </row>
    <row r="22" spans="1:30" x14ac:dyDescent="0.25">
      <c r="A22" s="52" t="str">
        <f>IF(OR(ISBLANK(B22), B22=""),"", MAX(A$2:A21)+1)</f>
        <v/>
      </c>
      <c r="B22" s="17" t="str">
        <f>IF(ISBLANK(Reporting!$B22), "", Reporting!$B22)</f>
        <v/>
      </c>
      <c r="C22" s="53" t="str">
        <f>_xll.ESQuote($B22,_xll.ESFldID(C$2))</f>
        <v/>
      </c>
      <c r="D22" s="17" t="str">
        <f>_xll.ESQuote($B22,_xll.ESFldID(D$2))</f>
        <v/>
      </c>
      <c r="E22" s="54" t="str">
        <f>_xll.ESQuote($B22,_xll.ESFldID(E$2))</f>
        <v/>
      </c>
      <c r="F22" s="52" t="str">
        <f>IF(OR(ISBLANK(G22), G22=""),"", MAX(F$2:F21)+1)</f>
        <v/>
      </c>
      <c r="G22" s="17" t="str">
        <f>IF(ISBLANK(Existing!$B22), "", Existing!$B22)</f>
        <v/>
      </c>
      <c r="H22" s="53" t="str">
        <f>_xll.ESQuote($G22,_xll.ESFldID(H$2))</f>
        <v/>
      </c>
      <c r="I22" s="17" t="str">
        <f>_xll.ESQuote($G22,_xll.ESFldID(I$2))</f>
        <v/>
      </c>
      <c r="J22" s="54" t="str">
        <f>_xll.ESQuote($G22,_xll.ESFldID(J$2))</f>
        <v/>
      </c>
      <c r="K22" s="52" t="str">
        <f>IF(OR(ISBLANK(L22), L22=""),"", MAX(K$2:K21)+1)</f>
        <v/>
      </c>
      <c r="L22" s="17" t="str">
        <f>IF(ISBLANK(Monitoring!$B22), "",Monitoring!$B22)</f>
        <v/>
      </c>
      <c r="M22" s="53" t="str">
        <f>_xll.ESQuote($L22,_xll.ESFldID(M$2))</f>
        <v/>
      </c>
      <c r="N22" s="17" t="str">
        <f>_xll.ESQuote($L22,_xll.ESFldID(N$2))</f>
        <v/>
      </c>
      <c r="O22" s="54" t="str">
        <f>_xll.ESQuote($L22,_xll.ESFldID(O$2))</f>
        <v/>
      </c>
      <c r="P22" s="52" t="str">
        <f>IF(OR(ISBLANK(Q22), Q22=""),"", MAX(P$2:P21)+1)</f>
        <v/>
      </c>
      <c r="S22" s="16"/>
      <c r="T22" s="53" t="str">
        <f>_xll.ESHistD($Q22,_xll.ESFldID(T$2,"D"),"D",$S22)</f>
        <v/>
      </c>
      <c r="U22" s="53" t="str">
        <f>_xll.ESHistD($Q22,_xll.ESFldID(U$2,"D"),"D",$S22)</f>
        <v/>
      </c>
      <c r="V22" s="53" t="str">
        <f>_xll.ESHistD($Q22,_xll.ESFldID(V$2,"D"),"D",$S22)</f>
        <v/>
      </c>
      <c r="W22" s="53" t="str">
        <f>_xll.ESHistD($Q22,_xll.ESFldID(W$2,"D"),"D",$S22)</f>
        <v/>
      </c>
      <c r="X22" s="22" t="str">
        <f>_xll.ESHistD($Q22,_xll.ESFldID(X$2,"D"),"D",$S22)</f>
        <v/>
      </c>
      <c r="Y22" s="55" t="str">
        <f t="shared" si="0"/>
        <v/>
      </c>
      <c r="Z22" s="53" t="str">
        <f ca="1">_xll.ESHistD($Q22,_xll.ESFldID(Z$2,"D"),"D",$AC$1)</f>
        <v/>
      </c>
      <c r="AA22" s="53" t="str">
        <f ca="1">_xll.ESHistD($Q22,_xll.ESFldID(AA$2,"D"),"D",$AC$1)</f>
        <v/>
      </c>
      <c r="AB22" s="53" t="str">
        <f ca="1">_xll.ESHistD($Q22,_xll.ESFldID(AB$2,"D"),"D",$AC$1)</f>
        <v/>
      </c>
      <c r="AC22" s="53" t="str">
        <f ca="1">_xll.ESHistD($Q22,_xll.ESFldID(AC$2,"D"),"D",$AC$1)</f>
        <v/>
      </c>
      <c r="AD22" s="22" t="str">
        <f ca="1">_xll.ESHistD($Q22,_xll.ESFldID(AD$2,"D"),"D",$AC$1)</f>
        <v/>
      </c>
    </row>
    <row r="23" spans="1:30" x14ac:dyDescent="0.25">
      <c r="A23" s="52" t="str">
        <f>IF(OR(ISBLANK(B23), B23=""),"", MAX(A$2:A22)+1)</f>
        <v/>
      </c>
      <c r="B23" s="17" t="str">
        <f>IF(ISBLANK(Reporting!$B23), "", Reporting!$B23)</f>
        <v/>
      </c>
      <c r="C23" s="53" t="str">
        <f>_xll.ESQuote($B23,_xll.ESFldID(C$2))</f>
        <v/>
      </c>
      <c r="D23" s="17" t="str">
        <f>_xll.ESQuote($B23,_xll.ESFldID(D$2))</f>
        <v/>
      </c>
      <c r="E23" s="54" t="str">
        <f>_xll.ESQuote($B23,_xll.ESFldID(E$2))</f>
        <v/>
      </c>
      <c r="F23" s="52" t="str">
        <f>IF(OR(ISBLANK(G23), G23=""),"", MAX(F$2:F22)+1)</f>
        <v/>
      </c>
      <c r="G23" s="17" t="str">
        <f>IF(ISBLANK(Existing!$B23), "", Existing!$B23)</f>
        <v/>
      </c>
      <c r="H23" s="53" t="str">
        <f>_xll.ESQuote($G23,_xll.ESFldID(H$2))</f>
        <v/>
      </c>
      <c r="I23" s="17" t="str">
        <f>_xll.ESQuote($G23,_xll.ESFldID(I$2))</f>
        <v/>
      </c>
      <c r="J23" s="54" t="str">
        <f>_xll.ESQuote($G23,_xll.ESFldID(J$2))</f>
        <v/>
      </c>
      <c r="K23" s="52" t="str">
        <f>IF(OR(ISBLANK(L23), L23=""),"", MAX(K$2:K22)+1)</f>
        <v/>
      </c>
      <c r="L23" s="17" t="str">
        <f>IF(ISBLANK(Monitoring!$B23), "",Monitoring!$B23)</f>
        <v/>
      </c>
      <c r="M23" s="53" t="str">
        <f>_xll.ESQuote($L23,_xll.ESFldID(M$2))</f>
        <v/>
      </c>
      <c r="N23" s="17" t="str">
        <f>_xll.ESQuote($L23,_xll.ESFldID(N$2))</f>
        <v/>
      </c>
      <c r="O23" s="54" t="str">
        <f>_xll.ESQuote($L23,_xll.ESFldID(O$2))</f>
        <v/>
      </c>
      <c r="P23" s="52" t="str">
        <f>IF(OR(ISBLANK(Q23), Q23=""),"", MAX(P$2:P22)+1)</f>
        <v/>
      </c>
      <c r="S23" s="16"/>
      <c r="T23" s="53" t="str">
        <f>_xll.ESHistD($Q23,_xll.ESFldID(T$2,"D"),"D",$S23)</f>
        <v/>
      </c>
      <c r="U23" s="53" t="str">
        <f>_xll.ESHistD($Q23,_xll.ESFldID(U$2,"D"),"D",$S23)</f>
        <v/>
      </c>
      <c r="V23" s="53" t="str">
        <f>_xll.ESHistD($Q23,_xll.ESFldID(V$2,"D"),"D",$S23)</f>
        <v/>
      </c>
      <c r="W23" s="53" t="str">
        <f>_xll.ESHistD($Q23,_xll.ESFldID(W$2,"D"),"D",$S23)</f>
        <v/>
      </c>
      <c r="X23" s="22" t="str">
        <f>_xll.ESHistD($Q23,_xll.ESFldID(X$2,"D"),"D",$S23)</f>
        <v/>
      </c>
      <c r="Y23" s="55" t="str">
        <f t="shared" si="0"/>
        <v/>
      </c>
      <c r="Z23" s="53" t="str">
        <f ca="1">_xll.ESHistD($Q23,_xll.ESFldID(Z$2,"D"),"D",$AC$1)</f>
        <v/>
      </c>
      <c r="AA23" s="53" t="str">
        <f ca="1">_xll.ESHistD($Q23,_xll.ESFldID(AA$2,"D"),"D",$AC$1)</f>
        <v/>
      </c>
      <c r="AB23" s="53" t="str">
        <f ca="1">_xll.ESHistD($Q23,_xll.ESFldID(AB$2,"D"),"D",$AC$1)</f>
        <v/>
      </c>
      <c r="AC23" s="53" t="str">
        <f ca="1">_xll.ESHistD($Q23,_xll.ESFldID(AC$2,"D"),"D",$AC$1)</f>
        <v/>
      </c>
      <c r="AD23" s="22" t="str">
        <f ca="1">_xll.ESHistD($Q23,_xll.ESFldID(AD$2,"D"),"D",$AC$1)</f>
        <v/>
      </c>
    </row>
    <row r="24" spans="1:30" x14ac:dyDescent="0.25">
      <c r="A24" s="52" t="str">
        <f>IF(OR(ISBLANK(B24), B24=""),"", MAX(A$2:A23)+1)</f>
        <v/>
      </c>
      <c r="B24" s="17" t="str">
        <f>IF(ISBLANK(Reporting!$B24), "", Reporting!$B24)</f>
        <v/>
      </c>
      <c r="C24" s="53" t="str">
        <f>_xll.ESQuote($B24,_xll.ESFldID(C$2))</f>
        <v/>
      </c>
      <c r="D24" s="17" t="str">
        <f>_xll.ESQuote($B24,_xll.ESFldID(D$2))</f>
        <v/>
      </c>
      <c r="E24" s="54" t="str">
        <f>_xll.ESQuote($B24,_xll.ESFldID(E$2))</f>
        <v/>
      </c>
      <c r="F24" s="52" t="str">
        <f>IF(OR(ISBLANK(G24), G24=""),"", MAX(F$2:F23)+1)</f>
        <v/>
      </c>
      <c r="G24" s="17" t="str">
        <f>IF(ISBLANK(Existing!$B24), "", Existing!$B24)</f>
        <v/>
      </c>
      <c r="H24" s="53" t="str">
        <f>_xll.ESQuote($G24,_xll.ESFldID(H$2))</f>
        <v/>
      </c>
      <c r="I24" s="17" t="str">
        <f>_xll.ESQuote($G24,_xll.ESFldID(I$2))</f>
        <v/>
      </c>
      <c r="J24" s="54" t="str">
        <f>_xll.ESQuote($G24,_xll.ESFldID(J$2))</f>
        <v/>
      </c>
      <c r="K24" s="52" t="str">
        <f>IF(OR(ISBLANK(L24), L24=""),"", MAX(K$2:K23)+1)</f>
        <v/>
      </c>
      <c r="L24" s="17" t="str">
        <f>IF(ISBLANK(Monitoring!$B24), "",Monitoring!$B24)</f>
        <v/>
      </c>
      <c r="M24" s="53" t="str">
        <f>_xll.ESQuote($L24,_xll.ESFldID(M$2))</f>
        <v/>
      </c>
      <c r="N24" s="17" t="str">
        <f>_xll.ESQuote($L24,_xll.ESFldID(N$2))</f>
        <v/>
      </c>
      <c r="O24" s="54" t="str">
        <f>_xll.ESQuote($L24,_xll.ESFldID(O$2))</f>
        <v/>
      </c>
      <c r="P24" s="52" t="str">
        <f>IF(OR(ISBLANK(Q24), Q24=""),"", MAX(P$2:P23)+1)</f>
        <v/>
      </c>
      <c r="S24" s="16"/>
      <c r="T24" s="53" t="str">
        <f>_xll.ESHistD($Q24,_xll.ESFldID(T$2,"D"),"D",$S24)</f>
        <v/>
      </c>
      <c r="U24" s="53" t="str">
        <f>_xll.ESHistD($Q24,_xll.ESFldID(U$2,"D"),"D",$S24)</f>
        <v/>
      </c>
      <c r="V24" s="53" t="str">
        <f>_xll.ESHistD($Q24,_xll.ESFldID(V$2,"D"),"D",$S24)</f>
        <v/>
      </c>
      <c r="W24" s="53" t="str">
        <f>_xll.ESHistD($Q24,_xll.ESFldID(W$2,"D"),"D",$S24)</f>
        <v/>
      </c>
      <c r="X24" s="22" t="str">
        <f>_xll.ESHistD($Q24,_xll.ESFldID(X$2,"D"),"D",$S24)</f>
        <v/>
      </c>
      <c r="Y24" s="55" t="str">
        <f t="shared" si="0"/>
        <v/>
      </c>
      <c r="Z24" s="53" t="str">
        <f ca="1">_xll.ESHistD($Q24,_xll.ESFldID(Z$2,"D"),"D",$AC$1)</f>
        <v/>
      </c>
      <c r="AA24" s="53" t="str">
        <f ca="1">_xll.ESHistD($Q24,_xll.ESFldID(AA$2,"D"),"D",$AC$1)</f>
        <v/>
      </c>
      <c r="AB24" s="53" t="str">
        <f ca="1">_xll.ESHistD($Q24,_xll.ESFldID(AB$2,"D"),"D",$AC$1)</f>
        <v/>
      </c>
      <c r="AC24" s="53" t="str">
        <f ca="1">_xll.ESHistD($Q24,_xll.ESFldID(AC$2,"D"),"D",$AC$1)</f>
        <v/>
      </c>
      <c r="AD24" s="22" t="str">
        <f ca="1">_xll.ESHistD($Q24,_xll.ESFldID(AD$2,"D"),"D",$AC$1)</f>
        <v/>
      </c>
    </row>
    <row r="25" spans="1:30" x14ac:dyDescent="0.25">
      <c r="A25" s="52" t="str">
        <f>IF(OR(ISBLANK(B25), B25=""),"", MAX(A$2:A24)+1)</f>
        <v/>
      </c>
      <c r="B25" s="17" t="str">
        <f>IF(ISBLANK(Reporting!$B25), "", Reporting!$B25)</f>
        <v/>
      </c>
      <c r="C25" s="53" t="str">
        <f>_xll.ESQuote($B25,_xll.ESFldID(C$2))</f>
        <v/>
      </c>
      <c r="D25" s="17" t="str">
        <f>_xll.ESQuote($B25,_xll.ESFldID(D$2))</f>
        <v/>
      </c>
      <c r="E25" s="54" t="str">
        <f>_xll.ESQuote($B25,_xll.ESFldID(E$2))</f>
        <v/>
      </c>
      <c r="F25" s="52" t="str">
        <f>IF(OR(ISBLANK(G25), G25=""),"", MAX(F$2:F24)+1)</f>
        <v/>
      </c>
      <c r="G25" s="17" t="str">
        <f>IF(ISBLANK(Existing!$B25), "", Existing!$B25)</f>
        <v/>
      </c>
      <c r="H25" s="53" t="str">
        <f>_xll.ESQuote($G25,_xll.ESFldID(H$2))</f>
        <v/>
      </c>
      <c r="I25" s="17" t="str">
        <f>_xll.ESQuote($G25,_xll.ESFldID(I$2))</f>
        <v/>
      </c>
      <c r="J25" s="54" t="str">
        <f>_xll.ESQuote($G25,_xll.ESFldID(J$2))</f>
        <v/>
      </c>
      <c r="K25" s="52" t="str">
        <f>IF(OR(ISBLANK(L25), L25=""),"", MAX(K$2:K24)+1)</f>
        <v/>
      </c>
      <c r="L25" s="17" t="str">
        <f>IF(ISBLANK(Monitoring!$B25), "",Monitoring!$B25)</f>
        <v/>
      </c>
      <c r="M25" s="53" t="str">
        <f>_xll.ESQuote($L25,_xll.ESFldID(M$2))</f>
        <v/>
      </c>
      <c r="N25" s="17" t="str">
        <f>_xll.ESQuote($L25,_xll.ESFldID(N$2))</f>
        <v/>
      </c>
      <c r="O25" s="54" t="str">
        <f>_xll.ESQuote($L25,_xll.ESFldID(O$2))</f>
        <v/>
      </c>
      <c r="P25" s="52" t="str">
        <f>IF(OR(ISBLANK(Q25), Q25=""),"", MAX(P$2:P24)+1)</f>
        <v/>
      </c>
      <c r="S25" s="16"/>
      <c r="T25" s="53" t="str">
        <f>_xll.ESHistD($Q25,_xll.ESFldID(T$2,"D"),"D",$S25)</f>
        <v/>
      </c>
      <c r="U25" s="53" t="str">
        <f>_xll.ESHistD($Q25,_xll.ESFldID(U$2,"D"),"D",$S25)</f>
        <v/>
      </c>
      <c r="V25" s="53" t="str">
        <f>_xll.ESHistD($Q25,_xll.ESFldID(V$2,"D"),"D",$S25)</f>
        <v/>
      </c>
      <c r="W25" s="53" t="str">
        <f>_xll.ESHistD($Q25,_xll.ESFldID(W$2,"D"),"D",$S25)</f>
        <v/>
      </c>
      <c r="X25" s="22" t="str">
        <f>_xll.ESHistD($Q25,_xll.ESFldID(X$2,"D"),"D",$S25)</f>
        <v/>
      </c>
      <c r="Y25" s="55" t="str">
        <f t="shared" si="0"/>
        <v/>
      </c>
      <c r="Z25" s="53" t="str">
        <f ca="1">_xll.ESHistD($Q25,_xll.ESFldID(Z$2,"D"),"D",$AC$1)</f>
        <v/>
      </c>
      <c r="AA25" s="53" t="str">
        <f ca="1">_xll.ESHistD($Q25,_xll.ESFldID(AA$2,"D"),"D",$AC$1)</f>
        <v/>
      </c>
      <c r="AB25" s="53" t="str">
        <f ca="1">_xll.ESHistD($Q25,_xll.ESFldID(AB$2,"D"),"D",$AC$1)</f>
        <v/>
      </c>
      <c r="AC25" s="53" t="str">
        <f ca="1">_xll.ESHistD($Q25,_xll.ESFldID(AC$2,"D"),"D",$AC$1)</f>
        <v/>
      </c>
      <c r="AD25" s="22" t="str">
        <f ca="1">_xll.ESHistD($Q25,_xll.ESFldID(AD$2,"D"),"D",$AC$1)</f>
        <v/>
      </c>
    </row>
    <row r="26" spans="1:30" x14ac:dyDescent="0.25">
      <c r="A26" s="52" t="str">
        <f>IF(OR(ISBLANK(B26), B26=""),"", MAX(A$2:A25)+1)</f>
        <v/>
      </c>
      <c r="B26" s="17" t="str">
        <f>IF(ISBLANK(Reporting!$B26), "", Reporting!$B26)</f>
        <v/>
      </c>
      <c r="C26" s="53" t="str">
        <f>_xll.ESQuote($B26,_xll.ESFldID(C$2))</f>
        <v/>
      </c>
      <c r="D26" s="17" t="str">
        <f>_xll.ESQuote($B26,_xll.ESFldID(D$2))</f>
        <v/>
      </c>
      <c r="E26" s="54" t="str">
        <f>_xll.ESQuote($B26,_xll.ESFldID(E$2))</f>
        <v/>
      </c>
      <c r="F26" s="52" t="str">
        <f>IF(OR(ISBLANK(G26), G26=""),"", MAX(F$2:F25)+1)</f>
        <v/>
      </c>
      <c r="G26" s="17" t="str">
        <f>IF(ISBLANK(Existing!$B26), "", Existing!$B26)</f>
        <v/>
      </c>
      <c r="H26" s="53" t="str">
        <f>_xll.ESQuote($G26,_xll.ESFldID(H$2))</f>
        <v/>
      </c>
      <c r="I26" s="17" t="str">
        <f>_xll.ESQuote($G26,_xll.ESFldID(I$2))</f>
        <v/>
      </c>
      <c r="J26" s="54" t="str">
        <f>_xll.ESQuote($G26,_xll.ESFldID(J$2))</f>
        <v/>
      </c>
      <c r="K26" s="52" t="str">
        <f>IF(OR(ISBLANK(L26), L26=""),"", MAX(K$2:K25)+1)</f>
        <v/>
      </c>
      <c r="L26" s="17" t="str">
        <f>IF(ISBLANK(Monitoring!$B26), "",Monitoring!$B26)</f>
        <v/>
      </c>
      <c r="M26" s="53" t="str">
        <f>_xll.ESQuote($L26,_xll.ESFldID(M$2))</f>
        <v/>
      </c>
      <c r="N26" s="17" t="str">
        <f>_xll.ESQuote($L26,_xll.ESFldID(N$2))</f>
        <v/>
      </c>
      <c r="O26" s="54" t="str">
        <f>_xll.ESQuote($L26,_xll.ESFldID(O$2))</f>
        <v/>
      </c>
      <c r="P26" s="52" t="str">
        <f>IF(OR(ISBLANK(Q26), Q26=""),"", MAX(P$2:P25)+1)</f>
        <v/>
      </c>
      <c r="S26" s="16"/>
      <c r="T26" s="53" t="str">
        <f>_xll.ESHistD($Q26,_xll.ESFldID(T$2,"D"),"D",$S26)</f>
        <v/>
      </c>
      <c r="U26" s="53" t="str">
        <f>_xll.ESHistD($Q26,_xll.ESFldID(U$2,"D"),"D",$S26)</f>
        <v/>
      </c>
      <c r="V26" s="53" t="str">
        <f>_xll.ESHistD($Q26,_xll.ESFldID(V$2,"D"),"D",$S26)</f>
        <v/>
      </c>
      <c r="W26" s="53" t="str">
        <f>_xll.ESHistD($Q26,_xll.ESFldID(W$2,"D"),"D",$S26)</f>
        <v/>
      </c>
      <c r="X26" s="22" t="str">
        <f>_xll.ESHistD($Q26,_xll.ESFldID(X$2,"D"),"D",$S26)</f>
        <v/>
      </c>
      <c r="Y26" s="55" t="str">
        <f t="shared" si="0"/>
        <v/>
      </c>
      <c r="Z26" s="53" t="str">
        <f ca="1">_xll.ESHistD($Q26,_xll.ESFldID(Z$2,"D"),"D",$AC$1)</f>
        <v/>
      </c>
      <c r="AA26" s="53" t="str">
        <f ca="1">_xll.ESHistD($Q26,_xll.ESFldID(AA$2,"D"),"D",$AC$1)</f>
        <v/>
      </c>
      <c r="AB26" s="53" t="str">
        <f ca="1">_xll.ESHistD($Q26,_xll.ESFldID(AB$2,"D"),"D",$AC$1)</f>
        <v/>
      </c>
      <c r="AC26" s="53" t="str">
        <f ca="1">_xll.ESHistD($Q26,_xll.ESFldID(AC$2,"D"),"D",$AC$1)</f>
        <v/>
      </c>
      <c r="AD26" s="22" t="str">
        <f ca="1">_xll.ESHistD($Q26,_xll.ESFldID(AD$2,"D"),"D",$AC$1)</f>
        <v/>
      </c>
    </row>
    <row r="27" spans="1:30" x14ac:dyDescent="0.25">
      <c r="A27" s="52" t="str">
        <f>IF(OR(ISBLANK(B27), B27=""),"", MAX(A$2:A26)+1)</f>
        <v/>
      </c>
      <c r="B27" s="17" t="str">
        <f>IF(ISBLANK(Reporting!$B27), "", Reporting!$B27)</f>
        <v/>
      </c>
      <c r="C27" s="53" t="str">
        <f>_xll.ESQuote($B27,_xll.ESFldID(C$2))</f>
        <v/>
      </c>
      <c r="D27" s="17" t="str">
        <f>_xll.ESQuote($B27,_xll.ESFldID(D$2))</f>
        <v/>
      </c>
      <c r="E27" s="54" t="str">
        <f>_xll.ESQuote($B27,_xll.ESFldID(E$2))</f>
        <v/>
      </c>
      <c r="F27" s="52" t="str">
        <f>IF(OR(ISBLANK(G27), G27=""),"", MAX(F$2:F26)+1)</f>
        <v/>
      </c>
      <c r="G27" s="17" t="str">
        <f>IF(ISBLANK(Existing!$B27), "", Existing!$B27)</f>
        <v/>
      </c>
      <c r="H27" s="53" t="str">
        <f>_xll.ESQuote($G27,_xll.ESFldID(H$2))</f>
        <v/>
      </c>
      <c r="I27" s="17" t="str">
        <f>_xll.ESQuote($G27,_xll.ESFldID(I$2))</f>
        <v/>
      </c>
      <c r="J27" s="54" t="str">
        <f>_xll.ESQuote($G27,_xll.ESFldID(J$2))</f>
        <v/>
      </c>
      <c r="K27" s="52" t="str">
        <f>IF(OR(ISBLANK(L27), L27=""),"", MAX(K$2:K26)+1)</f>
        <v/>
      </c>
      <c r="L27" s="17" t="str">
        <f>IF(ISBLANK(Monitoring!$B27), "",Monitoring!$B27)</f>
        <v/>
      </c>
      <c r="M27" s="53" t="str">
        <f>_xll.ESQuote($L27,_xll.ESFldID(M$2))</f>
        <v/>
      </c>
      <c r="N27" s="17" t="str">
        <f>_xll.ESQuote($L27,_xll.ESFldID(N$2))</f>
        <v/>
      </c>
      <c r="O27" s="54" t="str">
        <f>_xll.ESQuote($L27,_xll.ESFldID(O$2))</f>
        <v/>
      </c>
      <c r="P27" s="52" t="str">
        <f>IF(OR(ISBLANK(Q27), Q27=""),"", MAX(P$2:P26)+1)</f>
        <v/>
      </c>
      <c r="S27" s="16"/>
      <c r="T27" s="53" t="str">
        <f>_xll.ESHistD($Q27,_xll.ESFldID(T$2,"D"),"D",$S27)</f>
        <v/>
      </c>
      <c r="U27" s="53" t="str">
        <f>_xll.ESHistD($Q27,_xll.ESFldID(U$2,"D"),"D",$S27)</f>
        <v/>
      </c>
      <c r="V27" s="53" t="str">
        <f>_xll.ESHistD($Q27,_xll.ESFldID(V$2,"D"),"D",$S27)</f>
        <v/>
      </c>
      <c r="W27" s="53" t="str">
        <f>_xll.ESHistD($Q27,_xll.ESFldID(W$2,"D"),"D",$S27)</f>
        <v/>
      </c>
      <c r="X27" s="22" t="str">
        <f>_xll.ESHistD($Q27,_xll.ESFldID(X$2,"D"),"D",$S27)</f>
        <v/>
      </c>
      <c r="Y27" s="55" t="str">
        <f t="shared" si="0"/>
        <v/>
      </c>
      <c r="Z27" s="53" t="str">
        <f ca="1">_xll.ESHistD($Q27,_xll.ESFldID(Z$2,"D"),"D",$AC$1)</f>
        <v/>
      </c>
      <c r="AA27" s="53" t="str">
        <f ca="1">_xll.ESHistD($Q27,_xll.ESFldID(AA$2,"D"),"D",$AC$1)</f>
        <v/>
      </c>
      <c r="AB27" s="53" t="str">
        <f ca="1">_xll.ESHistD($Q27,_xll.ESFldID(AB$2,"D"),"D",$AC$1)</f>
        <v/>
      </c>
      <c r="AC27" s="53" t="str">
        <f ca="1">_xll.ESHistD($Q27,_xll.ESFldID(AC$2,"D"),"D",$AC$1)</f>
        <v/>
      </c>
      <c r="AD27" s="22" t="str">
        <f ca="1">_xll.ESHistD($Q27,_xll.ESFldID(AD$2,"D"),"D",$AC$1)</f>
        <v/>
      </c>
    </row>
    <row r="28" spans="1:30" x14ac:dyDescent="0.25">
      <c r="A28" s="52" t="str">
        <f>IF(OR(ISBLANK(B28), B28=""),"", MAX(A$2:A27)+1)</f>
        <v/>
      </c>
      <c r="B28" s="17" t="str">
        <f>IF(ISBLANK(Reporting!$B28), "", Reporting!$B28)</f>
        <v/>
      </c>
      <c r="C28" s="53" t="str">
        <f>_xll.ESQuote($B28,_xll.ESFldID(C$2))</f>
        <v/>
      </c>
      <c r="D28" s="17" t="str">
        <f>_xll.ESQuote($B28,_xll.ESFldID(D$2))</f>
        <v/>
      </c>
      <c r="E28" s="54" t="str">
        <f>_xll.ESQuote($B28,_xll.ESFldID(E$2))</f>
        <v/>
      </c>
      <c r="F28" s="52" t="str">
        <f>IF(OR(ISBLANK(G28), G28=""),"", MAX(F$2:F27)+1)</f>
        <v/>
      </c>
      <c r="G28" s="17" t="str">
        <f>IF(ISBLANK(Existing!$B28), "", Existing!$B28)</f>
        <v/>
      </c>
      <c r="H28" s="53" t="str">
        <f>_xll.ESQuote($G28,_xll.ESFldID(H$2))</f>
        <v/>
      </c>
      <c r="I28" s="17" t="str">
        <f>_xll.ESQuote($G28,_xll.ESFldID(I$2))</f>
        <v/>
      </c>
      <c r="J28" s="54" t="str">
        <f>_xll.ESQuote($G28,_xll.ESFldID(J$2))</f>
        <v/>
      </c>
      <c r="K28" s="52" t="str">
        <f>IF(OR(ISBLANK(L28), L28=""),"", MAX(K$2:K27)+1)</f>
        <v/>
      </c>
      <c r="L28" s="17" t="str">
        <f>IF(ISBLANK(Monitoring!$B28), "",Monitoring!$B28)</f>
        <v/>
      </c>
      <c r="M28" s="53" t="str">
        <f>_xll.ESQuote($L28,_xll.ESFldID(M$2))</f>
        <v/>
      </c>
      <c r="N28" s="17" t="str">
        <f>_xll.ESQuote($L28,_xll.ESFldID(N$2))</f>
        <v/>
      </c>
      <c r="O28" s="54" t="str">
        <f>_xll.ESQuote($L28,_xll.ESFldID(O$2))</f>
        <v/>
      </c>
      <c r="P28" s="52" t="str">
        <f>IF(OR(ISBLANK(Q28), Q28=""),"", MAX(P$2:P27)+1)</f>
        <v/>
      </c>
      <c r="S28" s="16"/>
      <c r="T28" s="53" t="str">
        <f>_xll.ESHistD($Q28,_xll.ESFldID(T$2,"D"),"D",$S28)</f>
        <v/>
      </c>
      <c r="U28" s="53" t="str">
        <f>_xll.ESHistD($Q28,_xll.ESFldID(U$2,"D"),"D",$S28)</f>
        <v/>
      </c>
      <c r="V28" s="53" t="str">
        <f>_xll.ESHistD($Q28,_xll.ESFldID(V$2,"D"),"D",$S28)</f>
        <v/>
      </c>
      <c r="W28" s="53" t="str">
        <f>_xll.ESHistD($Q28,_xll.ESFldID(W$2,"D"),"D",$S28)</f>
        <v/>
      </c>
      <c r="X28" s="22" t="str">
        <f>_xll.ESHistD($Q28,_xll.ESFldID(X$2,"D"),"D",$S28)</f>
        <v/>
      </c>
      <c r="Y28" s="55" t="str">
        <f t="shared" si="0"/>
        <v/>
      </c>
      <c r="Z28" s="53" t="str">
        <f ca="1">_xll.ESHistD($Q28,_xll.ESFldID(Z$2,"D"),"D",$AC$1)</f>
        <v/>
      </c>
      <c r="AA28" s="53" t="str">
        <f ca="1">_xll.ESHistD($Q28,_xll.ESFldID(AA$2,"D"),"D",$AC$1)</f>
        <v/>
      </c>
      <c r="AB28" s="53" t="str">
        <f ca="1">_xll.ESHistD($Q28,_xll.ESFldID(AB$2,"D"),"D",$AC$1)</f>
        <v/>
      </c>
      <c r="AC28" s="53" t="str">
        <f ca="1">_xll.ESHistD($Q28,_xll.ESFldID(AC$2,"D"),"D",$AC$1)</f>
        <v/>
      </c>
      <c r="AD28" s="22" t="str">
        <f ca="1">_xll.ESHistD($Q28,_xll.ESFldID(AD$2,"D"),"D",$AC$1)</f>
        <v/>
      </c>
    </row>
    <row r="29" spans="1:30" x14ac:dyDescent="0.25">
      <c r="A29" s="52" t="str">
        <f>IF(OR(ISBLANK(B29), B29=""),"", MAX(A$2:A28)+1)</f>
        <v/>
      </c>
      <c r="B29" s="17" t="str">
        <f>IF(ISBLANK(Reporting!$B29), "", Reporting!$B29)</f>
        <v/>
      </c>
      <c r="C29" s="53" t="str">
        <f>_xll.ESQuote($B29,_xll.ESFldID(C$2))</f>
        <v/>
      </c>
      <c r="D29" s="17" t="str">
        <f>_xll.ESQuote($B29,_xll.ESFldID(D$2))</f>
        <v/>
      </c>
      <c r="E29" s="54" t="str">
        <f>_xll.ESQuote($B29,_xll.ESFldID(E$2))</f>
        <v/>
      </c>
      <c r="F29" s="52" t="str">
        <f>IF(OR(ISBLANK(G29), G29=""),"", MAX(F$2:F28)+1)</f>
        <v/>
      </c>
      <c r="G29" s="17" t="str">
        <f>IF(ISBLANK(Existing!$B29), "", Existing!$B29)</f>
        <v/>
      </c>
      <c r="H29" s="53" t="str">
        <f>_xll.ESQuote($G29,_xll.ESFldID(H$2))</f>
        <v/>
      </c>
      <c r="I29" s="17" t="str">
        <f>_xll.ESQuote($G29,_xll.ESFldID(I$2))</f>
        <v/>
      </c>
      <c r="J29" s="54" t="str">
        <f>_xll.ESQuote($G29,_xll.ESFldID(J$2))</f>
        <v/>
      </c>
      <c r="K29" s="52" t="str">
        <f>IF(OR(ISBLANK(L29), L29=""),"", MAX(K$2:K28)+1)</f>
        <v/>
      </c>
      <c r="L29" s="17" t="str">
        <f>IF(ISBLANK(Monitoring!$B29), "",Monitoring!$B29)</f>
        <v/>
      </c>
      <c r="M29" s="53" t="str">
        <f>_xll.ESQuote($L29,_xll.ESFldID(M$2))</f>
        <v/>
      </c>
      <c r="N29" s="17" t="str">
        <f>_xll.ESQuote($L29,_xll.ESFldID(N$2))</f>
        <v/>
      </c>
      <c r="O29" s="54" t="str">
        <f>_xll.ESQuote($L29,_xll.ESFldID(O$2))</f>
        <v/>
      </c>
      <c r="P29" s="52" t="str">
        <f>IF(OR(ISBLANK(Q29), Q29=""),"", MAX(P$2:P28)+1)</f>
        <v/>
      </c>
      <c r="S29" s="16"/>
      <c r="T29" s="53" t="str">
        <f>_xll.ESHistD($Q29,_xll.ESFldID(T$2,"D"),"D",$S29)</f>
        <v/>
      </c>
      <c r="U29" s="53" t="str">
        <f>_xll.ESHistD($Q29,_xll.ESFldID(U$2,"D"),"D",$S29)</f>
        <v/>
      </c>
      <c r="V29" s="53" t="str">
        <f>_xll.ESHistD($Q29,_xll.ESFldID(V$2,"D"),"D",$S29)</f>
        <v/>
      </c>
      <c r="W29" s="53" t="str">
        <f>_xll.ESHistD($Q29,_xll.ESFldID(W$2,"D"),"D",$S29)</f>
        <v/>
      </c>
      <c r="X29" s="22" t="str">
        <f>_xll.ESHistD($Q29,_xll.ESFldID(X$2,"D"),"D",$S29)</f>
        <v/>
      </c>
      <c r="Y29" s="55" t="str">
        <f t="shared" si="0"/>
        <v/>
      </c>
      <c r="Z29" s="53" t="str">
        <f ca="1">_xll.ESHistD($Q29,_xll.ESFldID(Z$2,"D"),"D",$AC$1)</f>
        <v/>
      </c>
      <c r="AA29" s="53" t="str">
        <f ca="1">_xll.ESHistD($Q29,_xll.ESFldID(AA$2,"D"),"D",$AC$1)</f>
        <v/>
      </c>
      <c r="AB29" s="53" t="str">
        <f ca="1">_xll.ESHistD($Q29,_xll.ESFldID(AB$2,"D"),"D",$AC$1)</f>
        <v/>
      </c>
      <c r="AC29" s="53" t="str">
        <f ca="1">_xll.ESHistD($Q29,_xll.ESFldID(AC$2,"D"),"D",$AC$1)</f>
        <v/>
      </c>
      <c r="AD29" s="22" t="str">
        <f ca="1">_xll.ESHistD($Q29,_xll.ESFldID(AD$2,"D"),"D",$AC$1)</f>
        <v/>
      </c>
    </row>
    <row r="30" spans="1:30" x14ac:dyDescent="0.25">
      <c r="A30" s="52" t="str">
        <f>IF(OR(ISBLANK(B30), B30=""),"", MAX(A$2:A29)+1)</f>
        <v/>
      </c>
      <c r="B30" s="17" t="str">
        <f>IF(ISBLANK(Reporting!$B30), "", Reporting!$B30)</f>
        <v/>
      </c>
      <c r="C30" s="53" t="str">
        <f>_xll.ESQuote($B30,_xll.ESFldID(C$2))</f>
        <v/>
      </c>
      <c r="D30" s="17" t="str">
        <f>_xll.ESQuote($B30,_xll.ESFldID(D$2))</f>
        <v/>
      </c>
      <c r="E30" s="54" t="str">
        <f>_xll.ESQuote($B30,_xll.ESFldID(E$2))</f>
        <v/>
      </c>
      <c r="F30" s="52" t="str">
        <f>IF(OR(ISBLANK(G30), G30=""),"", MAX(F$2:F29)+1)</f>
        <v/>
      </c>
      <c r="G30" s="17" t="str">
        <f>IF(ISBLANK(Existing!$B30), "", Existing!$B30)</f>
        <v/>
      </c>
      <c r="H30" s="53" t="str">
        <f>_xll.ESQuote($G30,_xll.ESFldID(H$2))</f>
        <v/>
      </c>
      <c r="I30" s="17" t="str">
        <f>_xll.ESQuote($G30,_xll.ESFldID(I$2))</f>
        <v/>
      </c>
      <c r="J30" s="54" t="str">
        <f>_xll.ESQuote($G30,_xll.ESFldID(J$2))</f>
        <v/>
      </c>
      <c r="K30" s="52" t="str">
        <f>IF(OR(ISBLANK(L30), L30=""),"", MAX(K$2:K29)+1)</f>
        <v/>
      </c>
      <c r="L30" s="17" t="str">
        <f>IF(ISBLANK(Monitoring!$B30), "",Monitoring!$B30)</f>
        <v/>
      </c>
      <c r="M30" s="53" t="str">
        <f>_xll.ESQuote($L30,_xll.ESFldID(M$2))</f>
        <v/>
      </c>
      <c r="N30" s="17" t="str">
        <f>_xll.ESQuote($L30,_xll.ESFldID(N$2))</f>
        <v/>
      </c>
      <c r="O30" s="54" t="str">
        <f>_xll.ESQuote($L30,_xll.ESFldID(O$2))</f>
        <v/>
      </c>
      <c r="P30" s="52" t="str">
        <f>IF(OR(ISBLANK(Q30), Q30=""),"", MAX(P$2:P29)+1)</f>
        <v/>
      </c>
      <c r="S30" s="16"/>
      <c r="T30" s="53" t="str">
        <f>_xll.ESHistD($Q30,_xll.ESFldID(T$2,"D"),"D",$S30)</f>
        <v/>
      </c>
      <c r="U30" s="53" t="str">
        <f>_xll.ESHistD($Q30,_xll.ESFldID(U$2,"D"),"D",$S30)</f>
        <v/>
      </c>
      <c r="V30" s="53" t="str">
        <f>_xll.ESHistD($Q30,_xll.ESFldID(V$2,"D"),"D",$S30)</f>
        <v/>
      </c>
      <c r="W30" s="53" t="str">
        <f>_xll.ESHistD($Q30,_xll.ESFldID(W$2,"D"),"D",$S30)</f>
        <v/>
      </c>
      <c r="X30" s="22" t="str">
        <f>_xll.ESHistD($Q30,_xll.ESFldID(X$2,"D"),"D",$S30)</f>
        <v/>
      </c>
      <c r="Y30" s="55" t="str">
        <f t="shared" si="0"/>
        <v/>
      </c>
      <c r="Z30" s="53" t="str">
        <f ca="1">_xll.ESHistD($Q30,_xll.ESFldID(Z$2,"D"),"D",$AC$1)</f>
        <v/>
      </c>
      <c r="AA30" s="53" t="str">
        <f ca="1">_xll.ESHistD($Q30,_xll.ESFldID(AA$2,"D"),"D",$AC$1)</f>
        <v/>
      </c>
      <c r="AB30" s="53" t="str">
        <f ca="1">_xll.ESHistD($Q30,_xll.ESFldID(AB$2,"D"),"D",$AC$1)</f>
        <v/>
      </c>
      <c r="AC30" s="53" t="str">
        <f ca="1">_xll.ESHistD($Q30,_xll.ESFldID(AC$2,"D"),"D",$AC$1)</f>
        <v/>
      </c>
      <c r="AD30" s="22" t="str">
        <f ca="1">_xll.ESHistD($Q30,_xll.ESFldID(AD$2,"D"),"D",$AC$1)</f>
        <v/>
      </c>
    </row>
    <row r="31" spans="1:30" x14ac:dyDescent="0.25">
      <c r="A31" s="52" t="str">
        <f>IF(OR(ISBLANK(B31), B31=""),"", MAX(A$2:A30)+1)</f>
        <v/>
      </c>
      <c r="B31" s="17" t="str">
        <f>IF(ISBLANK(Reporting!$B31), "", Reporting!$B31)</f>
        <v/>
      </c>
      <c r="C31" s="53" t="str">
        <f>_xll.ESQuote($B31,_xll.ESFldID(C$2))</f>
        <v/>
      </c>
      <c r="D31" s="17" t="str">
        <f>_xll.ESQuote($B31,_xll.ESFldID(D$2))</f>
        <v/>
      </c>
      <c r="E31" s="54" t="str">
        <f>_xll.ESQuote($B31,_xll.ESFldID(E$2))</f>
        <v/>
      </c>
      <c r="F31" s="52" t="str">
        <f>IF(OR(ISBLANK(G31), G31=""),"", MAX(F$2:F30)+1)</f>
        <v/>
      </c>
      <c r="G31" s="17" t="str">
        <f>IF(ISBLANK(Existing!$B31), "", Existing!$B31)</f>
        <v/>
      </c>
      <c r="H31" s="53" t="str">
        <f>_xll.ESQuote($G31,_xll.ESFldID(H$2))</f>
        <v/>
      </c>
      <c r="I31" s="17" t="str">
        <f>_xll.ESQuote($G31,_xll.ESFldID(I$2))</f>
        <v/>
      </c>
      <c r="J31" s="54" t="str">
        <f>_xll.ESQuote($G31,_xll.ESFldID(J$2))</f>
        <v/>
      </c>
      <c r="K31" s="52" t="str">
        <f>IF(OR(ISBLANK(L31), L31=""),"", MAX(K$2:K30)+1)</f>
        <v/>
      </c>
      <c r="L31" s="17" t="str">
        <f>IF(ISBLANK(Monitoring!$B31), "",Monitoring!$B31)</f>
        <v/>
      </c>
      <c r="M31" s="53" t="str">
        <f>_xll.ESQuote($L31,_xll.ESFldID(M$2))</f>
        <v/>
      </c>
      <c r="N31" s="17" t="str">
        <f>_xll.ESQuote($L31,_xll.ESFldID(N$2))</f>
        <v/>
      </c>
      <c r="O31" s="54" t="str">
        <f>_xll.ESQuote($L31,_xll.ESFldID(O$2))</f>
        <v/>
      </c>
      <c r="P31" s="52" t="str">
        <f>IF(OR(ISBLANK(Q31), Q31=""),"", MAX(P$2:P30)+1)</f>
        <v/>
      </c>
      <c r="S31" s="16"/>
      <c r="T31" s="53" t="str">
        <f>_xll.ESHistD($Q31,_xll.ESFldID(T$2,"D"),"D",$S31)</f>
        <v/>
      </c>
      <c r="U31" s="53" t="str">
        <f>_xll.ESHistD($Q31,_xll.ESFldID(U$2,"D"),"D",$S31)</f>
        <v/>
      </c>
      <c r="V31" s="53" t="str">
        <f>_xll.ESHistD($Q31,_xll.ESFldID(V$2,"D"),"D",$S31)</f>
        <v/>
      </c>
      <c r="W31" s="53" t="str">
        <f>_xll.ESHistD($Q31,_xll.ESFldID(W$2,"D"),"D",$S31)</f>
        <v/>
      </c>
      <c r="X31" s="22" t="str">
        <f>_xll.ESHistD($Q31,_xll.ESFldID(X$2,"D"),"D",$S31)</f>
        <v/>
      </c>
      <c r="Y31" s="55" t="str">
        <f t="shared" si="0"/>
        <v/>
      </c>
      <c r="Z31" s="53" t="str">
        <f ca="1">_xll.ESHistD($Q31,_xll.ESFldID(Z$2,"D"),"D",$AC$1)</f>
        <v/>
      </c>
      <c r="AA31" s="53" t="str">
        <f ca="1">_xll.ESHistD($Q31,_xll.ESFldID(AA$2,"D"),"D",$AC$1)</f>
        <v/>
      </c>
      <c r="AB31" s="53" t="str">
        <f ca="1">_xll.ESHistD($Q31,_xll.ESFldID(AB$2,"D"),"D",$AC$1)</f>
        <v/>
      </c>
      <c r="AC31" s="53" t="str">
        <f ca="1">_xll.ESHistD($Q31,_xll.ESFldID(AC$2,"D"),"D",$AC$1)</f>
        <v/>
      </c>
      <c r="AD31" s="22" t="str">
        <f ca="1">_xll.ESHistD($Q31,_xll.ESFldID(AD$2,"D"),"D",$AC$1)</f>
        <v/>
      </c>
    </row>
    <row r="32" spans="1:30" x14ac:dyDescent="0.25">
      <c r="A32" s="52" t="str">
        <f>IF(OR(ISBLANK(B32), B32=""),"", MAX(A$2:A31)+1)</f>
        <v/>
      </c>
      <c r="B32" s="17" t="str">
        <f>IF(ISBLANK(Reporting!$B32), "", Reporting!$B32)</f>
        <v/>
      </c>
      <c r="C32" s="53" t="str">
        <f>_xll.ESQuote($B32,_xll.ESFldID(C$2))</f>
        <v/>
      </c>
      <c r="D32" s="17" t="str">
        <f>_xll.ESQuote($B32,_xll.ESFldID(D$2))</f>
        <v/>
      </c>
      <c r="E32" s="54" t="str">
        <f>_xll.ESQuote($B32,_xll.ESFldID(E$2))</f>
        <v/>
      </c>
      <c r="F32" s="52" t="str">
        <f>IF(OR(ISBLANK(G32), G32=""),"", MAX(F$2:F31)+1)</f>
        <v/>
      </c>
      <c r="G32" s="17" t="str">
        <f>IF(ISBLANK(Existing!$B32), "", Existing!$B32)</f>
        <v/>
      </c>
      <c r="H32" s="53" t="str">
        <f>_xll.ESQuote($G32,_xll.ESFldID(H$2))</f>
        <v/>
      </c>
      <c r="I32" s="17" t="str">
        <f>_xll.ESQuote($G32,_xll.ESFldID(I$2))</f>
        <v/>
      </c>
      <c r="J32" s="54" t="str">
        <f>_xll.ESQuote($G32,_xll.ESFldID(J$2))</f>
        <v/>
      </c>
      <c r="K32" s="52" t="str">
        <f>IF(OR(ISBLANK(L32), L32=""),"", MAX(K$2:K31)+1)</f>
        <v/>
      </c>
      <c r="L32" s="17" t="str">
        <f>IF(ISBLANK(Monitoring!$B32), "",Monitoring!$B32)</f>
        <v/>
      </c>
      <c r="M32" s="53" t="str">
        <f>_xll.ESQuote($L32,_xll.ESFldID(M$2))</f>
        <v/>
      </c>
      <c r="N32" s="17" t="str">
        <f>_xll.ESQuote($L32,_xll.ESFldID(N$2))</f>
        <v/>
      </c>
      <c r="O32" s="54" t="str">
        <f>_xll.ESQuote($L32,_xll.ESFldID(O$2))</f>
        <v/>
      </c>
      <c r="P32" s="52" t="str">
        <f>IF(OR(ISBLANK(Q32), Q32=""),"", MAX(P$2:P31)+1)</f>
        <v/>
      </c>
      <c r="S32" s="16"/>
      <c r="T32" s="53" t="str">
        <f>_xll.ESHistD($Q32,_xll.ESFldID(T$2,"D"),"D",$S32)</f>
        <v/>
      </c>
      <c r="U32" s="53" t="str">
        <f>_xll.ESHistD($Q32,_xll.ESFldID(U$2,"D"),"D",$S32)</f>
        <v/>
      </c>
      <c r="V32" s="53" t="str">
        <f>_xll.ESHistD($Q32,_xll.ESFldID(V$2,"D"),"D",$S32)</f>
        <v/>
      </c>
      <c r="W32" s="53" t="str">
        <f>_xll.ESHistD($Q32,_xll.ESFldID(W$2,"D"),"D",$S32)</f>
        <v/>
      </c>
      <c r="X32" s="22" t="str">
        <f>_xll.ESHistD($Q32,_xll.ESFldID(X$2,"D"),"D",$S32)</f>
        <v/>
      </c>
      <c r="Y32" s="55" t="str">
        <f t="shared" si="0"/>
        <v/>
      </c>
      <c r="Z32" s="53" t="str">
        <f ca="1">_xll.ESHistD($Q32,_xll.ESFldID(Z$2,"D"),"D",$AC$1)</f>
        <v/>
      </c>
      <c r="AA32" s="53" t="str">
        <f ca="1">_xll.ESHistD($Q32,_xll.ESFldID(AA$2,"D"),"D",$AC$1)</f>
        <v/>
      </c>
      <c r="AB32" s="53" t="str">
        <f ca="1">_xll.ESHistD($Q32,_xll.ESFldID(AB$2,"D"),"D",$AC$1)</f>
        <v/>
      </c>
      <c r="AC32" s="53" t="str">
        <f ca="1">_xll.ESHistD($Q32,_xll.ESFldID(AC$2,"D"),"D",$AC$1)</f>
        <v/>
      </c>
      <c r="AD32" s="22" t="str">
        <f ca="1">_xll.ESHistD($Q32,_xll.ESFldID(AD$2,"D"),"D",$AC$1)</f>
        <v/>
      </c>
    </row>
    <row r="33" spans="1:30" x14ac:dyDescent="0.25">
      <c r="A33" s="52" t="str">
        <f>IF(OR(ISBLANK(B33), B33=""),"", MAX(A$2:A32)+1)</f>
        <v/>
      </c>
      <c r="B33" s="17" t="str">
        <f>IF(ISBLANK(Reporting!$B33), "", Reporting!$B33)</f>
        <v/>
      </c>
      <c r="C33" s="53" t="str">
        <f>_xll.ESQuote($B33,_xll.ESFldID(C$2))</f>
        <v/>
      </c>
      <c r="D33" s="17" t="str">
        <f>_xll.ESQuote($B33,_xll.ESFldID(D$2))</f>
        <v/>
      </c>
      <c r="E33" s="54" t="str">
        <f>_xll.ESQuote($B33,_xll.ESFldID(E$2))</f>
        <v/>
      </c>
      <c r="F33" s="52" t="str">
        <f>IF(OR(ISBLANK(G33), G33=""),"", MAX(F$2:F32)+1)</f>
        <v/>
      </c>
      <c r="G33" s="17" t="str">
        <f>IF(ISBLANK(Existing!$B33), "", Existing!$B33)</f>
        <v/>
      </c>
      <c r="H33" s="53" t="str">
        <f>_xll.ESQuote($G33,_xll.ESFldID(H$2))</f>
        <v/>
      </c>
      <c r="I33" s="17" t="str">
        <f>_xll.ESQuote($G33,_xll.ESFldID(I$2))</f>
        <v/>
      </c>
      <c r="J33" s="54" t="str">
        <f>_xll.ESQuote($G33,_xll.ESFldID(J$2))</f>
        <v/>
      </c>
      <c r="K33" s="52" t="str">
        <f>IF(OR(ISBLANK(L33), L33=""),"", MAX(K$2:K32)+1)</f>
        <v/>
      </c>
      <c r="L33" s="17" t="str">
        <f>IF(ISBLANK(Monitoring!$B33), "",Monitoring!$B33)</f>
        <v/>
      </c>
      <c r="M33" s="53" t="str">
        <f>_xll.ESQuote($L33,_xll.ESFldID(M$2))</f>
        <v/>
      </c>
      <c r="N33" s="17" t="str">
        <f>_xll.ESQuote($L33,_xll.ESFldID(N$2))</f>
        <v/>
      </c>
      <c r="O33" s="54" t="str">
        <f>_xll.ESQuote($L33,_xll.ESFldID(O$2))</f>
        <v/>
      </c>
      <c r="P33" s="52" t="str">
        <f>IF(OR(ISBLANK(Q33), Q33=""),"", MAX(P$2:P32)+1)</f>
        <v/>
      </c>
      <c r="S33" s="16"/>
      <c r="T33" s="53" t="str">
        <f>_xll.ESHistD($Q33,_xll.ESFldID(T$2,"D"),"D",$S33)</f>
        <v/>
      </c>
      <c r="U33" s="53" t="str">
        <f>_xll.ESHistD($Q33,_xll.ESFldID(U$2,"D"),"D",$S33)</f>
        <v/>
      </c>
      <c r="V33" s="53" t="str">
        <f>_xll.ESHistD($Q33,_xll.ESFldID(V$2,"D"),"D",$S33)</f>
        <v/>
      </c>
      <c r="W33" s="53" t="str">
        <f>_xll.ESHistD($Q33,_xll.ESFldID(W$2,"D"),"D",$S33)</f>
        <v/>
      </c>
      <c r="X33" s="22" t="str">
        <f>_xll.ESHistD($Q33,_xll.ESFldID(X$2,"D"),"D",$S33)</f>
        <v/>
      </c>
      <c r="Y33" s="55" t="str">
        <f t="shared" si="0"/>
        <v/>
      </c>
      <c r="Z33" s="53" t="str">
        <f ca="1">_xll.ESHistD($Q33,_xll.ESFldID(Z$2,"D"),"D",$AC$1)</f>
        <v/>
      </c>
      <c r="AA33" s="53" t="str">
        <f ca="1">_xll.ESHistD($Q33,_xll.ESFldID(AA$2,"D"),"D",$AC$1)</f>
        <v/>
      </c>
      <c r="AB33" s="53" t="str">
        <f ca="1">_xll.ESHistD($Q33,_xll.ESFldID(AB$2,"D"),"D",$AC$1)</f>
        <v/>
      </c>
      <c r="AC33" s="53" t="str">
        <f ca="1">_xll.ESHistD($Q33,_xll.ESFldID(AC$2,"D"),"D",$AC$1)</f>
        <v/>
      </c>
      <c r="AD33" s="22" t="str">
        <f ca="1">_xll.ESHistD($Q33,_xll.ESFldID(AD$2,"D"),"D",$AC$1)</f>
        <v/>
      </c>
    </row>
    <row r="34" spans="1:30" x14ac:dyDescent="0.25">
      <c r="A34" s="52" t="str">
        <f>IF(OR(ISBLANK(B34), B34=""),"", MAX(A$2:A33)+1)</f>
        <v/>
      </c>
      <c r="B34" s="17" t="str">
        <f>IF(ISBLANK(Reporting!$B34), "", Reporting!$B34)</f>
        <v/>
      </c>
      <c r="C34" s="53" t="str">
        <f>_xll.ESQuote($B34,_xll.ESFldID(C$2))</f>
        <v/>
      </c>
      <c r="D34" s="17" t="str">
        <f>_xll.ESQuote($B34,_xll.ESFldID(D$2))</f>
        <v/>
      </c>
      <c r="E34" s="54" t="str">
        <f>_xll.ESQuote($B34,_xll.ESFldID(E$2))</f>
        <v/>
      </c>
      <c r="F34" s="52" t="str">
        <f>IF(OR(ISBLANK(G34), G34=""),"", MAX(F$2:F33)+1)</f>
        <v/>
      </c>
      <c r="G34" s="17" t="str">
        <f>IF(ISBLANK(Existing!$B34), "", Existing!$B34)</f>
        <v/>
      </c>
      <c r="H34" s="53" t="str">
        <f>_xll.ESQuote($G34,_xll.ESFldID(H$2))</f>
        <v/>
      </c>
      <c r="I34" s="17" t="str">
        <f>_xll.ESQuote($G34,_xll.ESFldID(I$2))</f>
        <v/>
      </c>
      <c r="J34" s="54" t="str">
        <f>_xll.ESQuote($G34,_xll.ESFldID(J$2))</f>
        <v/>
      </c>
      <c r="K34" s="52" t="str">
        <f>IF(OR(ISBLANK(L34), L34=""),"", MAX(K$2:K33)+1)</f>
        <v/>
      </c>
      <c r="L34" s="17" t="str">
        <f>IF(ISBLANK(Monitoring!$B34), "",Monitoring!$B34)</f>
        <v/>
      </c>
      <c r="M34" s="53" t="str">
        <f>_xll.ESQuote($L34,_xll.ESFldID(M$2))</f>
        <v/>
      </c>
      <c r="N34" s="17" t="str">
        <f>_xll.ESQuote($L34,_xll.ESFldID(N$2))</f>
        <v/>
      </c>
      <c r="O34" s="54" t="str">
        <f>_xll.ESQuote($L34,_xll.ESFldID(O$2))</f>
        <v/>
      </c>
      <c r="P34" s="52" t="str">
        <f>IF(OR(ISBLANK(Q34), Q34=""),"", MAX(P$2:P33)+1)</f>
        <v/>
      </c>
      <c r="S34" s="16"/>
      <c r="T34" s="53" t="str">
        <f>_xll.ESHistD($Q34,_xll.ESFldID(T$2,"D"),"D",$S34)</f>
        <v/>
      </c>
      <c r="U34" s="53" t="str">
        <f>_xll.ESHistD($Q34,_xll.ESFldID(U$2,"D"),"D",$S34)</f>
        <v/>
      </c>
      <c r="V34" s="53" t="str">
        <f>_xll.ESHistD($Q34,_xll.ESFldID(V$2,"D"),"D",$S34)</f>
        <v/>
      </c>
      <c r="W34" s="53" t="str">
        <f>_xll.ESHistD($Q34,_xll.ESFldID(W$2,"D"),"D",$S34)</f>
        <v/>
      </c>
      <c r="X34" s="22" t="str">
        <f>_xll.ESHistD($Q34,_xll.ESFldID(X$2,"D"),"D",$S34)</f>
        <v/>
      </c>
      <c r="Y34" s="55" t="str">
        <f t="shared" si="0"/>
        <v/>
      </c>
      <c r="Z34" s="53" t="str">
        <f ca="1">_xll.ESHistD($Q34,_xll.ESFldID(Z$2,"D"),"D",$AC$1)</f>
        <v/>
      </c>
      <c r="AA34" s="53" t="str">
        <f ca="1">_xll.ESHistD($Q34,_xll.ESFldID(AA$2,"D"),"D",$AC$1)</f>
        <v/>
      </c>
      <c r="AB34" s="53" t="str">
        <f ca="1">_xll.ESHistD($Q34,_xll.ESFldID(AB$2,"D"),"D",$AC$1)</f>
        <v/>
      </c>
      <c r="AC34" s="53" t="str">
        <f ca="1">_xll.ESHistD($Q34,_xll.ESFldID(AC$2,"D"),"D",$AC$1)</f>
        <v/>
      </c>
      <c r="AD34" s="22" t="str">
        <f ca="1">_xll.ESHistD($Q34,_xll.ESFldID(AD$2,"D"),"D",$AC$1)</f>
        <v/>
      </c>
    </row>
    <row r="35" spans="1:30" x14ac:dyDescent="0.25">
      <c r="A35" s="52" t="str">
        <f>IF(OR(ISBLANK(B35), B35=""),"", MAX(A$2:A34)+1)</f>
        <v/>
      </c>
      <c r="B35" s="17" t="str">
        <f>IF(ISBLANK(Reporting!$B35), "", Reporting!$B35)</f>
        <v/>
      </c>
      <c r="C35" s="53" t="str">
        <f>_xll.ESQuote($B35,_xll.ESFldID(C$2))</f>
        <v/>
      </c>
      <c r="D35" s="17" t="str">
        <f>_xll.ESQuote($B35,_xll.ESFldID(D$2))</f>
        <v/>
      </c>
      <c r="E35" s="54" t="str">
        <f>_xll.ESQuote($B35,_xll.ESFldID(E$2))</f>
        <v/>
      </c>
      <c r="F35" s="52" t="str">
        <f>IF(OR(ISBLANK(G35), G35=""),"", MAX(F$2:F34)+1)</f>
        <v/>
      </c>
      <c r="G35" s="17" t="str">
        <f>IF(ISBLANK(Existing!$B35), "", Existing!$B35)</f>
        <v/>
      </c>
      <c r="H35" s="53" t="str">
        <f>_xll.ESQuote($G35,_xll.ESFldID(H$2))</f>
        <v/>
      </c>
      <c r="I35" s="17" t="str">
        <f>_xll.ESQuote($G35,_xll.ESFldID(I$2))</f>
        <v/>
      </c>
      <c r="J35" s="54" t="str">
        <f>_xll.ESQuote($G35,_xll.ESFldID(J$2))</f>
        <v/>
      </c>
      <c r="K35" s="52" t="str">
        <f>IF(OR(ISBLANK(L35), L35=""),"", MAX(K$2:K34)+1)</f>
        <v/>
      </c>
      <c r="L35" s="17" t="str">
        <f>IF(ISBLANK(Monitoring!$B35), "",Monitoring!$B35)</f>
        <v/>
      </c>
      <c r="M35" s="53" t="str">
        <f>_xll.ESQuote($L35,_xll.ESFldID(M$2))</f>
        <v/>
      </c>
      <c r="N35" s="17" t="str">
        <f>_xll.ESQuote($L35,_xll.ESFldID(N$2))</f>
        <v/>
      </c>
      <c r="O35" s="54" t="str">
        <f>_xll.ESQuote($L35,_xll.ESFldID(O$2))</f>
        <v/>
      </c>
      <c r="P35" s="52" t="str">
        <f>IF(OR(ISBLANK(Q35), Q35=""),"", MAX(P$2:P34)+1)</f>
        <v/>
      </c>
      <c r="S35" s="16"/>
      <c r="T35" s="53" t="str">
        <f>_xll.ESHistD($Q35,_xll.ESFldID(T$2,"D"),"D",$S35)</f>
        <v/>
      </c>
      <c r="U35" s="53" t="str">
        <f>_xll.ESHistD($Q35,_xll.ESFldID(U$2,"D"),"D",$S35)</f>
        <v/>
      </c>
      <c r="V35" s="53" t="str">
        <f>_xll.ESHistD($Q35,_xll.ESFldID(V$2,"D"),"D",$S35)</f>
        <v/>
      </c>
      <c r="W35" s="53" t="str">
        <f>_xll.ESHistD($Q35,_xll.ESFldID(W$2,"D"),"D",$S35)</f>
        <v/>
      </c>
      <c r="X35" s="22" t="str">
        <f>_xll.ESHistD($Q35,_xll.ESFldID(X$2,"D"),"D",$S35)</f>
        <v/>
      </c>
      <c r="Y35" s="55" t="str">
        <f t="shared" si="0"/>
        <v/>
      </c>
      <c r="Z35" s="53" t="str">
        <f ca="1">_xll.ESHistD($Q35,_xll.ESFldID(Z$2,"D"),"D",$AC$1)</f>
        <v/>
      </c>
      <c r="AA35" s="53" t="str">
        <f ca="1">_xll.ESHistD($Q35,_xll.ESFldID(AA$2,"D"),"D",$AC$1)</f>
        <v/>
      </c>
      <c r="AB35" s="53" t="str">
        <f ca="1">_xll.ESHistD($Q35,_xll.ESFldID(AB$2,"D"),"D",$AC$1)</f>
        <v/>
      </c>
      <c r="AC35" s="53" t="str">
        <f ca="1">_xll.ESHistD($Q35,_xll.ESFldID(AC$2,"D"),"D",$AC$1)</f>
        <v/>
      </c>
      <c r="AD35" s="22" t="str">
        <f ca="1">_xll.ESHistD($Q35,_xll.ESFldID(AD$2,"D"),"D",$AC$1)</f>
        <v/>
      </c>
    </row>
    <row r="36" spans="1:30" x14ac:dyDescent="0.25">
      <c r="A36" s="52" t="str">
        <f>IF(OR(ISBLANK(B36), B36=""),"", MAX(A$2:A35)+1)</f>
        <v/>
      </c>
      <c r="B36" s="17" t="str">
        <f>IF(ISBLANK(Reporting!$B36), "", Reporting!$B36)</f>
        <v/>
      </c>
      <c r="C36" s="53" t="str">
        <f>_xll.ESQuote($B36,_xll.ESFldID(C$2))</f>
        <v/>
      </c>
      <c r="D36" s="17" t="str">
        <f>_xll.ESQuote($B36,_xll.ESFldID(D$2))</f>
        <v/>
      </c>
      <c r="E36" s="54" t="str">
        <f>_xll.ESQuote($B36,_xll.ESFldID(E$2))</f>
        <v/>
      </c>
      <c r="F36" s="52" t="str">
        <f>IF(OR(ISBLANK(G36), G36=""),"", MAX(F$2:F35)+1)</f>
        <v/>
      </c>
      <c r="G36" s="17" t="str">
        <f>IF(ISBLANK(Existing!$B36), "", Existing!$B36)</f>
        <v/>
      </c>
      <c r="H36" s="53" t="str">
        <f>_xll.ESQuote($G36,_xll.ESFldID(H$2))</f>
        <v/>
      </c>
      <c r="I36" s="17" t="str">
        <f>_xll.ESQuote($G36,_xll.ESFldID(I$2))</f>
        <v/>
      </c>
      <c r="J36" s="54" t="str">
        <f>_xll.ESQuote($G36,_xll.ESFldID(J$2))</f>
        <v/>
      </c>
      <c r="K36" s="52" t="str">
        <f>IF(OR(ISBLANK(L36), L36=""),"", MAX(K$2:K35)+1)</f>
        <v/>
      </c>
      <c r="L36" s="17" t="str">
        <f>IF(ISBLANK(Monitoring!$B36), "",Monitoring!$B36)</f>
        <v/>
      </c>
      <c r="M36" s="53" t="str">
        <f>_xll.ESQuote($L36,_xll.ESFldID(M$2))</f>
        <v/>
      </c>
      <c r="N36" s="17" t="str">
        <f>_xll.ESQuote($L36,_xll.ESFldID(N$2))</f>
        <v/>
      </c>
      <c r="O36" s="54" t="str">
        <f>_xll.ESQuote($L36,_xll.ESFldID(O$2))</f>
        <v/>
      </c>
      <c r="P36" s="52" t="str">
        <f>IF(OR(ISBLANK(Q36), Q36=""),"", MAX(P$2:P35)+1)</f>
        <v/>
      </c>
      <c r="S36" s="16"/>
      <c r="T36" s="53" t="str">
        <f>_xll.ESHistD($Q36,_xll.ESFldID(T$2,"D"),"D",$S36)</f>
        <v/>
      </c>
      <c r="U36" s="53" t="str">
        <f>_xll.ESHistD($Q36,_xll.ESFldID(U$2,"D"),"D",$S36)</f>
        <v/>
      </c>
      <c r="V36" s="53" t="str">
        <f>_xll.ESHistD($Q36,_xll.ESFldID(V$2,"D"),"D",$S36)</f>
        <v/>
      </c>
      <c r="W36" s="53" t="str">
        <f>_xll.ESHistD($Q36,_xll.ESFldID(W$2,"D"),"D",$S36)</f>
        <v/>
      </c>
      <c r="X36" s="22" t="str">
        <f>_xll.ESHistD($Q36,_xll.ESFldID(X$2,"D"),"D",$S36)</f>
        <v/>
      </c>
      <c r="Y36" s="55" t="str">
        <f t="shared" si="0"/>
        <v/>
      </c>
      <c r="Z36" s="53" t="str">
        <f ca="1">_xll.ESHistD($Q36,_xll.ESFldID(Z$2,"D"),"D",$AC$1)</f>
        <v/>
      </c>
      <c r="AA36" s="53" t="str">
        <f ca="1">_xll.ESHistD($Q36,_xll.ESFldID(AA$2,"D"),"D",$AC$1)</f>
        <v/>
      </c>
      <c r="AB36" s="53" t="str">
        <f ca="1">_xll.ESHistD($Q36,_xll.ESFldID(AB$2,"D"),"D",$AC$1)</f>
        <v/>
      </c>
      <c r="AC36" s="53" t="str">
        <f ca="1">_xll.ESHistD($Q36,_xll.ESFldID(AC$2,"D"),"D",$AC$1)</f>
        <v/>
      </c>
      <c r="AD36" s="22" t="str">
        <f ca="1">_xll.ESHistD($Q36,_xll.ESFldID(AD$2,"D"),"D",$AC$1)</f>
        <v/>
      </c>
    </row>
    <row r="37" spans="1:30" x14ac:dyDescent="0.25">
      <c r="A37" s="52" t="str">
        <f>IF(OR(ISBLANK(B37), B37=""),"", MAX(A$2:A36)+1)</f>
        <v/>
      </c>
      <c r="B37" s="17" t="str">
        <f>IF(ISBLANK(Reporting!$B37), "", Reporting!$B37)</f>
        <v/>
      </c>
      <c r="C37" s="53" t="str">
        <f>_xll.ESQuote($B37,_xll.ESFldID(C$2))</f>
        <v/>
      </c>
      <c r="D37" s="17" t="str">
        <f>_xll.ESQuote($B37,_xll.ESFldID(D$2))</f>
        <v/>
      </c>
      <c r="E37" s="54" t="str">
        <f>_xll.ESQuote($B37,_xll.ESFldID(E$2))</f>
        <v/>
      </c>
      <c r="F37" s="52" t="str">
        <f>IF(OR(ISBLANK(G37), G37=""),"", MAX(F$2:F36)+1)</f>
        <v/>
      </c>
      <c r="G37" s="17" t="str">
        <f>IF(ISBLANK(Existing!$B37), "", Existing!$B37)</f>
        <v/>
      </c>
      <c r="H37" s="53" t="str">
        <f>_xll.ESQuote($G37,_xll.ESFldID(H$2))</f>
        <v/>
      </c>
      <c r="I37" s="17" t="str">
        <f>_xll.ESQuote($G37,_xll.ESFldID(I$2))</f>
        <v/>
      </c>
      <c r="J37" s="54" t="str">
        <f>_xll.ESQuote($G37,_xll.ESFldID(J$2))</f>
        <v/>
      </c>
      <c r="K37" s="52" t="str">
        <f>IF(OR(ISBLANK(L37), L37=""),"", MAX(K$2:K36)+1)</f>
        <v/>
      </c>
      <c r="L37" s="17" t="str">
        <f>IF(ISBLANK(Monitoring!$B37), "",Monitoring!$B37)</f>
        <v/>
      </c>
      <c r="M37" s="53" t="str">
        <f>_xll.ESQuote($L37,_xll.ESFldID(M$2))</f>
        <v/>
      </c>
      <c r="N37" s="17" t="str">
        <f>_xll.ESQuote($L37,_xll.ESFldID(N$2))</f>
        <v/>
      </c>
      <c r="O37" s="54" t="str">
        <f>_xll.ESQuote($L37,_xll.ESFldID(O$2))</f>
        <v/>
      </c>
      <c r="P37" s="52" t="str">
        <f>IF(OR(ISBLANK(Q37), Q37=""),"", MAX(P$2:P36)+1)</f>
        <v/>
      </c>
      <c r="S37" s="16"/>
      <c r="T37" s="53" t="str">
        <f>_xll.ESHistD($Q37,_xll.ESFldID(T$2,"D"),"D",$S37)</f>
        <v/>
      </c>
      <c r="U37" s="53" t="str">
        <f>_xll.ESHistD($Q37,_xll.ESFldID(U$2,"D"),"D",$S37)</f>
        <v/>
      </c>
      <c r="V37" s="53" t="str">
        <f>_xll.ESHistD($Q37,_xll.ESFldID(V$2,"D"),"D",$S37)</f>
        <v/>
      </c>
      <c r="W37" s="53" t="str">
        <f>_xll.ESHistD($Q37,_xll.ESFldID(W$2,"D"),"D",$S37)</f>
        <v/>
      </c>
      <c r="X37" s="22" t="str">
        <f>_xll.ESHistD($Q37,_xll.ESFldID(X$2,"D"),"D",$S37)</f>
        <v/>
      </c>
      <c r="Y37" s="55" t="str">
        <f t="shared" si="0"/>
        <v/>
      </c>
      <c r="Z37" s="53" t="str">
        <f ca="1">_xll.ESHistD($Q37,_xll.ESFldID(Z$2,"D"),"D",$AC$1)</f>
        <v/>
      </c>
      <c r="AA37" s="53" t="str">
        <f ca="1">_xll.ESHistD($Q37,_xll.ESFldID(AA$2,"D"),"D",$AC$1)</f>
        <v/>
      </c>
      <c r="AB37" s="53" t="str">
        <f ca="1">_xll.ESHistD($Q37,_xll.ESFldID(AB$2,"D"),"D",$AC$1)</f>
        <v/>
      </c>
      <c r="AC37" s="53" t="str">
        <f ca="1">_xll.ESHistD($Q37,_xll.ESFldID(AC$2,"D"),"D",$AC$1)</f>
        <v/>
      </c>
      <c r="AD37" s="22" t="str">
        <f ca="1">_xll.ESHistD($Q37,_xll.ESFldID(AD$2,"D"),"D",$AC$1)</f>
        <v/>
      </c>
    </row>
    <row r="38" spans="1:30" x14ac:dyDescent="0.25">
      <c r="A38" s="52" t="str">
        <f>IF(OR(ISBLANK(B38), B38=""),"", MAX(A$2:A37)+1)</f>
        <v/>
      </c>
      <c r="B38" s="17" t="str">
        <f>IF(ISBLANK(Reporting!$B38), "", Reporting!$B38)</f>
        <v/>
      </c>
      <c r="C38" s="53" t="str">
        <f>_xll.ESQuote($B38,_xll.ESFldID(C$2))</f>
        <v/>
      </c>
      <c r="D38" s="17" t="str">
        <f>_xll.ESQuote($B38,_xll.ESFldID(D$2))</f>
        <v/>
      </c>
      <c r="E38" s="54" t="str">
        <f>_xll.ESQuote($B38,_xll.ESFldID(E$2))</f>
        <v/>
      </c>
      <c r="F38" s="52" t="str">
        <f>IF(OR(ISBLANK(G38), G38=""),"", MAX(F$2:F37)+1)</f>
        <v/>
      </c>
      <c r="G38" s="17" t="str">
        <f>IF(ISBLANK(Existing!$B38), "", Existing!$B38)</f>
        <v/>
      </c>
      <c r="H38" s="53" t="str">
        <f>_xll.ESQuote($G38,_xll.ESFldID(H$2))</f>
        <v/>
      </c>
      <c r="I38" s="17" t="str">
        <f>_xll.ESQuote($G38,_xll.ESFldID(I$2))</f>
        <v/>
      </c>
      <c r="J38" s="54" t="str">
        <f>_xll.ESQuote($G38,_xll.ESFldID(J$2))</f>
        <v/>
      </c>
      <c r="K38" s="52" t="str">
        <f>IF(OR(ISBLANK(L38), L38=""),"", MAX(K$2:K37)+1)</f>
        <v/>
      </c>
      <c r="L38" s="17" t="str">
        <f>IF(ISBLANK(Monitoring!$B38), "",Monitoring!$B38)</f>
        <v/>
      </c>
      <c r="M38" s="53" t="str">
        <f>_xll.ESQuote($L38,_xll.ESFldID(M$2))</f>
        <v/>
      </c>
      <c r="N38" s="17" t="str">
        <f>_xll.ESQuote($L38,_xll.ESFldID(N$2))</f>
        <v/>
      </c>
      <c r="O38" s="54" t="str">
        <f>_xll.ESQuote($L38,_xll.ESFldID(O$2))</f>
        <v/>
      </c>
      <c r="P38" s="52" t="str">
        <f>IF(OR(ISBLANK(Q38), Q38=""),"", MAX(P$2:P37)+1)</f>
        <v/>
      </c>
      <c r="S38" s="16"/>
      <c r="T38" s="53" t="str">
        <f>_xll.ESHistD($Q38,_xll.ESFldID(T$2,"D"),"D",$S38)</f>
        <v/>
      </c>
      <c r="U38" s="53" t="str">
        <f>_xll.ESHistD($Q38,_xll.ESFldID(U$2,"D"),"D",$S38)</f>
        <v/>
      </c>
      <c r="V38" s="53" t="str">
        <f>_xll.ESHistD($Q38,_xll.ESFldID(V$2,"D"),"D",$S38)</f>
        <v/>
      </c>
      <c r="W38" s="53" t="str">
        <f>_xll.ESHistD($Q38,_xll.ESFldID(W$2,"D"),"D",$S38)</f>
        <v/>
      </c>
      <c r="X38" s="22" t="str">
        <f>_xll.ESHistD($Q38,_xll.ESFldID(X$2,"D"),"D",$S38)</f>
        <v/>
      </c>
      <c r="Y38" s="55" t="str">
        <f t="shared" si="0"/>
        <v/>
      </c>
      <c r="Z38" s="53" t="str">
        <f ca="1">_xll.ESHistD($Q38,_xll.ESFldID(Z$2,"D"),"D",$AC$1)</f>
        <v/>
      </c>
      <c r="AA38" s="53" t="str">
        <f ca="1">_xll.ESHistD($Q38,_xll.ESFldID(AA$2,"D"),"D",$AC$1)</f>
        <v/>
      </c>
      <c r="AB38" s="53" t="str">
        <f ca="1">_xll.ESHistD($Q38,_xll.ESFldID(AB$2,"D"),"D",$AC$1)</f>
        <v/>
      </c>
      <c r="AC38" s="53" t="str">
        <f ca="1">_xll.ESHistD($Q38,_xll.ESFldID(AC$2,"D"),"D",$AC$1)</f>
        <v/>
      </c>
      <c r="AD38" s="22" t="str">
        <f ca="1">_xll.ESHistD($Q38,_xll.ESFldID(AD$2,"D"),"D",$AC$1)</f>
        <v/>
      </c>
    </row>
    <row r="39" spans="1:30" x14ac:dyDescent="0.25">
      <c r="A39" s="52" t="str">
        <f>IF(OR(ISBLANK(B39), B39=""),"", MAX(A$2:A38)+1)</f>
        <v/>
      </c>
      <c r="B39" s="17" t="str">
        <f>IF(ISBLANK(Reporting!$B39), "", Reporting!$B39)</f>
        <v/>
      </c>
      <c r="C39" s="53" t="str">
        <f>_xll.ESQuote($B39,_xll.ESFldID(C$2))</f>
        <v/>
      </c>
      <c r="D39" s="17" t="str">
        <f>_xll.ESQuote($B39,_xll.ESFldID(D$2))</f>
        <v/>
      </c>
      <c r="E39" s="54" t="str">
        <f>_xll.ESQuote($B39,_xll.ESFldID(E$2))</f>
        <v/>
      </c>
      <c r="F39" s="52" t="str">
        <f>IF(OR(ISBLANK(G39), G39=""),"", MAX(F$2:F38)+1)</f>
        <v/>
      </c>
      <c r="G39" s="17" t="str">
        <f>IF(ISBLANK(Existing!$B39), "", Existing!$B39)</f>
        <v/>
      </c>
      <c r="H39" s="53" t="str">
        <f>_xll.ESQuote($G39,_xll.ESFldID(H$2))</f>
        <v/>
      </c>
      <c r="I39" s="17" t="str">
        <f>_xll.ESQuote($G39,_xll.ESFldID(I$2))</f>
        <v/>
      </c>
      <c r="J39" s="54" t="str">
        <f>_xll.ESQuote($G39,_xll.ESFldID(J$2))</f>
        <v/>
      </c>
      <c r="K39" s="52" t="str">
        <f>IF(OR(ISBLANK(L39), L39=""),"", MAX(K$2:K38)+1)</f>
        <v/>
      </c>
      <c r="L39" s="17" t="str">
        <f>IF(ISBLANK(Monitoring!$B39), "",Monitoring!$B39)</f>
        <v/>
      </c>
      <c r="M39" s="53" t="str">
        <f>_xll.ESQuote($L39,_xll.ESFldID(M$2))</f>
        <v/>
      </c>
      <c r="N39" s="17" t="str">
        <f>_xll.ESQuote($L39,_xll.ESFldID(N$2))</f>
        <v/>
      </c>
      <c r="O39" s="54" t="str">
        <f>_xll.ESQuote($L39,_xll.ESFldID(O$2))</f>
        <v/>
      </c>
      <c r="P39" s="52" t="str">
        <f>IF(OR(ISBLANK(Q39), Q39=""),"", MAX(P$2:P38)+1)</f>
        <v/>
      </c>
      <c r="S39" s="16"/>
      <c r="T39" s="53" t="str">
        <f>_xll.ESHistD($Q39,_xll.ESFldID(T$2,"D"),"D",$S39)</f>
        <v/>
      </c>
      <c r="U39" s="53" t="str">
        <f>_xll.ESHistD($Q39,_xll.ESFldID(U$2,"D"),"D",$S39)</f>
        <v/>
      </c>
      <c r="V39" s="53" t="str">
        <f>_xll.ESHistD($Q39,_xll.ESFldID(V$2,"D"),"D",$S39)</f>
        <v/>
      </c>
      <c r="W39" s="53" t="str">
        <f>_xll.ESHistD($Q39,_xll.ESFldID(W$2,"D"),"D",$S39)</f>
        <v/>
      </c>
      <c r="X39" s="22" t="str">
        <f>_xll.ESHistD($Q39,_xll.ESFldID(X$2,"D"),"D",$S39)</f>
        <v/>
      </c>
      <c r="Y39" s="55" t="str">
        <f t="shared" si="0"/>
        <v/>
      </c>
      <c r="Z39" s="53" t="str">
        <f ca="1">_xll.ESHistD($Q39,_xll.ESFldID(Z$2,"D"),"D",$AC$1)</f>
        <v/>
      </c>
      <c r="AA39" s="53" t="str">
        <f ca="1">_xll.ESHistD($Q39,_xll.ESFldID(AA$2,"D"),"D",$AC$1)</f>
        <v/>
      </c>
      <c r="AB39" s="53" t="str">
        <f ca="1">_xll.ESHistD($Q39,_xll.ESFldID(AB$2,"D"),"D",$AC$1)</f>
        <v/>
      </c>
      <c r="AC39" s="53" t="str">
        <f ca="1">_xll.ESHistD($Q39,_xll.ESFldID(AC$2,"D"),"D",$AC$1)</f>
        <v/>
      </c>
      <c r="AD39" s="22" t="str">
        <f ca="1">_xll.ESHistD($Q39,_xll.ESFldID(AD$2,"D"),"D",$AC$1)</f>
        <v/>
      </c>
    </row>
    <row r="40" spans="1:30" x14ac:dyDescent="0.25">
      <c r="A40" s="52" t="str">
        <f>IF(OR(ISBLANK(B40), B40=""),"", MAX(A$2:A39)+1)</f>
        <v/>
      </c>
      <c r="B40" s="17" t="str">
        <f>IF(ISBLANK(Reporting!$B40), "", Reporting!$B40)</f>
        <v/>
      </c>
      <c r="C40" s="53" t="str">
        <f>_xll.ESQuote($B40,_xll.ESFldID(C$2))</f>
        <v/>
      </c>
      <c r="D40" s="17" t="str">
        <f>_xll.ESQuote($B40,_xll.ESFldID(D$2))</f>
        <v/>
      </c>
      <c r="E40" s="54" t="str">
        <f>_xll.ESQuote($B40,_xll.ESFldID(E$2))</f>
        <v/>
      </c>
      <c r="F40" s="52" t="str">
        <f>IF(OR(ISBLANK(G40), G40=""),"", MAX(F$2:F39)+1)</f>
        <v/>
      </c>
      <c r="G40" s="17" t="str">
        <f>IF(ISBLANK(Existing!$B40), "", Existing!$B40)</f>
        <v/>
      </c>
      <c r="H40" s="53" t="str">
        <f>_xll.ESQuote($G40,_xll.ESFldID(H$2))</f>
        <v/>
      </c>
      <c r="I40" s="17" t="str">
        <f>_xll.ESQuote($G40,_xll.ESFldID(I$2))</f>
        <v/>
      </c>
      <c r="J40" s="54" t="str">
        <f>_xll.ESQuote($G40,_xll.ESFldID(J$2))</f>
        <v/>
      </c>
      <c r="K40" s="52" t="str">
        <f>IF(OR(ISBLANK(L40), L40=""),"", MAX(K$2:K39)+1)</f>
        <v/>
      </c>
      <c r="L40" s="17" t="str">
        <f>IF(ISBLANK(Monitoring!$B40), "",Monitoring!$B40)</f>
        <v/>
      </c>
      <c r="M40" s="53" t="str">
        <f>_xll.ESQuote($L40,_xll.ESFldID(M$2))</f>
        <v/>
      </c>
      <c r="N40" s="17" t="str">
        <f>_xll.ESQuote($L40,_xll.ESFldID(N$2))</f>
        <v/>
      </c>
      <c r="O40" s="54" t="str">
        <f>_xll.ESQuote($L40,_xll.ESFldID(O$2))</f>
        <v/>
      </c>
      <c r="P40" s="52" t="str">
        <f>IF(OR(ISBLANK(Q40), Q40=""),"", MAX(P$2:P39)+1)</f>
        <v/>
      </c>
      <c r="S40" s="16"/>
      <c r="T40" s="53" t="str">
        <f>_xll.ESHistD($Q40,_xll.ESFldID(T$2,"D"),"D",$S40)</f>
        <v/>
      </c>
      <c r="U40" s="53" t="str">
        <f>_xll.ESHistD($Q40,_xll.ESFldID(U$2,"D"),"D",$S40)</f>
        <v/>
      </c>
      <c r="V40" s="53" t="str">
        <f>_xll.ESHistD($Q40,_xll.ESFldID(V$2,"D"),"D",$S40)</f>
        <v/>
      </c>
      <c r="W40" s="53" t="str">
        <f>_xll.ESHistD($Q40,_xll.ESFldID(W$2,"D"),"D",$S40)</f>
        <v/>
      </c>
      <c r="X40" s="22" t="str">
        <f>_xll.ESHistD($Q40,_xll.ESFldID(X$2,"D"),"D",$S40)</f>
        <v/>
      </c>
      <c r="Y40" s="55" t="str">
        <f t="shared" si="0"/>
        <v/>
      </c>
      <c r="Z40" s="53" t="str">
        <f ca="1">_xll.ESHistD($Q40,_xll.ESFldID(Z$2,"D"),"D",$AC$1)</f>
        <v/>
      </c>
      <c r="AA40" s="53" t="str">
        <f ca="1">_xll.ESHistD($Q40,_xll.ESFldID(AA$2,"D"),"D",$AC$1)</f>
        <v/>
      </c>
      <c r="AB40" s="53" t="str">
        <f ca="1">_xll.ESHistD($Q40,_xll.ESFldID(AB$2,"D"),"D",$AC$1)</f>
        <v/>
      </c>
      <c r="AC40" s="53" t="str">
        <f ca="1">_xll.ESHistD($Q40,_xll.ESFldID(AC$2,"D"),"D",$AC$1)</f>
        <v/>
      </c>
      <c r="AD40" s="22" t="str">
        <f ca="1">_xll.ESHistD($Q40,_xll.ESFldID(AD$2,"D"),"D",$AC$1)</f>
        <v/>
      </c>
    </row>
    <row r="41" spans="1:30" x14ac:dyDescent="0.25">
      <c r="A41" s="52" t="str">
        <f>IF(OR(ISBLANK(B41), B41=""),"", MAX(A$2:A40)+1)</f>
        <v/>
      </c>
      <c r="B41" s="17" t="str">
        <f>IF(ISBLANK(Reporting!$B41), "", Reporting!$B41)</f>
        <v/>
      </c>
      <c r="C41" s="53" t="str">
        <f>_xll.ESQuote($B41,_xll.ESFldID(C$2))</f>
        <v/>
      </c>
      <c r="D41" s="17" t="str">
        <f>_xll.ESQuote($B41,_xll.ESFldID(D$2))</f>
        <v/>
      </c>
      <c r="E41" s="54" t="str">
        <f>_xll.ESQuote($B41,_xll.ESFldID(E$2))</f>
        <v/>
      </c>
      <c r="F41" s="52" t="str">
        <f>IF(OR(ISBLANK(G41), G41=""),"", MAX(F$2:F40)+1)</f>
        <v/>
      </c>
      <c r="G41" s="17" t="str">
        <f>IF(ISBLANK(Existing!$B41), "", Existing!$B41)</f>
        <v/>
      </c>
      <c r="H41" s="53" t="str">
        <f>_xll.ESQuote($G41,_xll.ESFldID(H$2))</f>
        <v/>
      </c>
      <c r="I41" s="17" t="str">
        <f>_xll.ESQuote($G41,_xll.ESFldID(I$2))</f>
        <v/>
      </c>
      <c r="J41" s="54" t="str">
        <f>_xll.ESQuote($G41,_xll.ESFldID(J$2))</f>
        <v/>
      </c>
      <c r="K41" s="52" t="str">
        <f>IF(OR(ISBLANK(L41), L41=""),"", MAX(K$2:K40)+1)</f>
        <v/>
      </c>
      <c r="L41" s="17" t="str">
        <f>IF(ISBLANK(Monitoring!$B41), "",Monitoring!$B41)</f>
        <v/>
      </c>
      <c r="M41" s="53" t="str">
        <f>_xll.ESQuote($L41,_xll.ESFldID(M$2))</f>
        <v/>
      </c>
      <c r="N41" s="17" t="str">
        <f>_xll.ESQuote($L41,_xll.ESFldID(N$2))</f>
        <v/>
      </c>
      <c r="O41" s="54" t="str">
        <f>_xll.ESQuote($L41,_xll.ESFldID(O$2))</f>
        <v/>
      </c>
      <c r="P41" s="52" t="str">
        <f>IF(OR(ISBLANK(Q41), Q41=""),"", MAX(P$2:P40)+1)</f>
        <v/>
      </c>
      <c r="S41" s="16"/>
      <c r="T41" s="53" t="str">
        <f>_xll.ESHistD($Q41,_xll.ESFldID(T$2,"D"),"D",$S41)</f>
        <v/>
      </c>
      <c r="U41" s="53" t="str">
        <f>_xll.ESHistD($Q41,_xll.ESFldID(U$2,"D"),"D",$S41)</f>
        <v/>
      </c>
      <c r="V41" s="53" t="str">
        <f>_xll.ESHistD($Q41,_xll.ESFldID(V$2,"D"),"D",$S41)</f>
        <v/>
      </c>
      <c r="W41" s="53" t="str">
        <f>_xll.ESHistD($Q41,_xll.ESFldID(W$2,"D"),"D",$S41)</f>
        <v/>
      </c>
      <c r="X41" s="22" t="str">
        <f>_xll.ESHistD($Q41,_xll.ESFldID(X$2,"D"),"D",$S41)</f>
        <v/>
      </c>
      <c r="Y41" s="55" t="str">
        <f t="shared" si="0"/>
        <v/>
      </c>
      <c r="Z41" s="53" t="str">
        <f ca="1">_xll.ESHistD($Q41,_xll.ESFldID(Z$2,"D"),"D",$AC$1)</f>
        <v/>
      </c>
      <c r="AA41" s="53" t="str">
        <f ca="1">_xll.ESHistD($Q41,_xll.ESFldID(AA$2,"D"),"D",$AC$1)</f>
        <v/>
      </c>
      <c r="AB41" s="53" t="str">
        <f ca="1">_xll.ESHistD($Q41,_xll.ESFldID(AB$2,"D"),"D",$AC$1)</f>
        <v/>
      </c>
      <c r="AC41" s="53" t="str">
        <f ca="1">_xll.ESHistD($Q41,_xll.ESFldID(AC$2,"D"),"D",$AC$1)</f>
        <v/>
      </c>
      <c r="AD41" s="22" t="str">
        <f ca="1">_xll.ESHistD($Q41,_xll.ESFldID(AD$2,"D"),"D",$AC$1)</f>
        <v/>
      </c>
    </row>
    <row r="42" spans="1:30" x14ac:dyDescent="0.25">
      <c r="A42" s="52" t="str">
        <f>IF(OR(ISBLANK(B42), B42=""),"", MAX(A$2:A41)+1)</f>
        <v/>
      </c>
      <c r="B42" s="17" t="str">
        <f>IF(ISBLANK(Reporting!$B42), "", Reporting!$B42)</f>
        <v/>
      </c>
      <c r="C42" s="53" t="str">
        <f>_xll.ESQuote($B42,_xll.ESFldID(C$2))</f>
        <v/>
      </c>
      <c r="D42" s="17" t="str">
        <f>_xll.ESQuote($B42,_xll.ESFldID(D$2))</f>
        <v/>
      </c>
      <c r="E42" s="54" t="str">
        <f>_xll.ESQuote($B42,_xll.ESFldID(E$2))</f>
        <v/>
      </c>
      <c r="F42" s="52" t="str">
        <f>IF(OR(ISBLANK(G42), G42=""),"", MAX(F$2:F41)+1)</f>
        <v/>
      </c>
      <c r="G42" s="17" t="str">
        <f>IF(ISBLANK(Existing!$B42), "", Existing!$B42)</f>
        <v/>
      </c>
      <c r="H42" s="53" t="str">
        <f>_xll.ESQuote($G42,_xll.ESFldID(H$2))</f>
        <v/>
      </c>
      <c r="I42" s="17" t="str">
        <f>_xll.ESQuote($G42,_xll.ESFldID(I$2))</f>
        <v/>
      </c>
      <c r="J42" s="54" t="str">
        <f>_xll.ESQuote($G42,_xll.ESFldID(J$2))</f>
        <v/>
      </c>
      <c r="K42" s="52" t="str">
        <f>IF(OR(ISBLANK(L42), L42=""),"", MAX(K$2:K41)+1)</f>
        <v/>
      </c>
      <c r="L42" s="17" t="str">
        <f>IF(ISBLANK(Monitoring!$B42), "",Monitoring!$B42)</f>
        <v/>
      </c>
      <c r="M42" s="53" t="str">
        <f>_xll.ESQuote($L42,_xll.ESFldID(M$2))</f>
        <v/>
      </c>
      <c r="N42" s="17" t="str">
        <f>_xll.ESQuote($L42,_xll.ESFldID(N$2))</f>
        <v/>
      </c>
      <c r="O42" s="54" t="str">
        <f>_xll.ESQuote($L42,_xll.ESFldID(O$2))</f>
        <v/>
      </c>
      <c r="P42" s="52" t="str">
        <f>IF(OR(ISBLANK(Q42), Q42=""),"", MAX(P$2:P41)+1)</f>
        <v/>
      </c>
      <c r="S42" s="16"/>
      <c r="T42" s="53" t="str">
        <f>_xll.ESHistD($Q42,_xll.ESFldID(T$2,"D"),"D",$S42)</f>
        <v/>
      </c>
      <c r="U42" s="53" t="str">
        <f>_xll.ESHistD($Q42,_xll.ESFldID(U$2,"D"),"D",$S42)</f>
        <v/>
      </c>
      <c r="V42" s="53" t="str">
        <f>_xll.ESHistD($Q42,_xll.ESFldID(V$2,"D"),"D",$S42)</f>
        <v/>
      </c>
      <c r="W42" s="53" t="str">
        <f>_xll.ESHistD($Q42,_xll.ESFldID(W$2,"D"),"D",$S42)</f>
        <v/>
      </c>
      <c r="X42" s="22" t="str">
        <f>_xll.ESHistD($Q42,_xll.ESFldID(X$2,"D"),"D",$S42)</f>
        <v/>
      </c>
      <c r="Y42" s="55" t="str">
        <f t="shared" si="0"/>
        <v/>
      </c>
      <c r="Z42" s="53" t="str">
        <f ca="1">_xll.ESHistD($Q42,_xll.ESFldID(Z$2,"D"),"D",$AC$1)</f>
        <v/>
      </c>
      <c r="AA42" s="53" t="str">
        <f ca="1">_xll.ESHistD($Q42,_xll.ESFldID(AA$2,"D"),"D",$AC$1)</f>
        <v/>
      </c>
      <c r="AB42" s="53" t="str">
        <f ca="1">_xll.ESHistD($Q42,_xll.ESFldID(AB$2,"D"),"D",$AC$1)</f>
        <v/>
      </c>
      <c r="AC42" s="53" t="str">
        <f ca="1">_xll.ESHistD($Q42,_xll.ESFldID(AC$2,"D"),"D",$AC$1)</f>
        <v/>
      </c>
      <c r="AD42" s="22" t="str">
        <f ca="1">_xll.ESHistD($Q42,_xll.ESFldID(AD$2,"D"),"D",$AC$1)</f>
        <v/>
      </c>
    </row>
    <row r="43" spans="1:30" x14ac:dyDescent="0.25">
      <c r="A43" s="52" t="str">
        <f>IF(OR(ISBLANK(B43), B43=""),"", MAX(A$2:A42)+1)</f>
        <v/>
      </c>
      <c r="B43" s="17" t="str">
        <f>IF(ISBLANK(Reporting!$B43), "", Reporting!$B43)</f>
        <v/>
      </c>
      <c r="C43" s="53" t="str">
        <f>_xll.ESQuote($B43,_xll.ESFldID(C$2))</f>
        <v/>
      </c>
      <c r="D43" s="17" t="str">
        <f>_xll.ESQuote($B43,_xll.ESFldID(D$2))</f>
        <v/>
      </c>
      <c r="E43" s="54" t="str">
        <f>_xll.ESQuote($B43,_xll.ESFldID(E$2))</f>
        <v/>
      </c>
      <c r="F43" s="52" t="str">
        <f>IF(OR(ISBLANK(G43), G43=""),"", MAX(F$2:F42)+1)</f>
        <v/>
      </c>
      <c r="G43" s="17" t="str">
        <f>IF(ISBLANK(Existing!$B43), "", Existing!$B43)</f>
        <v/>
      </c>
      <c r="H43" s="53" t="str">
        <f>_xll.ESQuote($G43,_xll.ESFldID(H$2))</f>
        <v/>
      </c>
      <c r="I43" s="17" t="str">
        <f>_xll.ESQuote($G43,_xll.ESFldID(I$2))</f>
        <v/>
      </c>
      <c r="J43" s="54" t="str">
        <f>_xll.ESQuote($G43,_xll.ESFldID(J$2))</f>
        <v/>
      </c>
      <c r="K43" s="52" t="str">
        <f>IF(OR(ISBLANK(L43), L43=""),"", MAX(K$2:K42)+1)</f>
        <v/>
      </c>
      <c r="L43" s="17" t="str">
        <f>IF(ISBLANK(Monitoring!$B43), "",Monitoring!$B43)</f>
        <v/>
      </c>
      <c r="M43" s="53" t="str">
        <f>_xll.ESQuote($L43,_xll.ESFldID(M$2))</f>
        <v/>
      </c>
      <c r="N43" s="17" t="str">
        <f>_xll.ESQuote($L43,_xll.ESFldID(N$2))</f>
        <v/>
      </c>
      <c r="O43" s="54" t="str">
        <f>_xll.ESQuote($L43,_xll.ESFldID(O$2))</f>
        <v/>
      </c>
      <c r="P43" s="52" t="str">
        <f>IF(OR(ISBLANK(Q43), Q43=""),"", MAX(P$2:P42)+1)</f>
        <v/>
      </c>
      <c r="S43" s="16"/>
      <c r="T43" s="53" t="str">
        <f>_xll.ESHistD($Q43,_xll.ESFldID(T$2,"D"),"D",$S43)</f>
        <v/>
      </c>
      <c r="U43" s="53" t="str">
        <f>_xll.ESHistD($Q43,_xll.ESFldID(U$2,"D"),"D",$S43)</f>
        <v/>
      </c>
      <c r="V43" s="53" t="str">
        <f>_xll.ESHistD($Q43,_xll.ESFldID(V$2,"D"),"D",$S43)</f>
        <v/>
      </c>
      <c r="W43" s="53" t="str">
        <f>_xll.ESHistD($Q43,_xll.ESFldID(W$2,"D"),"D",$S43)</f>
        <v/>
      </c>
      <c r="X43" s="22" t="str">
        <f>_xll.ESHistD($Q43,_xll.ESFldID(X$2,"D"),"D",$S43)</f>
        <v/>
      </c>
      <c r="Y43" s="55" t="str">
        <f t="shared" si="0"/>
        <v/>
      </c>
      <c r="Z43" s="53" t="str">
        <f ca="1">_xll.ESHistD($Q43,_xll.ESFldID(Z$2,"D"),"D",$AC$1)</f>
        <v/>
      </c>
      <c r="AA43" s="53" t="str">
        <f ca="1">_xll.ESHistD($Q43,_xll.ESFldID(AA$2,"D"),"D",$AC$1)</f>
        <v/>
      </c>
      <c r="AB43" s="53" t="str">
        <f ca="1">_xll.ESHistD($Q43,_xll.ESFldID(AB$2,"D"),"D",$AC$1)</f>
        <v/>
      </c>
      <c r="AC43" s="53" t="str">
        <f ca="1">_xll.ESHistD($Q43,_xll.ESFldID(AC$2,"D"),"D",$AC$1)</f>
        <v/>
      </c>
      <c r="AD43" s="22" t="str">
        <f ca="1">_xll.ESHistD($Q43,_xll.ESFldID(AD$2,"D"),"D",$AC$1)</f>
        <v/>
      </c>
    </row>
    <row r="44" spans="1:30" x14ac:dyDescent="0.25">
      <c r="A44" s="52" t="str">
        <f>IF(OR(ISBLANK(B44), B44=""),"", MAX(A$2:A43)+1)</f>
        <v/>
      </c>
      <c r="B44" s="17" t="str">
        <f>IF(ISBLANK(Reporting!$B44), "", Reporting!$B44)</f>
        <v/>
      </c>
      <c r="C44" s="53" t="str">
        <f>_xll.ESQuote($B44,_xll.ESFldID(C$2))</f>
        <v/>
      </c>
      <c r="D44" s="17" t="str">
        <f>_xll.ESQuote($B44,_xll.ESFldID(D$2))</f>
        <v/>
      </c>
      <c r="E44" s="54" t="str">
        <f>_xll.ESQuote($B44,_xll.ESFldID(E$2))</f>
        <v/>
      </c>
      <c r="F44" s="52" t="str">
        <f>IF(OR(ISBLANK(G44), G44=""),"", MAX(F$2:F43)+1)</f>
        <v/>
      </c>
      <c r="G44" s="17" t="str">
        <f>IF(ISBLANK(Existing!$B44), "", Existing!$B44)</f>
        <v/>
      </c>
      <c r="H44" s="53" t="str">
        <f>_xll.ESQuote($G44,_xll.ESFldID(H$2))</f>
        <v/>
      </c>
      <c r="I44" s="17" t="str">
        <f>_xll.ESQuote($G44,_xll.ESFldID(I$2))</f>
        <v/>
      </c>
      <c r="J44" s="54" t="str">
        <f>_xll.ESQuote($G44,_xll.ESFldID(J$2))</f>
        <v/>
      </c>
      <c r="K44" s="52" t="str">
        <f>IF(OR(ISBLANK(L44), L44=""),"", MAX(K$2:K43)+1)</f>
        <v/>
      </c>
      <c r="L44" s="17" t="str">
        <f>IF(ISBLANK(Monitoring!$B44), "",Monitoring!$B44)</f>
        <v/>
      </c>
      <c r="M44" s="53" t="str">
        <f>_xll.ESQuote($L44,_xll.ESFldID(M$2))</f>
        <v/>
      </c>
      <c r="N44" s="17" t="str">
        <f>_xll.ESQuote($L44,_xll.ESFldID(N$2))</f>
        <v/>
      </c>
      <c r="O44" s="54" t="str">
        <f>_xll.ESQuote($L44,_xll.ESFldID(O$2))</f>
        <v/>
      </c>
      <c r="P44" s="52" t="str">
        <f>IF(OR(ISBLANK(Q44), Q44=""),"", MAX(P$2:P43)+1)</f>
        <v/>
      </c>
      <c r="S44" s="16"/>
      <c r="T44" s="53" t="str">
        <f>_xll.ESHistD($Q44,_xll.ESFldID(T$2,"D"),"D",$S44)</f>
        <v/>
      </c>
      <c r="U44" s="53" t="str">
        <f>_xll.ESHistD($Q44,_xll.ESFldID(U$2,"D"),"D",$S44)</f>
        <v/>
      </c>
      <c r="V44" s="53" t="str">
        <f>_xll.ESHistD($Q44,_xll.ESFldID(V$2,"D"),"D",$S44)</f>
        <v/>
      </c>
      <c r="W44" s="53" t="str">
        <f>_xll.ESHistD($Q44,_xll.ESFldID(W$2,"D"),"D",$S44)</f>
        <v/>
      </c>
      <c r="X44" s="22" t="str">
        <f>_xll.ESHistD($Q44,_xll.ESFldID(X$2,"D"),"D",$S44)</f>
        <v/>
      </c>
      <c r="Y44" s="55" t="str">
        <f t="shared" si="0"/>
        <v/>
      </c>
      <c r="Z44" s="53" t="str">
        <f ca="1">_xll.ESHistD($Q44,_xll.ESFldID(Z$2,"D"),"D",$AC$1)</f>
        <v/>
      </c>
      <c r="AA44" s="53" t="str">
        <f ca="1">_xll.ESHistD($Q44,_xll.ESFldID(AA$2,"D"),"D",$AC$1)</f>
        <v/>
      </c>
      <c r="AB44" s="53" t="str">
        <f ca="1">_xll.ESHistD($Q44,_xll.ESFldID(AB$2,"D"),"D",$AC$1)</f>
        <v/>
      </c>
      <c r="AC44" s="53" t="str">
        <f ca="1">_xll.ESHistD($Q44,_xll.ESFldID(AC$2,"D"),"D",$AC$1)</f>
        <v/>
      </c>
      <c r="AD44" s="22" t="str">
        <f ca="1">_xll.ESHistD($Q44,_xll.ESFldID(AD$2,"D"),"D",$AC$1)</f>
        <v/>
      </c>
    </row>
    <row r="45" spans="1:30" x14ac:dyDescent="0.25">
      <c r="A45" s="52" t="str">
        <f>IF(OR(ISBLANK(B45), B45=""),"", MAX(A$2:A44)+1)</f>
        <v/>
      </c>
      <c r="B45" s="17" t="str">
        <f>IF(ISBLANK(Reporting!$B45), "", Reporting!$B45)</f>
        <v/>
      </c>
      <c r="C45" s="53" t="str">
        <f>_xll.ESQuote($B45,_xll.ESFldID(C$2))</f>
        <v/>
      </c>
      <c r="D45" s="17" t="str">
        <f>_xll.ESQuote($B45,_xll.ESFldID(D$2))</f>
        <v/>
      </c>
      <c r="E45" s="54" t="str">
        <f>_xll.ESQuote($B45,_xll.ESFldID(E$2))</f>
        <v/>
      </c>
      <c r="F45" s="52" t="str">
        <f>IF(OR(ISBLANK(G45), G45=""),"", MAX(F$2:F44)+1)</f>
        <v/>
      </c>
      <c r="G45" s="17" t="str">
        <f>IF(ISBLANK(Existing!$B45), "", Existing!$B45)</f>
        <v/>
      </c>
      <c r="H45" s="53" t="str">
        <f>_xll.ESQuote($G45,_xll.ESFldID(H$2))</f>
        <v/>
      </c>
      <c r="I45" s="17" t="str">
        <f>_xll.ESQuote($G45,_xll.ESFldID(I$2))</f>
        <v/>
      </c>
      <c r="J45" s="54" t="str">
        <f>_xll.ESQuote($G45,_xll.ESFldID(J$2))</f>
        <v/>
      </c>
      <c r="K45" s="52" t="str">
        <f>IF(OR(ISBLANK(L45), L45=""),"", MAX(K$2:K44)+1)</f>
        <v/>
      </c>
      <c r="L45" s="17" t="str">
        <f>IF(ISBLANK(Monitoring!$B45), "",Monitoring!$B45)</f>
        <v/>
      </c>
      <c r="M45" s="53" t="str">
        <f>_xll.ESQuote($L45,_xll.ESFldID(M$2))</f>
        <v/>
      </c>
      <c r="N45" s="17" t="str">
        <f>_xll.ESQuote($L45,_xll.ESFldID(N$2))</f>
        <v/>
      </c>
      <c r="O45" s="54" t="str">
        <f>_xll.ESQuote($L45,_xll.ESFldID(O$2))</f>
        <v/>
      </c>
      <c r="P45" s="52" t="str">
        <f>IF(OR(ISBLANK(Q45), Q45=""),"", MAX(P$2:P44)+1)</f>
        <v/>
      </c>
      <c r="S45" s="16"/>
      <c r="T45" s="53" t="str">
        <f>_xll.ESHistD($Q45,_xll.ESFldID(T$2,"D"),"D",$S45)</f>
        <v/>
      </c>
      <c r="U45" s="53" t="str">
        <f>_xll.ESHistD($Q45,_xll.ESFldID(U$2,"D"),"D",$S45)</f>
        <v/>
      </c>
      <c r="V45" s="53" t="str">
        <f>_xll.ESHistD($Q45,_xll.ESFldID(V$2,"D"),"D",$S45)</f>
        <v/>
      </c>
      <c r="W45" s="53" t="str">
        <f>_xll.ESHistD($Q45,_xll.ESFldID(W$2,"D"),"D",$S45)</f>
        <v/>
      </c>
      <c r="X45" s="22" t="str">
        <f>_xll.ESHistD($Q45,_xll.ESFldID(X$2,"D"),"D",$S45)</f>
        <v/>
      </c>
      <c r="Y45" s="55" t="str">
        <f t="shared" si="0"/>
        <v/>
      </c>
      <c r="Z45" s="53" t="str">
        <f ca="1">_xll.ESHistD($Q45,_xll.ESFldID(Z$2,"D"),"D",$AC$1)</f>
        <v/>
      </c>
      <c r="AA45" s="53" t="str">
        <f ca="1">_xll.ESHistD($Q45,_xll.ESFldID(AA$2,"D"),"D",$AC$1)</f>
        <v/>
      </c>
      <c r="AB45" s="53" t="str">
        <f ca="1">_xll.ESHistD($Q45,_xll.ESFldID(AB$2,"D"),"D",$AC$1)</f>
        <v/>
      </c>
      <c r="AC45" s="53" t="str">
        <f ca="1">_xll.ESHistD($Q45,_xll.ESFldID(AC$2,"D"),"D",$AC$1)</f>
        <v/>
      </c>
      <c r="AD45" s="22" t="str">
        <f ca="1">_xll.ESHistD($Q45,_xll.ESFldID(AD$2,"D"),"D",$AC$1)</f>
        <v/>
      </c>
    </row>
    <row r="46" spans="1:30" x14ac:dyDescent="0.25">
      <c r="A46" s="52" t="str">
        <f>IF(OR(ISBLANK(B46), B46=""),"", MAX(A$2:A45)+1)</f>
        <v/>
      </c>
      <c r="B46" s="17" t="str">
        <f>IF(ISBLANK(Reporting!$B46), "", Reporting!$B46)</f>
        <v/>
      </c>
      <c r="C46" s="53" t="str">
        <f>_xll.ESQuote($B46,_xll.ESFldID(C$2))</f>
        <v/>
      </c>
      <c r="D46" s="17" t="str">
        <f>_xll.ESQuote($B46,_xll.ESFldID(D$2))</f>
        <v/>
      </c>
      <c r="E46" s="54" t="str">
        <f>_xll.ESQuote($B46,_xll.ESFldID(E$2))</f>
        <v/>
      </c>
      <c r="F46" s="52" t="str">
        <f>IF(OR(ISBLANK(G46), G46=""),"", MAX(F$2:F45)+1)</f>
        <v/>
      </c>
      <c r="G46" s="17" t="str">
        <f>IF(ISBLANK(Existing!$B46), "", Existing!$B46)</f>
        <v/>
      </c>
      <c r="H46" s="53" t="str">
        <f>_xll.ESQuote($G46,_xll.ESFldID(H$2))</f>
        <v/>
      </c>
      <c r="I46" s="17" t="str">
        <f>_xll.ESQuote($G46,_xll.ESFldID(I$2))</f>
        <v/>
      </c>
      <c r="J46" s="54" t="str">
        <f>_xll.ESQuote($G46,_xll.ESFldID(J$2))</f>
        <v/>
      </c>
      <c r="K46" s="52" t="str">
        <f>IF(OR(ISBLANK(L46), L46=""),"", MAX(K$2:K45)+1)</f>
        <v/>
      </c>
      <c r="L46" s="17" t="str">
        <f>IF(ISBLANK(Monitoring!$B46), "",Monitoring!$B46)</f>
        <v/>
      </c>
      <c r="M46" s="53" t="str">
        <f>_xll.ESQuote($L46,_xll.ESFldID(M$2))</f>
        <v/>
      </c>
      <c r="N46" s="17" t="str">
        <f>_xll.ESQuote($L46,_xll.ESFldID(N$2))</f>
        <v/>
      </c>
      <c r="O46" s="54" t="str">
        <f>_xll.ESQuote($L46,_xll.ESFldID(O$2))</f>
        <v/>
      </c>
      <c r="P46" s="52" t="str">
        <f>IF(OR(ISBLANK(Q46), Q46=""),"", MAX(P$2:P45)+1)</f>
        <v/>
      </c>
      <c r="S46" s="16"/>
      <c r="T46" s="53" t="str">
        <f>_xll.ESHistD($Q46,_xll.ESFldID(T$2,"D"),"D",$S46)</f>
        <v/>
      </c>
      <c r="U46" s="53" t="str">
        <f>_xll.ESHistD($Q46,_xll.ESFldID(U$2,"D"),"D",$S46)</f>
        <v/>
      </c>
      <c r="V46" s="53" t="str">
        <f>_xll.ESHistD($Q46,_xll.ESFldID(V$2,"D"),"D",$S46)</f>
        <v/>
      </c>
      <c r="W46" s="53" t="str">
        <f>_xll.ESHistD($Q46,_xll.ESFldID(W$2,"D"),"D",$S46)</f>
        <v/>
      </c>
      <c r="X46" s="22" t="str">
        <f>_xll.ESHistD($Q46,_xll.ESFldID(X$2,"D"),"D",$S46)</f>
        <v/>
      </c>
      <c r="Y46" s="55" t="str">
        <f t="shared" si="0"/>
        <v/>
      </c>
      <c r="Z46" s="53" t="str">
        <f ca="1">_xll.ESHistD($Q46,_xll.ESFldID(Z$2,"D"),"D",$AC$1)</f>
        <v/>
      </c>
      <c r="AA46" s="53" t="str">
        <f ca="1">_xll.ESHistD($Q46,_xll.ESFldID(AA$2,"D"),"D",$AC$1)</f>
        <v/>
      </c>
      <c r="AB46" s="53" t="str">
        <f ca="1">_xll.ESHistD($Q46,_xll.ESFldID(AB$2,"D"),"D",$AC$1)</f>
        <v/>
      </c>
      <c r="AC46" s="53" t="str">
        <f ca="1">_xll.ESHistD($Q46,_xll.ESFldID(AC$2,"D"),"D",$AC$1)</f>
        <v/>
      </c>
      <c r="AD46" s="22" t="str">
        <f ca="1">_xll.ESHistD($Q46,_xll.ESFldID(AD$2,"D"),"D",$AC$1)</f>
        <v/>
      </c>
    </row>
    <row r="47" spans="1:30" x14ac:dyDescent="0.25">
      <c r="A47" s="52" t="str">
        <f>IF(OR(ISBLANK(B47), B47=""),"", MAX(A$2:A46)+1)</f>
        <v/>
      </c>
      <c r="B47" s="17" t="str">
        <f>IF(ISBLANK(Reporting!$B47), "", Reporting!$B47)</f>
        <v/>
      </c>
      <c r="C47" s="53" t="str">
        <f>_xll.ESQuote($B47,_xll.ESFldID(C$2))</f>
        <v/>
      </c>
      <c r="D47" s="17" t="str">
        <f>_xll.ESQuote($B47,_xll.ESFldID(D$2))</f>
        <v/>
      </c>
      <c r="E47" s="54" t="str">
        <f>_xll.ESQuote($B47,_xll.ESFldID(E$2))</f>
        <v/>
      </c>
      <c r="F47" s="52" t="str">
        <f>IF(OR(ISBLANK(G47), G47=""),"", MAX(F$2:F46)+1)</f>
        <v/>
      </c>
      <c r="G47" s="17" t="str">
        <f>IF(ISBLANK(Existing!$B47), "", Existing!$B47)</f>
        <v/>
      </c>
      <c r="H47" s="53" t="str">
        <f>_xll.ESQuote($G47,_xll.ESFldID(H$2))</f>
        <v/>
      </c>
      <c r="I47" s="17" t="str">
        <f>_xll.ESQuote($G47,_xll.ESFldID(I$2))</f>
        <v/>
      </c>
      <c r="J47" s="54" t="str">
        <f>_xll.ESQuote($G47,_xll.ESFldID(J$2))</f>
        <v/>
      </c>
      <c r="K47" s="52" t="str">
        <f>IF(OR(ISBLANK(L47), L47=""),"", MAX(K$2:K46)+1)</f>
        <v/>
      </c>
      <c r="L47" s="17" t="str">
        <f>IF(ISBLANK(Monitoring!$B47), "",Monitoring!$B47)</f>
        <v/>
      </c>
      <c r="M47" s="53" t="str">
        <f>_xll.ESQuote($L47,_xll.ESFldID(M$2))</f>
        <v/>
      </c>
      <c r="N47" s="17" t="str">
        <f>_xll.ESQuote($L47,_xll.ESFldID(N$2))</f>
        <v/>
      </c>
      <c r="O47" s="54" t="str">
        <f>_xll.ESQuote($L47,_xll.ESFldID(O$2))</f>
        <v/>
      </c>
      <c r="P47" s="52" t="str">
        <f>IF(OR(ISBLANK(Q47), Q47=""),"", MAX(P$2:P46)+1)</f>
        <v/>
      </c>
      <c r="S47" s="16"/>
      <c r="T47" s="53" t="str">
        <f>_xll.ESHistD($Q47,_xll.ESFldID(T$2,"D"),"D",$S47)</f>
        <v/>
      </c>
      <c r="U47" s="53" t="str">
        <f>_xll.ESHistD($Q47,_xll.ESFldID(U$2,"D"),"D",$S47)</f>
        <v/>
      </c>
      <c r="V47" s="53" t="str">
        <f>_xll.ESHistD($Q47,_xll.ESFldID(V$2,"D"),"D",$S47)</f>
        <v/>
      </c>
      <c r="W47" s="53" t="str">
        <f>_xll.ESHistD($Q47,_xll.ESFldID(W$2,"D"),"D",$S47)</f>
        <v/>
      </c>
      <c r="X47" s="22" t="str">
        <f>_xll.ESHistD($Q47,_xll.ESFldID(X$2,"D"),"D",$S47)</f>
        <v/>
      </c>
      <c r="Y47" s="55" t="str">
        <f t="shared" si="0"/>
        <v/>
      </c>
      <c r="Z47" s="53" t="str">
        <f ca="1">_xll.ESHistD($Q47,_xll.ESFldID(Z$2,"D"),"D",$AC$1)</f>
        <v/>
      </c>
      <c r="AA47" s="53" t="str">
        <f ca="1">_xll.ESHistD($Q47,_xll.ESFldID(AA$2,"D"),"D",$AC$1)</f>
        <v/>
      </c>
      <c r="AB47" s="53" t="str">
        <f ca="1">_xll.ESHistD($Q47,_xll.ESFldID(AB$2,"D"),"D",$AC$1)</f>
        <v/>
      </c>
      <c r="AC47" s="53" t="str">
        <f ca="1">_xll.ESHistD($Q47,_xll.ESFldID(AC$2,"D"),"D",$AC$1)</f>
        <v/>
      </c>
      <c r="AD47" s="22" t="str">
        <f ca="1">_xll.ESHistD($Q47,_xll.ESFldID(AD$2,"D"),"D",$AC$1)</f>
        <v/>
      </c>
    </row>
    <row r="48" spans="1:30" x14ac:dyDescent="0.25">
      <c r="A48" s="52" t="str">
        <f>IF(OR(ISBLANK(B48), B48=""),"", MAX(A$2:A47)+1)</f>
        <v/>
      </c>
      <c r="B48" s="17" t="str">
        <f>IF(ISBLANK(Reporting!$B48), "", Reporting!$B48)</f>
        <v/>
      </c>
      <c r="C48" s="53" t="str">
        <f>_xll.ESQuote($B48,_xll.ESFldID(C$2))</f>
        <v/>
      </c>
      <c r="D48" s="17" t="str">
        <f>_xll.ESQuote($B48,_xll.ESFldID(D$2))</f>
        <v/>
      </c>
      <c r="E48" s="54" t="str">
        <f>_xll.ESQuote($B48,_xll.ESFldID(E$2))</f>
        <v/>
      </c>
      <c r="F48" s="52" t="str">
        <f>IF(OR(ISBLANK(G48), G48=""),"", MAX(F$2:F47)+1)</f>
        <v/>
      </c>
      <c r="G48" s="17" t="str">
        <f>IF(ISBLANK(Existing!$B48), "", Existing!$B48)</f>
        <v/>
      </c>
      <c r="H48" s="53" t="str">
        <f>_xll.ESQuote($G48,_xll.ESFldID(H$2))</f>
        <v/>
      </c>
      <c r="I48" s="17" t="str">
        <f>_xll.ESQuote($G48,_xll.ESFldID(I$2))</f>
        <v/>
      </c>
      <c r="J48" s="54" t="str">
        <f>_xll.ESQuote($G48,_xll.ESFldID(J$2))</f>
        <v/>
      </c>
      <c r="K48" s="52" t="str">
        <f>IF(OR(ISBLANK(L48), L48=""),"", MAX(K$2:K47)+1)</f>
        <v/>
      </c>
      <c r="L48" s="17" t="str">
        <f>IF(ISBLANK(Monitoring!$B48), "",Monitoring!$B48)</f>
        <v/>
      </c>
      <c r="M48" s="53" t="str">
        <f>_xll.ESQuote($L48,_xll.ESFldID(M$2))</f>
        <v/>
      </c>
      <c r="N48" s="17" t="str">
        <f>_xll.ESQuote($L48,_xll.ESFldID(N$2))</f>
        <v/>
      </c>
      <c r="O48" s="54" t="str">
        <f>_xll.ESQuote($L48,_xll.ESFldID(O$2))</f>
        <v/>
      </c>
      <c r="P48" s="52" t="str">
        <f>IF(OR(ISBLANK(Q48), Q48=""),"", MAX(P$2:P47)+1)</f>
        <v/>
      </c>
      <c r="S48" s="16"/>
      <c r="T48" s="53" t="str">
        <f>_xll.ESHistD($Q48,_xll.ESFldID(T$2,"D"),"D",$S48)</f>
        <v/>
      </c>
      <c r="U48" s="53" t="str">
        <f>_xll.ESHistD($Q48,_xll.ESFldID(U$2,"D"),"D",$S48)</f>
        <v/>
      </c>
      <c r="V48" s="53" t="str">
        <f>_xll.ESHistD($Q48,_xll.ESFldID(V$2,"D"),"D",$S48)</f>
        <v/>
      </c>
      <c r="W48" s="53" t="str">
        <f>_xll.ESHistD($Q48,_xll.ESFldID(W$2,"D"),"D",$S48)</f>
        <v/>
      </c>
      <c r="X48" s="22" t="str">
        <f>_xll.ESHistD($Q48,_xll.ESFldID(X$2,"D"),"D",$S48)</f>
        <v/>
      </c>
      <c r="Y48" s="55" t="str">
        <f t="shared" si="0"/>
        <v/>
      </c>
      <c r="Z48" s="53" t="str">
        <f ca="1">_xll.ESHistD($Q48,_xll.ESFldID(Z$2,"D"),"D",$AC$1)</f>
        <v/>
      </c>
      <c r="AA48" s="53" t="str">
        <f ca="1">_xll.ESHistD($Q48,_xll.ESFldID(AA$2,"D"),"D",$AC$1)</f>
        <v/>
      </c>
      <c r="AB48" s="53" t="str">
        <f ca="1">_xll.ESHistD($Q48,_xll.ESFldID(AB$2,"D"),"D",$AC$1)</f>
        <v/>
      </c>
      <c r="AC48" s="53" t="str">
        <f ca="1">_xll.ESHistD($Q48,_xll.ESFldID(AC$2,"D"),"D",$AC$1)</f>
        <v/>
      </c>
      <c r="AD48" s="22" t="str">
        <f ca="1">_xll.ESHistD($Q48,_xll.ESFldID(AD$2,"D"),"D",$AC$1)</f>
        <v/>
      </c>
    </row>
    <row r="49" spans="1:30" x14ac:dyDescent="0.25">
      <c r="A49" s="52" t="str">
        <f>IF(OR(ISBLANK(B49), B49=""),"", MAX(A$2:A48)+1)</f>
        <v/>
      </c>
      <c r="B49" s="17" t="str">
        <f>IF(ISBLANK(Reporting!$B49), "", Reporting!$B49)</f>
        <v/>
      </c>
      <c r="C49" s="53" t="str">
        <f>_xll.ESQuote($B49,_xll.ESFldID(C$2))</f>
        <v/>
      </c>
      <c r="D49" s="17" t="str">
        <f>_xll.ESQuote($B49,_xll.ESFldID(D$2))</f>
        <v/>
      </c>
      <c r="E49" s="54" t="str">
        <f>_xll.ESQuote($B49,_xll.ESFldID(E$2))</f>
        <v/>
      </c>
      <c r="F49" s="52" t="str">
        <f>IF(OR(ISBLANK(G49), G49=""),"", MAX(F$2:F48)+1)</f>
        <v/>
      </c>
      <c r="G49" s="17" t="str">
        <f>IF(ISBLANK(Existing!$B49), "", Existing!$B49)</f>
        <v/>
      </c>
      <c r="H49" s="53" t="str">
        <f>_xll.ESQuote($G49,_xll.ESFldID(H$2))</f>
        <v/>
      </c>
      <c r="I49" s="17" t="str">
        <f>_xll.ESQuote($G49,_xll.ESFldID(I$2))</f>
        <v/>
      </c>
      <c r="J49" s="54" t="str">
        <f>_xll.ESQuote($G49,_xll.ESFldID(J$2))</f>
        <v/>
      </c>
      <c r="K49" s="52" t="str">
        <f>IF(OR(ISBLANK(L49), L49=""),"", MAX(K$2:K48)+1)</f>
        <v/>
      </c>
      <c r="L49" s="17" t="str">
        <f>IF(ISBLANK(Monitoring!$B49), "",Monitoring!$B49)</f>
        <v/>
      </c>
      <c r="M49" s="53" t="str">
        <f>_xll.ESQuote($L49,_xll.ESFldID(M$2))</f>
        <v/>
      </c>
      <c r="N49" s="17" t="str">
        <f>_xll.ESQuote($L49,_xll.ESFldID(N$2))</f>
        <v/>
      </c>
      <c r="O49" s="54" t="str">
        <f>_xll.ESQuote($L49,_xll.ESFldID(O$2))</f>
        <v/>
      </c>
      <c r="P49" s="52" t="str">
        <f>IF(OR(ISBLANK(Q49), Q49=""),"", MAX(P$2:P48)+1)</f>
        <v/>
      </c>
      <c r="S49" s="16"/>
      <c r="T49" s="53" t="str">
        <f>_xll.ESHistD($Q49,_xll.ESFldID(T$2,"D"),"D",$S49)</f>
        <v/>
      </c>
      <c r="U49" s="53" t="str">
        <f>_xll.ESHistD($Q49,_xll.ESFldID(U$2,"D"),"D",$S49)</f>
        <v/>
      </c>
      <c r="V49" s="53" t="str">
        <f>_xll.ESHistD($Q49,_xll.ESFldID(V$2,"D"),"D",$S49)</f>
        <v/>
      </c>
      <c r="W49" s="53" t="str">
        <f>_xll.ESHistD($Q49,_xll.ESFldID(W$2,"D"),"D",$S49)</f>
        <v/>
      </c>
      <c r="X49" s="22" t="str">
        <f>_xll.ESHistD($Q49,_xll.ESFldID(X$2,"D"),"D",$S49)</f>
        <v/>
      </c>
      <c r="Y49" s="55" t="str">
        <f t="shared" si="0"/>
        <v/>
      </c>
      <c r="Z49" s="53" t="str">
        <f ca="1">_xll.ESHistD($Q49,_xll.ESFldID(Z$2,"D"),"D",$AC$1)</f>
        <v/>
      </c>
      <c r="AA49" s="53" t="str">
        <f ca="1">_xll.ESHistD($Q49,_xll.ESFldID(AA$2,"D"),"D",$AC$1)</f>
        <v/>
      </c>
      <c r="AB49" s="53" t="str">
        <f ca="1">_xll.ESHistD($Q49,_xll.ESFldID(AB$2,"D"),"D",$AC$1)</f>
        <v/>
      </c>
      <c r="AC49" s="53" t="str">
        <f ca="1">_xll.ESHistD($Q49,_xll.ESFldID(AC$2,"D"),"D",$AC$1)</f>
        <v/>
      </c>
      <c r="AD49" s="22" t="str">
        <f ca="1">_xll.ESHistD($Q49,_xll.ESFldID(AD$2,"D"),"D",$AC$1)</f>
        <v/>
      </c>
    </row>
    <row r="50" spans="1:30" x14ac:dyDescent="0.25">
      <c r="A50" s="52" t="str">
        <f>IF(OR(ISBLANK(B50), B50=""),"", MAX(A$2:A49)+1)</f>
        <v/>
      </c>
      <c r="B50" s="17" t="str">
        <f>IF(ISBLANK(Reporting!$B50), "", Reporting!$B50)</f>
        <v/>
      </c>
      <c r="C50" s="53" t="str">
        <f>_xll.ESQuote($B50,_xll.ESFldID(C$2))</f>
        <v/>
      </c>
      <c r="D50" s="17" t="str">
        <f>_xll.ESQuote($B50,_xll.ESFldID(D$2))</f>
        <v/>
      </c>
      <c r="E50" s="54" t="str">
        <f>_xll.ESQuote($B50,_xll.ESFldID(E$2))</f>
        <v/>
      </c>
      <c r="F50" s="52" t="str">
        <f>IF(OR(ISBLANK(G50), G50=""),"", MAX(F$2:F49)+1)</f>
        <v/>
      </c>
      <c r="G50" s="17" t="str">
        <f>IF(ISBLANK(Existing!$B50), "", Existing!$B50)</f>
        <v/>
      </c>
      <c r="H50" s="53" t="str">
        <f>_xll.ESQuote($G50,_xll.ESFldID(H$2))</f>
        <v/>
      </c>
      <c r="I50" s="17" t="str">
        <f>_xll.ESQuote($G50,_xll.ESFldID(I$2))</f>
        <v/>
      </c>
      <c r="J50" s="54" t="str">
        <f>_xll.ESQuote($G50,_xll.ESFldID(J$2))</f>
        <v/>
      </c>
      <c r="K50" s="52" t="str">
        <f>IF(OR(ISBLANK(L50), L50=""),"", MAX(K$2:K49)+1)</f>
        <v/>
      </c>
      <c r="L50" s="17" t="str">
        <f>IF(ISBLANK(Monitoring!$B50), "",Monitoring!$B50)</f>
        <v/>
      </c>
      <c r="M50" s="53" t="str">
        <f>_xll.ESQuote($L50,_xll.ESFldID(M$2))</f>
        <v/>
      </c>
      <c r="N50" s="17" t="str">
        <f>_xll.ESQuote($L50,_xll.ESFldID(N$2))</f>
        <v/>
      </c>
      <c r="O50" s="54" t="str">
        <f>_xll.ESQuote($L50,_xll.ESFldID(O$2))</f>
        <v/>
      </c>
      <c r="P50" s="52" t="str">
        <f>IF(OR(ISBLANK(Q50), Q50=""),"", MAX(P$2:P49)+1)</f>
        <v/>
      </c>
      <c r="S50" s="16"/>
      <c r="T50" s="53" t="str">
        <f>_xll.ESHistD($Q50,_xll.ESFldID(T$2,"D"),"D",$S50)</f>
        <v/>
      </c>
      <c r="U50" s="53" t="str">
        <f>_xll.ESHistD($Q50,_xll.ESFldID(U$2,"D"),"D",$S50)</f>
        <v/>
      </c>
      <c r="V50" s="53" t="str">
        <f>_xll.ESHistD($Q50,_xll.ESFldID(V$2,"D"),"D",$S50)</f>
        <v/>
      </c>
      <c r="W50" s="53" t="str">
        <f>_xll.ESHistD($Q50,_xll.ESFldID(W$2,"D"),"D",$S50)</f>
        <v/>
      </c>
      <c r="X50" s="22" t="str">
        <f>_xll.ESHistD($Q50,_xll.ESFldID(X$2,"D"),"D",$S50)</f>
        <v/>
      </c>
      <c r="Y50" s="55" t="str">
        <f t="shared" si="0"/>
        <v/>
      </c>
      <c r="Z50" s="53" t="str">
        <f ca="1">_xll.ESHistD($Q50,_xll.ESFldID(Z$2,"D"),"D",$AC$1)</f>
        <v/>
      </c>
      <c r="AA50" s="53" t="str">
        <f ca="1">_xll.ESHistD($Q50,_xll.ESFldID(AA$2,"D"),"D",$AC$1)</f>
        <v/>
      </c>
      <c r="AB50" s="53" t="str">
        <f ca="1">_xll.ESHistD($Q50,_xll.ESFldID(AB$2,"D"),"D",$AC$1)</f>
        <v/>
      </c>
      <c r="AC50" s="53" t="str">
        <f ca="1">_xll.ESHistD($Q50,_xll.ESFldID(AC$2,"D"),"D",$AC$1)</f>
        <v/>
      </c>
      <c r="AD50" s="22" t="str">
        <f ca="1">_xll.ESHistD($Q50,_xll.ESFldID(AD$2,"D"),"D",$AC$1)</f>
        <v/>
      </c>
    </row>
    <row r="51" spans="1:30" x14ac:dyDescent="0.25">
      <c r="B51" s="17" t="str">
        <f>IF(ISBLANK(Reporting!$B51), "", Reporting!$B51)</f>
        <v/>
      </c>
      <c r="C51" s="53" t="str">
        <f>_xll.ESQuote($B51,_xll.ESFldID(C$2))</f>
        <v/>
      </c>
      <c r="D51" s="17" t="str">
        <f>_xll.ESQuote($B51,_xll.ESFldID(D$2))</f>
        <v/>
      </c>
      <c r="E51" s="54" t="str">
        <f>_xll.ESQuote($B51,_xll.ESFldID(E$2))</f>
        <v/>
      </c>
      <c r="L51" s="17" t="str">
        <f>IF(ISBLANK(Monitoring!$B51), "",Monitoring!$B51)</f>
        <v/>
      </c>
      <c r="M51" s="53" t="str">
        <f>_xll.ESQuote($L51,_xll.ESFldID(M$2))</f>
        <v/>
      </c>
      <c r="N51" s="17" t="str">
        <f>_xll.ESQuote($L51,_xll.ESFldID(N$2))</f>
        <v/>
      </c>
      <c r="O51" s="54" t="str">
        <f>_xll.ESQuote($L51,_xll.ESFldID(O$2))</f>
        <v/>
      </c>
      <c r="P51" s="52" t="str">
        <f>IF(OR(ISBLANK(Q51), Q51=""),"", MAX(P$2:P50)+1)</f>
        <v/>
      </c>
      <c r="S51" s="16"/>
      <c r="T51" s="53" t="str">
        <f>_xll.ESHistD($Q51,_xll.ESFldID(T$2,"D"),"D",$S51)</f>
        <v/>
      </c>
      <c r="U51" s="53" t="str">
        <f>_xll.ESHistD($Q51,_xll.ESFldID(U$2,"D"),"D",$S51)</f>
        <v/>
      </c>
      <c r="V51" s="53" t="str">
        <f>_xll.ESHistD($Q51,_xll.ESFldID(V$2,"D"),"D",$S51)</f>
        <v/>
      </c>
      <c r="W51" s="53" t="str">
        <f>_xll.ESHistD($Q51,_xll.ESFldID(W$2,"D"),"D",$S51)</f>
        <v/>
      </c>
      <c r="X51" s="22" t="str">
        <f>_xll.ESHistD($Q51,_xll.ESFldID(X$2,"D"),"D",$S51)</f>
        <v/>
      </c>
      <c r="Y51" s="55" t="str">
        <f t="shared" si="0"/>
        <v/>
      </c>
      <c r="Z51" s="53" t="str">
        <f ca="1">_xll.ESHistD($Q51,_xll.ESFldID(Z$2,"D"),"D",$AC$1)</f>
        <v/>
      </c>
      <c r="AA51" s="53" t="str">
        <f ca="1">_xll.ESHistD($Q51,_xll.ESFldID(AA$2,"D"),"D",$AC$1)</f>
        <v/>
      </c>
      <c r="AB51" s="53" t="str">
        <f ca="1">_xll.ESHistD($Q51,_xll.ESFldID(AB$2,"D"),"D",$AC$1)</f>
        <v/>
      </c>
      <c r="AC51" s="53" t="str">
        <f ca="1">_xll.ESHistD($Q51,_xll.ESFldID(AC$2,"D"),"D",$AC$1)</f>
        <v/>
      </c>
      <c r="AD51" s="22" t="str">
        <f ca="1">_xll.ESHistD($Q51,_xll.ESFldID(AD$2,"D"),"D",$AC$1)</f>
        <v/>
      </c>
    </row>
    <row r="52" spans="1:30" x14ac:dyDescent="0.25">
      <c r="B52" s="17" t="str">
        <f>IF(ISBLANK(Reporting!$B52), "", Reporting!$B52)</f>
        <v/>
      </c>
      <c r="C52" s="53" t="str">
        <f>_xll.ESQuote($B52,_xll.ESFldID(C$2))</f>
        <v/>
      </c>
      <c r="D52" s="17" t="str">
        <f>_xll.ESQuote($B52,_xll.ESFldID(D$2))</f>
        <v/>
      </c>
      <c r="E52" s="54" t="str">
        <f>_xll.ESQuote($B52,_xll.ESFldID(E$2))</f>
        <v/>
      </c>
      <c r="L52" s="17" t="str">
        <f>IF(ISBLANK(Monitoring!$B52), "",Monitoring!$B52)</f>
        <v/>
      </c>
      <c r="M52" s="53" t="str">
        <f>_xll.ESQuote($L52,_xll.ESFldID(M$2))</f>
        <v/>
      </c>
      <c r="N52" s="17" t="str">
        <f>_xll.ESQuote($L52,_xll.ESFldID(N$2))</f>
        <v/>
      </c>
      <c r="O52" s="54" t="str">
        <f>_xll.ESQuote($L52,_xll.ESFldID(O$2))</f>
        <v/>
      </c>
      <c r="P52" s="52" t="str">
        <f>IF(OR(ISBLANK(Q52), Q52=""),"", MAX(P$2:P51)+1)</f>
        <v/>
      </c>
      <c r="S52" s="16"/>
      <c r="T52" s="53" t="str">
        <f>_xll.ESHistD($Q52,_xll.ESFldID(T$2,"D"),"D",$S52)</f>
        <v/>
      </c>
      <c r="U52" s="53" t="str">
        <f>_xll.ESHistD($Q52,_xll.ESFldID(U$2,"D"),"D",$S52)</f>
        <v/>
      </c>
      <c r="V52" s="53" t="str">
        <f>_xll.ESHistD($Q52,_xll.ESFldID(V$2,"D"),"D",$S52)</f>
        <v/>
      </c>
      <c r="W52" s="53" t="str">
        <f>_xll.ESHistD($Q52,_xll.ESFldID(W$2,"D"),"D",$S52)</f>
        <v/>
      </c>
      <c r="X52" s="22" t="str">
        <f>_xll.ESHistD($Q52,_xll.ESFldID(X$2,"D"),"D",$S52)</f>
        <v/>
      </c>
      <c r="Y52" s="55" t="str">
        <f t="shared" si="0"/>
        <v/>
      </c>
      <c r="Z52" s="53" t="str">
        <f ca="1">_xll.ESHistD($Q52,_xll.ESFldID(Z$2,"D"),"D",$AC$1)</f>
        <v/>
      </c>
      <c r="AA52" s="53" t="str">
        <f ca="1">_xll.ESHistD($Q52,_xll.ESFldID(AA$2,"D"),"D",$AC$1)</f>
        <v/>
      </c>
      <c r="AB52" s="53" t="str">
        <f ca="1">_xll.ESHistD($Q52,_xll.ESFldID(AB$2,"D"),"D",$AC$1)</f>
        <v/>
      </c>
      <c r="AC52" s="53" t="str">
        <f ca="1">_xll.ESHistD($Q52,_xll.ESFldID(AC$2,"D"),"D",$AC$1)</f>
        <v/>
      </c>
      <c r="AD52" s="22" t="str">
        <f ca="1">_xll.ESHistD($Q52,_xll.ESFldID(AD$2,"D"),"D",$AC$1)</f>
        <v/>
      </c>
    </row>
    <row r="53" spans="1:30" x14ac:dyDescent="0.25">
      <c r="B53" s="17" t="str">
        <f>IF(ISBLANK(Reporting!$B53), "", Reporting!$B53)</f>
        <v/>
      </c>
      <c r="C53" s="53" t="str">
        <f>_xll.ESQuote($B53,_xll.ESFldID(C$2))</f>
        <v/>
      </c>
      <c r="D53" s="17" t="str">
        <f>_xll.ESQuote($B53,_xll.ESFldID(D$2))</f>
        <v/>
      </c>
      <c r="E53" s="54" t="str">
        <f>_xll.ESQuote($B53,_xll.ESFldID(E$2))</f>
        <v/>
      </c>
      <c r="L53" s="17" t="str">
        <f>IF(ISBLANK(Monitoring!$B53), "",Monitoring!$B53)</f>
        <v/>
      </c>
      <c r="M53" s="53" t="str">
        <f>_xll.ESQuote($L53,_xll.ESFldID(M$2))</f>
        <v/>
      </c>
      <c r="N53" s="17" t="str">
        <f>_xll.ESQuote($L53,_xll.ESFldID(N$2))</f>
        <v/>
      </c>
      <c r="O53" s="54" t="str">
        <f>_xll.ESQuote($L53,_xll.ESFldID(O$2))</f>
        <v/>
      </c>
      <c r="P53" s="52" t="str">
        <f>IF(OR(ISBLANK(Q53), Q53=""),"", MAX(P$2:P52)+1)</f>
        <v/>
      </c>
      <c r="S53" s="16"/>
      <c r="T53" s="53" t="str">
        <f>_xll.ESHistD($Q53,_xll.ESFldID(T$2,"D"),"D",$S53)</f>
        <v/>
      </c>
      <c r="U53" s="53" t="str">
        <f>_xll.ESHistD($Q53,_xll.ESFldID(U$2,"D"),"D",$S53)</f>
        <v/>
      </c>
      <c r="V53" s="53" t="str">
        <f>_xll.ESHistD($Q53,_xll.ESFldID(V$2,"D"),"D",$S53)</f>
        <v/>
      </c>
      <c r="W53" s="53" t="str">
        <f>_xll.ESHistD($Q53,_xll.ESFldID(W$2,"D"),"D",$S53)</f>
        <v/>
      </c>
      <c r="X53" s="22" t="str">
        <f>_xll.ESHistD($Q53,_xll.ESFldID(X$2,"D"),"D",$S53)</f>
        <v/>
      </c>
      <c r="Y53" s="55" t="str">
        <f t="shared" si="0"/>
        <v/>
      </c>
      <c r="Z53" s="53" t="str">
        <f ca="1">_xll.ESHistD($Q53,_xll.ESFldID(Z$2,"D"),"D",$AC$1)</f>
        <v/>
      </c>
      <c r="AA53" s="53" t="str">
        <f ca="1">_xll.ESHistD($Q53,_xll.ESFldID(AA$2,"D"),"D",$AC$1)</f>
        <v/>
      </c>
      <c r="AB53" s="53" t="str">
        <f ca="1">_xll.ESHistD($Q53,_xll.ESFldID(AB$2,"D"),"D",$AC$1)</f>
        <v/>
      </c>
      <c r="AC53" s="53" t="str">
        <f ca="1">_xll.ESHistD($Q53,_xll.ESFldID(AC$2,"D"),"D",$AC$1)</f>
        <v/>
      </c>
      <c r="AD53" s="22" t="str">
        <f ca="1">_xll.ESHistD($Q53,_xll.ESFldID(AD$2,"D"),"D",$AC$1)</f>
        <v/>
      </c>
    </row>
    <row r="54" spans="1:30" x14ac:dyDescent="0.25">
      <c r="B54" s="17" t="str">
        <f>IF(ISBLANK(Reporting!$B54), "", Reporting!$B54)</f>
        <v/>
      </c>
      <c r="C54" s="53" t="str">
        <f>_xll.ESQuote($B54,_xll.ESFldID(C$2))</f>
        <v/>
      </c>
      <c r="D54" s="17" t="str">
        <f>_xll.ESQuote($B54,_xll.ESFldID(D$2))</f>
        <v/>
      </c>
      <c r="E54" s="54" t="str">
        <f>_xll.ESQuote($B54,_xll.ESFldID(E$2))</f>
        <v/>
      </c>
      <c r="L54" s="17" t="str">
        <f>IF(ISBLANK(Monitoring!$B54), "",Monitoring!$B54)</f>
        <v/>
      </c>
      <c r="M54" s="53" t="str">
        <f>_xll.ESQuote($L54,_xll.ESFldID(M$2))</f>
        <v/>
      </c>
      <c r="N54" s="17" t="str">
        <f>_xll.ESQuote($L54,_xll.ESFldID(N$2))</f>
        <v/>
      </c>
      <c r="O54" s="54" t="str">
        <f>_xll.ESQuote($L54,_xll.ESFldID(O$2))</f>
        <v/>
      </c>
      <c r="P54" s="52" t="str">
        <f>IF(OR(ISBLANK(Q54), Q54=""),"", MAX(P$2:P53)+1)</f>
        <v/>
      </c>
      <c r="S54" s="16"/>
      <c r="T54" s="53" t="str">
        <f>_xll.ESHistD($Q54,_xll.ESFldID(T$2,"D"),"D",$S54)</f>
        <v/>
      </c>
      <c r="U54" s="53" t="str">
        <f>_xll.ESHistD($Q54,_xll.ESFldID(U$2,"D"),"D",$S54)</f>
        <v/>
      </c>
      <c r="V54" s="53" t="str">
        <f>_xll.ESHistD($Q54,_xll.ESFldID(V$2,"D"),"D",$S54)</f>
        <v/>
      </c>
      <c r="W54" s="53" t="str">
        <f>_xll.ESHistD($Q54,_xll.ESFldID(W$2,"D"),"D",$S54)</f>
        <v/>
      </c>
      <c r="X54" s="22" t="str">
        <f>_xll.ESHistD($Q54,_xll.ESFldID(X$2,"D"),"D",$S54)</f>
        <v/>
      </c>
      <c r="Y54" s="55" t="str">
        <f t="shared" si="0"/>
        <v/>
      </c>
      <c r="Z54" s="53" t="str">
        <f ca="1">_xll.ESHistD($Q54,_xll.ESFldID(Z$2,"D"),"D",$AC$1)</f>
        <v/>
      </c>
      <c r="AA54" s="53" t="str">
        <f ca="1">_xll.ESHistD($Q54,_xll.ESFldID(AA$2,"D"),"D",$AC$1)</f>
        <v/>
      </c>
      <c r="AB54" s="53" t="str">
        <f ca="1">_xll.ESHistD($Q54,_xll.ESFldID(AB$2,"D"),"D",$AC$1)</f>
        <v/>
      </c>
      <c r="AC54" s="53" t="str">
        <f ca="1">_xll.ESHistD($Q54,_xll.ESFldID(AC$2,"D"),"D",$AC$1)</f>
        <v/>
      </c>
      <c r="AD54" s="22" t="str">
        <f ca="1">_xll.ESHistD($Q54,_xll.ESFldID(AD$2,"D"),"D",$AC$1)</f>
        <v/>
      </c>
    </row>
    <row r="55" spans="1:30" x14ac:dyDescent="0.25">
      <c r="B55" s="17" t="str">
        <f>IF(ISBLANK(Reporting!$B55), "", Reporting!$B55)</f>
        <v/>
      </c>
      <c r="C55" s="53" t="str">
        <f>_xll.ESQuote($B55,_xll.ESFldID(C$2))</f>
        <v/>
      </c>
      <c r="D55" s="17" t="str">
        <f>_xll.ESQuote($B55,_xll.ESFldID(D$2))</f>
        <v/>
      </c>
      <c r="E55" s="54" t="str">
        <f>_xll.ESQuote($B55,_xll.ESFldID(E$2))</f>
        <v/>
      </c>
      <c r="L55" s="17" t="str">
        <f>IF(ISBLANK(Monitoring!$B55), "",Monitoring!$B55)</f>
        <v/>
      </c>
      <c r="M55" s="53" t="str">
        <f>_xll.ESQuote($L55,_xll.ESFldID(M$2))</f>
        <v/>
      </c>
      <c r="N55" s="17" t="str">
        <f>_xll.ESQuote($L55,_xll.ESFldID(N$2))</f>
        <v/>
      </c>
      <c r="O55" s="54" t="str">
        <f>_xll.ESQuote($L55,_xll.ESFldID(O$2))</f>
        <v/>
      </c>
      <c r="P55" s="52" t="str">
        <f>IF(OR(ISBLANK(Q55), Q55=""),"", MAX(P$2:P54)+1)</f>
        <v/>
      </c>
      <c r="S55" s="16"/>
      <c r="T55" s="53" t="str">
        <f>_xll.ESHistD($Q55,_xll.ESFldID(T$2,"D"),"D",$S55)</f>
        <v/>
      </c>
      <c r="U55" s="53" t="str">
        <f>_xll.ESHistD($Q55,_xll.ESFldID(U$2,"D"),"D",$S55)</f>
        <v/>
      </c>
      <c r="V55" s="53" t="str">
        <f>_xll.ESHistD($Q55,_xll.ESFldID(V$2,"D"),"D",$S55)</f>
        <v/>
      </c>
      <c r="W55" s="53" t="str">
        <f>_xll.ESHistD($Q55,_xll.ESFldID(W$2,"D"),"D",$S55)</f>
        <v/>
      </c>
      <c r="X55" s="22" t="str">
        <f>_xll.ESHistD($Q55,_xll.ESFldID(X$2,"D"),"D",$S55)</f>
        <v/>
      </c>
      <c r="Y55" s="55" t="str">
        <f t="shared" si="0"/>
        <v/>
      </c>
      <c r="Z55" s="53" t="str">
        <f ca="1">_xll.ESHistD($Q55,_xll.ESFldID(Z$2,"D"),"D",$AC$1)</f>
        <v/>
      </c>
      <c r="AA55" s="53" t="str">
        <f ca="1">_xll.ESHistD($Q55,_xll.ESFldID(AA$2,"D"),"D",$AC$1)</f>
        <v/>
      </c>
      <c r="AB55" s="53" t="str">
        <f ca="1">_xll.ESHistD($Q55,_xll.ESFldID(AB$2,"D"),"D",$AC$1)</f>
        <v/>
      </c>
      <c r="AC55" s="53" t="str">
        <f ca="1">_xll.ESHistD($Q55,_xll.ESFldID(AC$2,"D"),"D",$AC$1)</f>
        <v/>
      </c>
      <c r="AD55" s="22" t="str">
        <f ca="1">_xll.ESHistD($Q55,_xll.ESFldID(AD$2,"D"),"D",$AC$1)</f>
        <v/>
      </c>
    </row>
    <row r="56" spans="1:30" x14ac:dyDescent="0.25">
      <c r="B56" s="17" t="str">
        <f>IF(ISBLANK(Reporting!$B56), "", Reporting!$B56)</f>
        <v/>
      </c>
      <c r="C56" s="53" t="str">
        <f>_xll.ESQuote($B56,_xll.ESFldID(C$2))</f>
        <v/>
      </c>
      <c r="D56" s="17" t="str">
        <f>_xll.ESQuote($B56,_xll.ESFldID(D$2))</f>
        <v/>
      </c>
      <c r="E56" s="54" t="str">
        <f>_xll.ESQuote($B56,_xll.ESFldID(E$2))</f>
        <v/>
      </c>
      <c r="L56" s="17" t="str">
        <f>IF(ISBLANK(Monitoring!$B56), "",Monitoring!$B56)</f>
        <v/>
      </c>
      <c r="M56" s="53" t="str">
        <f>_xll.ESQuote($L56,_xll.ESFldID(M$2))</f>
        <v/>
      </c>
      <c r="N56" s="17" t="str">
        <f>_xll.ESQuote($L56,_xll.ESFldID(N$2))</f>
        <v/>
      </c>
      <c r="O56" s="54" t="str">
        <f>_xll.ESQuote($L56,_xll.ESFldID(O$2))</f>
        <v/>
      </c>
      <c r="P56" s="52" t="str">
        <f>IF(OR(ISBLANK(Q56), Q56=""),"", MAX(P$2:P55)+1)</f>
        <v/>
      </c>
      <c r="S56" s="16"/>
      <c r="T56" s="53" t="str">
        <f>_xll.ESHistD($Q56,_xll.ESFldID(T$2,"D"),"D",$S56)</f>
        <v/>
      </c>
      <c r="U56" s="53" t="str">
        <f>_xll.ESHistD($Q56,_xll.ESFldID(U$2,"D"),"D",$S56)</f>
        <v/>
      </c>
      <c r="V56" s="53" t="str">
        <f>_xll.ESHistD($Q56,_xll.ESFldID(V$2,"D"),"D",$S56)</f>
        <v/>
      </c>
      <c r="W56" s="53" t="str">
        <f>_xll.ESHistD($Q56,_xll.ESFldID(W$2,"D"),"D",$S56)</f>
        <v/>
      </c>
      <c r="X56" s="22" t="str">
        <f>_xll.ESHistD($Q56,_xll.ESFldID(X$2,"D"),"D",$S56)</f>
        <v/>
      </c>
      <c r="Y56" s="55" t="str">
        <f t="shared" si="0"/>
        <v/>
      </c>
      <c r="Z56" s="53" t="str">
        <f ca="1">_xll.ESHistD($Q56,_xll.ESFldID(Z$2,"D"),"D",$AC$1)</f>
        <v/>
      </c>
      <c r="AA56" s="53" t="str">
        <f ca="1">_xll.ESHistD($Q56,_xll.ESFldID(AA$2,"D"),"D",$AC$1)</f>
        <v/>
      </c>
      <c r="AB56" s="53" t="str">
        <f ca="1">_xll.ESHistD($Q56,_xll.ESFldID(AB$2,"D"),"D",$AC$1)</f>
        <v/>
      </c>
      <c r="AC56" s="53" t="str">
        <f ca="1">_xll.ESHistD($Q56,_xll.ESFldID(AC$2,"D"),"D",$AC$1)</f>
        <v/>
      </c>
      <c r="AD56" s="22" t="str">
        <f ca="1">_xll.ESHistD($Q56,_xll.ESFldID(AD$2,"D"),"D",$AC$1)</f>
        <v/>
      </c>
    </row>
    <row r="57" spans="1:30" x14ac:dyDescent="0.25">
      <c r="P57" s="52" t="str">
        <f>IF(OR(ISBLANK(Q57), Q57=""),"", MAX(P$2:P56)+1)</f>
        <v/>
      </c>
      <c r="S57" s="16"/>
      <c r="T57" s="53" t="str">
        <f>_xll.ESHistD($Q57,_xll.ESFldID(T$2,"D"),"D",$S57)</f>
        <v/>
      </c>
      <c r="U57" s="53" t="str">
        <f>_xll.ESHistD($Q57,_xll.ESFldID(U$2,"D"),"D",$S57)</f>
        <v/>
      </c>
      <c r="V57" s="53" t="str">
        <f>_xll.ESHistD($Q57,_xll.ESFldID(V$2,"D"),"D",$S57)</f>
        <v/>
      </c>
      <c r="W57" s="53" t="str">
        <f>_xll.ESHistD($Q57,_xll.ESFldID(W$2,"D"),"D",$S57)</f>
        <v/>
      </c>
      <c r="X57" s="22" t="str">
        <f>_xll.ESHistD($Q57,_xll.ESFldID(X$2,"D"),"D",$S57)</f>
        <v/>
      </c>
      <c r="Y57" s="55" t="str">
        <f t="shared" si="0"/>
        <v/>
      </c>
      <c r="Z57" s="53" t="str">
        <f ca="1">_xll.ESHistD($Q57,_xll.ESFldID(Z$2,"D"),"D",$AC$1)</f>
        <v/>
      </c>
      <c r="AA57" s="53" t="str">
        <f ca="1">_xll.ESHistD($Q57,_xll.ESFldID(AA$2,"D"),"D",$AC$1)</f>
        <v/>
      </c>
      <c r="AB57" s="53" t="str">
        <f ca="1">_xll.ESHistD($Q57,_xll.ESFldID(AB$2,"D"),"D",$AC$1)</f>
        <v/>
      </c>
      <c r="AC57" s="53" t="str">
        <f ca="1">_xll.ESHistD($Q57,_xll.ESFldID(AC$2,"D"),"D",$AC$1)</f>
        <v/>
      </c>
      <c r="AD57" s="22" t="str">
        <f ca="1">_xll.ESHistD($Q57,_xll.ESFldID(AD$2,"D"),"D",$AC$1)</f>
        <v/>
      </c>
    </row>
    <row r="58" spans="1:30" x14ac:dyDescent="0.25">
      <c r="P58" s="52" t="str">
        <f>IF(OR(ISBLANK(Q58), Q58=""),"", MAX(P$2:P57)+1)</f>
        <v/>
      </c>
      <c r="S58" s="16"/>
      <c r="T58" s="53" t="str">
        <f>_xll.ESHistD($Q58,_xll.ESFldID(T$2,"D"),"D",$S58)</f>
        <v/>
      </c>
      <c r="U58" s="53" t="str">
        <f>_xll.ESHistD($Q58,_xll.ESFldID(U$2,"D"),"D",$S58)</f>
        <v/>
      </c>
      <c r="V58" s="53" t="str">
        <f>_xll.ESHistD($Q58,_xll.ESFldID(V$2,"D"),"D",$S58)</f>
        <v/>
      </c>
      <c r="W58" s="53" t="str">
        <f>_xll.ESHistD($Q58,_xll.ESFldID(W$2,"D"),"D",$S58)</f>
        <v/>
      </c>
      <c r="X58" s="22" t="str">
        <f>_xll.ESHistD($Q58,_xll.ESFldID(X$2,"D"),"D",$S58)</f>
        <v/>
      </c>
      <c r="Y58" s="55" t="str">
        <f t="shared" si="0"/>
        <v/>
      </c>
      <c r="Z58" s="53" t="str">
        <f ca="1">_xll.ESHistD($Q58,_xll.ESFldID(Z$2,"D"),"D",$AC$1)</f>
        <v/>
      </c>
      <c r="AA58" s="53" t="str">
        <f ca="1">_xll.ESHistD($Q58,_xll.ESFldID(AA$2,"D"),"D",$AC$1)</f>
        <v/>
      </c>
      <c r="AB58" s="53" t="str">
        <f ca="1">_xll.ESHistD($Q58,_xll.ESFldID(AB$2,"D"),"D",$AC$1)</f>
        <v/>
      </c>
      <c r="AC58" s="53" t="str">
        <f ca="1">_xll.ESHistD($Q58,_xll.ESFldID(AC$2,"D"),"D",$AC$1)</f>
        <v/>
      </c>
      <c r="AD58" s="22" t="str">
        <f ca="1">_xll.ESHistD($Q58,_xll.ESFldID(AD$2,"D"),"D",$AC$1)</f>
        <v/>
      </c>
    </row>
    <row r="59" spans="1:30" x14ac:dyDescent="0.25">
      <c r="P59" s="52" t="str">
        <f>IF(OR(ISBLANK(Q59), Q59=""),"", MAX(P$2:P58)+1)</f>
        <v/>
      </c>
      <c r="S59" s="16"/>
      <c r="T59" s="53" t="str">
        <f>_xll.ESHistD($Q59,_xll.ESFldID(T$2,"D"),"D",$S59)</f>
        <v/>
      </c>
      <c r="U59" s="53" t="str">
        <f>_xll.ESHistD($Q59,_xll.ESFldID(U$2,"D"),"D",$S59)</f>
        <v/>
      </c>
      <c r="V59" s="53" t="str">
        <f>_xll.ESHistD($Q59,_xll.ESFldID(V$2,"D"),"D",$S59)</f>
        <v/>
      </c>
      <c r="W59" s="53" t="str">
        <f>_xll.ESHistD($Q59,_xll.ESFldID(W$2,"D"),"D",$S59)</f>
        <v/>
      </c>
      <c r="X59" s="22" t="str">
        <f>_xll.ESHistD($Q59,_xll.ESFldID(X$2,"D"),"D",$S59)</f>
        <v/>
      </c>
      <c r="Y59" s="55" t="str">
        <f t="shared" si="0"/>
        <v/>
      </c>
      <c r="Z59" s="53" t="str">
        <f ca="1">_xll.ESHistD($Q59,_xll.ESFldID(Z$2,"D"),"D",$AC$1)</f>
        <v/>
      </c>
      <c r="AA59" s="53" t="str">
        <f ca="1">_xll.ESHistD($Q59,_xll.ESFldID(AA$2,"D"),"D",$AC$1)</f>
        <v/>
      </c>
      <c r="AB59" s="53" t="str">
        <f ca="1">_xll.ESHistD($Q59,_xll.ESFldID(AB$2,"D"),"D",$AC$1)</f>
        <v/>
      </c>
      <c r="AC59" s="53" t="str">
        <f ca="1">_xll.ESHistD($Q59,_xll.ESFldID(AC$2,"D"),"D",$AC$1)</f>
        <v/>
      </c>
      <c r="AD59" s="22" t="str">
        <f ca="1">_xll.ESHistD($Q59,_xll.ESFldID(AD$2,"D"),"D",$AC$1)</f>
        <v/>
      </c>
    </row>
    <row r="60" spans="1:30" x14ac:dyDescent="0.25">
      <c r="P60" s="52" t="str">
        <f>IF(OR(ISBLANK(Q60), Q60=""),"", MAX(P$2:P59)+1)</f>
        <v/>
      </c>
      <c r="S60" s="16"/>
      <c r="T60" s="53" t="str">
        <f>_xll.ESHistD($Q60,_xll.ESFldID(T$2,"D"),"D",$S60)</f>
        <v/>
      </c>
      <c r="U60" s="53" t="str">
        <f>_xll.ESHistD($Q60,_xll.ESFldID(U$2,"D"),"D",$S60)</f>
        <v/>
      </c>
      <c r="V60" s="53" t="str">
        <f>_xll.ESHistD($Q60,_xll.ESFldID(V$2,"D"),"D",$S60)</f>
        <v/>
      </c>
      <c r="W60" s="53" t="str">
        <f>_xll.ESHistD($Q60,_xll.ESFldID(W$2,"D"),"D",$S60)</f>
        <v/>
      </c>
      <c r="X60" s="22" t="str">
        <f>_xll.ESHistD($Q60,_xll.ESFldID(X$2,"D"),"D",$S60)</f>
        <v/>
      </c>
      <c r="Y60" s="55" t="str">
        <f t="shared" si="0"/>
        <v/>
      </c>
      <c r="Z60" s="53" t="str">
        <f ca="1">_xll.ESHistD($Q60,_xll.ESFldID(Z$2,"D"),"D",$AC$1)</f>
        <v/>
      </c>
      <c r="AA60" s="53" t="str">
        <f ca="1">_xll.ESHistD($Q60,_xll.ESFldID(AA$2,"D"),"D",$AC$1)</f>
        <v/>
      </c>
      <c r="AB60" s="53" t="str">
        <f ca="1">_xll.ESHistD($Q60,_xll.ESFldID(AB$2,"D"),"D",$AC$1)</f>
        <v/>
      </c>
      <c r="AC60" s="53" t="str">
        <f ca="1">_xll.ESHistD($Q60,_xll.ESFldID(AC$2,"D"),"D",$AC$1)</f>
        <v/>
      </c>
      <c r="AD60" s="22" t="str">
        <f ca="1">_xll.ESHistD($Q60,_xll.ESFldID(AD$2,"D"),"D",$AC$1)</f>
        <v/>
      </c>
    </row>
    <row r="61" spans="1:30" x14ac:dyDescent="0.25">
      <c r="P61" s="52" t="str">
        <f>IF(OR(ISBLANK(Q61), Q61=""),"", MAX(P$2:P60)+1)</f>
        <v/>
      </c>
      <c r="S61" s="16"/>
      <c r="T61" s="53" t="str">
        <f>_xll.ESHistD($Q61,_xll.ESFldID(T$2,"D"),"D",$S61)</f>
        <v/>
      </c>
      <c r="U61" s="53" t="str">
        <f>_xll.ESHistD($Q61,_xll.ESFldID(U$2,"D"),"D",$S61)</f>
        <v/>
      </c>
      <c r="V61" s="53" t="str">
        <f>_xll.ESHistD($Q61,_xll.ESFldID(V$2,"D"),"D",$S61)</f>
        <v/>
      </c>
      <c r="W61" s="53" t="str">
        <f>_xll.ESHistD($Q61,_xll.ESFldID(W$2,"D"),"D",$S61)</f>
        <v/>
      </c>
      <c r="X61" s="22" t="str">
        <f>_xll.ESHistD($Q61,_xll.ESFldID(X$2,"D"),"D",$S61)</f>
        <v/>
      </c>
      <c r="Y61" s="55" t="str">
        <f t="shared" si="0"/>
        <v/>
      </c>
      <c r="Z61" s="53" t="str">
        <f ca="1">_xll.ESHistD($Q61,_xll.ESFldID(Z$2,"D"),"D",$AC$1)</f>
        <v/>
      </c>
      <c r="AA61" s="53" t="str">
        <f ca="1">_xll.ESHistD($Q61,_xll.ESFldID(AA$2,"D"),"D",$AC$1)</f>
        <v/>
      </c>
      <c r="AB61" s="53" t="str">
        <f ca="1">_xll.ESHistD($Q61,_xll.ESFldID(AB$2,"D"),"D",$AC$1)</f>
        <v/>
      </c>
      <c r="AC61" s="53" t="str">
        <f ca="1">_xll.ESHistD($Q61,_xll.ESFldID(AC$2,"D"),"D",$AC$1)</f>
        <v/>
      </c>
      <c r="AD61" s="22" t="str">
        <f ca="1">_xll.ESHistD($Q61,_xll.ESFldID(AD$2,"D"),"D",$AC$1)</f>
        <v/>
      </c>
    </row>
    <row r="62" spans="1:30" x14ac:dyDescent="0.25">
      <c r="P62" s="52" t="str">
        <f>IF(OR(ISBLANK(Q62), Q62=""),"", MAX(P$2:P61)+1)</f>
        <v/>
      </c>
      <c r="S62" s="16"/>
      <c r="T62" s="53" t="str">
        <f>_xll.ESHistD($Q62,_xll.ESFldID(T$2,"D"),"D",$S62)</f>
        <v/>
      </c>
      <c r="U62" s="53" t="str">
        <f>_xll.ESHistD($Q62,_xll.ESFldID(U$2,"D"),"D",$S62)</f>
        <v/>
      </c>
      <c r="V62" s="53" t="str">
        <f>_xll.ESHistD($Q62,_xll.ESFldID(V$2,"D"),"D",$S62)</f>
        <v/>
      </c>
      <c r="W62" s="53" t="str">
        <f>_xll.ESHistD($Q62,_xll.ESFldID(W$2,"D"),"D",$S62)</f>
        <v/>
      </c>
      <c r="X62" s="22" t="str">
        <f>_xll.ESHistD($Q62,_xll.ESFldID(X$2,"D"),"D",$S62)</f>
        <v/>
      </c>
      <c r="Y62" s="55" t="str">
        <f t="shared" si="0"/>
        <v/>
      </c>
      <c r="Z62" s="53" t="str">
        <f ca="1">_xll.ESHistD($Q62,_xll.ESFldID(Z$2,"D"),"D",$AC$1)</f>
        <v/>
      </c>
      <c r="AA62" s="53" t="str">
        <f ca="1">_xll.ESHistD($Q62,_xll.ESFldID(AA$2,"D"),"D",$AC$1)</f>
        <v/>
      </c>
      <c r="AB62" s="53" t="str">
        <f ca="1">_xll.ESHistD($Q62,_xll.ESFldID(AB$2,"D"),"D",$AC$1)</f>
        <v/>
      </c>
      <c r="AC62" s="53" t="str">
        <f ca="1">_xll.ESHistD($Q62,_xll.ESFldID(AC$2,"D"),"D",$AC$1)</f>
        <v/>
      </c>
      <c r="AD62" s="22" t="str">
        <f ca="1">_xll.ESHistD($Q62,_xll.ESFldID(AD$2,"D"),"D",$AC$1)</f>
        <v/>
      </c>
    </row>
    <row r="63" spans="1:30" x14ac:dyDescent="0.25">
      <c r="P63" s="52" t="str">
        <f>IF(OR(ISBLANK(Q63), Q63=""),"", MAX(P$2:P62)+1)</f>
        <v/>
      </c>
      <c r="S63" s="16"/>
      <c r="T63" s="53" t="str">
        <f>_xll.ESHistD($Q63,_xll.ESFldID(T$2,"D"),"D",$S63)</f>
        <v/>
      </c>
      <c r="U63" s="53" t="str">
        <f>_xll.ESHistD($Q63,_xll.ESFldID(U$2,"D"),"D",$S63)</f>
        <v/>
      </c>
      <c r="V63" s="53" t="str">
        <f>_xll.ESHistD($Q63,_xll.ESFldID(V$2,"D"),"D",$S63)</f>
        <v/>
      </c>
      <c r="W63" s="53" t="str">
        <f>_xll.ESHistD($Q63,_xll.ESFldID(W$2,"D"),"D",$S63)</f>
        <v/>
      </c>
      <c r="X63" s="22" t="str">
        <f>_xll.ESHistD($Q63,_xll.ESFldID(X$2,"D"),"D",$S63)</f>
        <v/>
      </c>
      <c r="Y63" s="55" t="str">
        <f t="shared" si="0"/>
        <v/>
      </c>
      <c r="Z63" s="53" t="str">
        <f ca="1">_xll.ESHistD($Q63,_xll.ESFldID(Z$2,"D"),"D",$AC$1)</f>
        <v/>
      </c>
      <c r="AA63" s="53" t="str">
        <f ca="1">_xll.ESHistD($Q63,_xll.ESFldID(AA$2,"D"),"D",$AC$1)</f>
        <v/>
      </c>
      <c r="AB63" s="53" t="str">
        <f ca="1">_xll.ESHistD($Q63,_xll.ESFldID(AB$2,"D"),"D",$AC$1)</f>
        <v/>
      </c>
      <c r="AC63" s="53" t="str">
        <f ca="1">_xll.ESHistD($Q63,_xll.ESFldID(AC$2,"D"),"D",$AC$1)</f>
        <v/>
      </c>
      <c r="AD63" s="22" t="str">
        <f ca="1">_xll.ESHistD($Q63,_xll.ESFldID(AD$2,"D"),"D",$AC$1)</f>
        <v/>
      </c>
    </row>
    <row r="64" spans="1:30" x14ac:dyDescent="0.25">
      <c r="P64" s="52" t="str">
        <f>IF(OR(ISBLANK(Q64), Q64=""),"", MAX(P$2:P63)+1)</f>
        <v/>
      </c>
      <c r="S64" s="16"/>
      <c r="T64" s="53" t="str">
        <f>_xll.ESHistD($Q64,_xll.ESFldID(T$2,"D"),"D",$S64)</f>
        <v/>
      </c>
      <c r="U64" s="53" t="str">
        <f>_xll.ESHistD($Q64,_xll.ESFldID(U$2,"D"),"D",$S64)</f>
        <v/>
      </c>
      <c r="V64" s="53" t="str">
        <f>_xll.ESHistD($Q64,_xll.ESFldID(V$2,"D"),"D",$S64)</f>
        <v/>
      </c>
      <c r="W64" s="53" t="str">
        <f>_xll.ESHistD($Q64,_xll.ESFldID(W$2,"D"),"D",$S64)</f>
        <v/>
      </c>
      <c r="X64" s="22" t="str">
        <f>_xll.ESHistD($Q64,_xll.ESFldID(X$2,"D"),"D",$S64)</f>
        <v/>
      </c>
      <c r="Y64" s="55" t="str">
        <f t="shared" si="0"/>
        <v/>
      </c>
      <c r="Z64" s="53" t="str">
        <f ca="1">_xll.ESHistD($Q64,_xll.ESFldID(Z$2,"D"),"D",$AC$1)</f>
        <v/>
      </c>
      <c r="AA64" s="53" t="str">
        <f ca="1">_xll.ESHistD($Q64,_xll.ESFldID(AA$2,"D"),"D",$AC$1)</f>
        <v/>
      </c>
      <c r="AB64" s="53" t="str">
        <f ca="1">_xll.ESHistD($Q64,_xll.ESFldID(AB$2,"D"),"D",$AC$1)</f>
        <v/>
      </c>
      <c r="AC64" s="53" t="str">
        <f ca="1">_xll.ESHistD($Q64,_xll.ESFldID(AC$2,"D"),"D",$AC$1)</f>
        <v/>
      </c>
      <c r="AD64" s="22" t="str">
        <f ca="1">_xll.ESHistD($Q64,_xll.ESFldID(AD$2,"D"),"D",$AC$1)</f>
        <v/>
      </c>
    </row>
    <row r="65" spans="16:30" x14ac:dyDescent="0.25">
      <c r="P65" s="52" t="str">
        <f>IF(OR(ISBLANK(Q65), Q65=""),"", MAX(P$2:P64)+1)</f>
        <v/>
      </c>
      <c r="S65" s="16"/>
      <c r="T65" s="53" t="str">
        <f>_xll.ESHistD($Q65,_xll.ESFldID(T$2,"D"),"D",$S65)</f>
        <v/>
      </c>
      <c r="U65" s="53" t="str">
        <f>_xll.ESHistD($Q65,_xll.ESFldID(U$2,"D"),"D",$S65)</f>
        <v/>
      </c>
      <c r="V65" s="53" t="str">
        <f>_xll.ESHistD($Q65,_xll.ESFldID(V$2,"D"),"D",$S65)</f>
        <v/>
      </c>
      <c r="W65" s="53" t="str">
        <f>_xll.ESHistD($Q65,_xll.ESFldID(W$2,"D"),"D",$S65)</f>
        <v/>
      </c>
      <c r="X65" s="22" t="str">
        <f>_xll.ESHistD($Q65,_xll.ESFldID(X$2,"D"),"D",$S65)</f>
        <v/>
      </c>
      <c r="Y65" s="55" t="str">
        <f t="shared" si="0"/>
        <v/>
      </c>
      <c r="Z65" s="53" t="str">
        <f ca="1">_xll.ESHistD($Q65,_xll.ESFldID(Z$2,"D"),"D",$AC$1)</f>
        <v/>
      </c>
      <c r="AA65" s="53" t="str">
        <f ca="1">_xll.ESHistD($Q65,_xll.ESFldID(AA$2,"D"),"D",$AC$1)</f>
        <v/>
      </c>
      <c r="AB65" s="53" t="str">
        <f ca="1">_xll.ESHistD($Q65,_xll.ESFldID(AB$2,"D"),"D",$AC$1)</f>
        <v/>
      </c>
      <c r="AC65" s="53" t="str">
        <f ca="1">_xll.ESHistD($Q65,_xll.ESFldID(AC$2,"D"),"D",$AC$1)</f>
        <v/>
      </c>
      <c r="AD65" s="22" t="str">
        <f ca="1">_xll.ESHistD($Q65,_xll.ESFldID(AD$2,"D"),"D",$AC$1)</f>
        <v/>
      </c>
    </row>
    <row r="66" spans="16:30" x14ac:dyDescent="0.25">
      <c r="P66" s="52" t="str">
        <f>IF(OR(ISBLANK(Q66), Q66=""),"", MAX(P$2:P65)+1)</f>
        <v/>
      </c>
      <c r="S66" s="16"/>
      <c r="T66" s="53" t="str">
        <f>_xll.ESHistD($Q66,_xll.ESFldID(T$2,"D"),"D",$S66)</f>
        <v/>
      </c>
      <c r="U66" s="53" t="str">
        <f>_xll.ESHistD($Q66,_xll.ESFldID(U$2,"D"),"D",$S66)</f>
        <v/>
      </c>
      <c r="V66" s="53" t="str">
        <f>_xll.ESHistD($Q66,_xll.ESFldID(V$2,"D"),"D",$S66)</f>
        <v/>
      </c>
      <c r="W66" s="53" t="str">
        <f>_xll.ESHistD($Q66,_xll.ESFldID(W$2,"D"),"D",$S66)</f>
        <v/>
      </c>
      <c r="X66" s="22" t="str">
        <f>_xll.ESHistD($Q66,_xll.ESFldID(X$2,"D"),"D",$S66)</f>
        <v/>
      </c>
      <c r="Y66" s="55" t="str">
        <f t="shared" si="0"/>
        <v/>
      </c>
      <c r="Z66" s="53" t="str">
        <f ca="1">_xll.ESHistD($Q66,_xll.ESFldID(Z$2,"D"),"D",$AC$1)</f>
        <v/>
      </c>
      <c r="AA66" s="53" t="str">
        <f ca="1">_xll.ESHistD($Q66,_xll.ESFldID(AA$2,"D"),"D",$AC$1)</f>
        <v/>
      </c>
      <c r="AB66" s="53" t="str">
        <f ca="1">_xll.ESHistD($Q66,_xll.ESFldID(AB$2,"D"),"D",$AC$1)</f>
        <v/>
      </c>
      <c r="AC66" s="53" t="str">
        <f ca="1">_xll.ESHistD($Q66,_xll.ESFldID(AC$2,"D"),"D",$AC$1)</f>
        <v/>
      </c>
      <c r="AD66" s="22" t="str">
        <f ca="1">_xll.ESHistD($Q66,_xll.ESFldID(AD$2,"D"),"D",$AC$1)</f>
        <v/>
      </c>
    </row>
    <row r="67" spans="16:30" x14ac:dyDescent="0.25">
      <c r="P67" s="52" t="str">
        <f>IF(OR(ISBLANK(Q67), Q67=""),"", MAX(P$2:P66)+1)</f>
        <v/>
      </c>
      <c r="S67" s="16"/>
      <c r="T67" s="53" t="str">
        <f>_xll.ESHistD($Q67,_xll.ESFldID(T$2,"D"),"D",$S67)</f>
        <v/>
      </c>
      <c r="U67" s="53" t="str">
        <f>_xll.ESHistD($Q67,_xll.ESFldID(U$2,"D"),"D",$S67)</f>
        <v/>
      </c>
      <c r="V67" s="53" t="str">
        <f>_xll.ESHistD($Q67,_xll.ESFldID(V$2,"D"),"D",$S67)</f>
        <v/>
      </c>
      <c r="W67" s="53" t="str">
        <f>_xll.ESHistD($Q67,_xll.ESFldID(W$2,"D"),"D",$S67)</f>
        <v/>
      </c>
      <c r="X67" s="22" t="str">
        <f>_xll.ESHistD($Q67,_xll.ESFldID(X$2,"D"),"D",$S67)</f>
        <v/>
      </c>
      <c r="Y67" s="55" t="str">
        <f t="shared" si="0"/>
        <v/>
      </c>
      <c r="Z67" s="53" t="str">
        <f ca="1">_xll.ESHistD($Q67,_xll.ESFldID(Z$2,"D"),"D",$AC$1)</f>
        <v/>
      </c>
      <c r="AA67" s="53" t="str">
        <f ca="1">_xll.ESHistD($Q67,_xll.ESFldID(AA$2,"D"),"D",$AC$1)</f>
        <v/>
      </c>
      <c r="AB67" s="53" t="str">
        <f ca="1">_xll.ESHistD($Q67,_xll.ESFldID(AB$2,"D"),"D",$AC$1)</f>
        <v/>
      </c>
      <c r="AC67" s="53" t="str">
        <f ca="1">_xll.ESHistD($Q67,_xll.ESFldID(AC$2,"D"),"D",$AC$1)</f>
        <v/>
      </c>
      <c r="AD67" s="22" t="str">
        <f ca="1">_xll.ESHistD($Q67,_xll.ESFldID(AD$2,"D"),"D",$AC$1)</f>
        <v/>
      </c>
    </row>
    <row r="68" spans="16:30" x14ac:dyDescent="0.25">
      <c r="P68" s="52" t="str">
        <f>IF(OR(ISBLANK(Q68), Q68=""),"", MAX(P$2:P67)+1)</f>
        <v/>
      </c>
      <c r="S68" s="16"/>
      <c r="T68" s="53" t="str">
        <f>_xll.ESHistD($Q68,_xll.ESFldID(T$2,"D"),"D",$S68)</f>
        <v/>
      </c>
      <c r="U68" s="53" t="str">
        <f>_xll.ESHistD($Q68,_xll.ESFldID(U$2,"D"),"D",$S68)</f>
        <v/>
      </c>
      <c r="V68" s="53" t="str">
        <f>_xll.ESHistD($Q68,_xll.ESFldID(V$2,"D"),"D",$S68)</f>
        <v/>
      </c>
      <c r="W68" s="53" t="str">
        <f>_xll.ESHistD($Q68,_xll.ESFldID(W$2,"D"),"D",$S68)</f>
        <v/>
      </c>
      <c r="X68" s="22" t="str">
        <f>_xll.ESHistD($Q68,_xll.ESFldID(X$2,"D"),"D",$S68)</f>
        <v/>
      </c>
      <c r="Y68" s="55" t="str">
        <f t="shared" ref="Y68:Y131" si="1">IF(ISBLANK(Q68), "", Q68)</f>
        <v/>
      </c>
      <c r="Z68" s="53" t="str">
        <f ca="1">_xll.ESHistD($Q68,_xll.ESFldID(Z$2,"D"),"D",$AC$1)</f>
        <v/>
      </c>
      <c r="AA68" s="53" t="str">
        <f ca="1">_xll.ESHistD($Q68,_xll.ESFldID(AA$2,"D"),"D",$AC$1)</f>
        <v/>
      </c>
      <c r="AB68" s="53" t="str">
        <f ca="1">_xll.ESHistD($Q68,_xll.ESFldID(AB$2,"D"),"D",$AC$1)</f>
        <v/>
      </c>
      <c r="AC68" s="53" t="str">
        <f ca="1">_xll.ESHistD($Q68,_xll.ESFldID(AC$2,"D"),"D",$AC$1)</f>
        <v/>
      </c>
      <c r="AD68" s="22" t="str">
        <f ca="1">_xll.ESHistD($Q68,_xll.ESFldID(AD$2,"D"),"D",$AC$1)</f>
        <v/>
      </c>
    </row>
    <row r="69" spans="16:30" x14ac:dyDescent="0.25">
      <c r="P69" s="52" t="str">
        <f>IF(OR(ISBLANK(Q69), Q69=""),"", MAX(P$2:P68)+1)</f>
        <v/>
      </c>
      <c r="S69" s="16"/>
      <c r="T69" s="53" t="str">
        <f>_xll.ESHistD($Q69,_xll.ESFldID(T$2,"D"),"D",$S69)</f>
        <v/>
      </c>
      <c r="U69" s="53" t="str">
        <f>_xll.ESHistD($Q69,_xll.ESFldID(U$2,"D"),"D",$S69)</f>
        <v/>
      </c>
      <c r="V69" s="53" t="str">
        <f>_xll.ESHistD($Q69,_xll.ESFldID(V$2,"D"),"D",$S69)</f>
        <v/>
      </c>
      <c r="W69" s="53" t="str">
        <f>_xll.ESHistD($Q69,_xll.ESFldID(W$2,"D"),"D",$S69)</f>
        <v/>
      </c>
      <c r="X69" s="22" t="str">
        <f>_xll.ESHistD($Q69,_xll.ESFldID(X$2,"D"),"D",$S69)</f>
        <v/>
      </c>
      <c r="Y69" s="55" t="str">
        <f t="shared" si="1"/>
        <v/>
      </c>
      <c r="Z69" s="53" t="str">
        <f ca="1">_xll.ESHistD($Q69,_xll.ESFldID(Z$2,"D"),"D",$AC$1)</f>
        <v/>
      </c>
      <c r="AA69" s="53" t="str">
        <f ca="1">_xll.ESHistD($Q69,_xll.ESFldID(AA$2,"D"),"D",$AC$1)</f>
        <v/>
      </c>
      <c r="AB69" s="53" t="str">
        <f ca="1">_xll.ESHistD($Q69,_xll.ESFldID(AB$2,"D"),"D",$AC$1)</f>
        <v/>
      </c>
      <c r="AC69" s="53" t="str">
        <f ca="1">_xll.ESHistD($Q69,_xll.ESFldID(AC$2,"D"),"D",$AC$1)</f>
        <v/>
      </c>
      <c r="AD69" s="22" t="str">
        <f ca="1">_xll.ESHistD($Q69,_xll.ESFldID(AD$2,"D"),"D",$AC$1)</f>
        <v/>
      </c>
    </row>
    <row r="70" spans="16:30" x14ac:dyDescent="0.25">
      <c r="P70" s="52" t="str">
        <f>IF(OR(ISBLANK(Q70), Q70=""),"", MAX(P$2:P69)+1)</f>
        <v/>
      </c>
      <c r="S70" s="16"/>
      <c r="T70" s="53" t="str">
        <f>_xll.ESHistD($Q70,_xll.ESFldID(T$2,"D"),"D",$S70)</f>
        <v/>
      </c>
      <c r="U70" s="53" t="str">
        <f>_xll.ESHistD($Q70,_xll.ESFldID(U$2,"D"),"D",$S70)</f>
        <v/>
      </c>
      <c r="V70" s="53" t="str">
        <f>_xll.ESHistD($Q70,_xll.ESFldID(V$2,"D"),"D",$S70)</f>
        <v/>
      </c>
      <c r="W70" s="53" t="str">
        <f>_xll.ESHistD($Q70,_xll.ESFldID(W$2,"D"),"D",$S70)</f>
        <v/>
      </c>
      <c r="X70" s="22" t="str">
        <f>_xll.ESHistD($Q70,_xll.ESFldID(X$2,"D"),"D",$S70)</f>
        <v/>
      </c>
      <c r="Y70" s="55" t="str">
        <f t="shared" si="1"/>
        <v/>
      </c>
      <c r="Z70" s="53" t="str">
        <f ca="1">_xll.ESHistD($Q70,_xll.ESFldID(Z$2,"D"),"D",$AC$1)</f>
        <v/>
      </c>
      <c r="AA70" s="53" t="str">
        <f ca="1">_xll.ESHistD($Q70,_xll.ESFldID(AA$2,"D"),"D",$AC$1)</f>
        <v/>
      </c>
      <c r="AB70" s="53" t="str">
        <f ca="1">_xll.ESHistD($Q70,_xll.ESFldID(AB$2,"D"),"D",$AC$1)</f>
        <v/>
      </c>
      <c r="AC70" s="53" t="str">
        <f ca="1">_xll.ESHistD($Q70,_xll.ESFldID(AC$2,"D"),"D",$AC$1)</f>
        <v/>
      </c>
      <c r="AD70" s="22" t="str">
        <f ca="1">_xll.ESHistD($Q70,_xll.ESFldID(AD$2,"D"),"D",$AC$1)</f>
        <v/>
      </c>
    </row>
    <row r="71" spans="16:30" x14ac:dyDescent="0.25">
      <c r="P71" s="52" t="str">
        <f>IF(OR(ISBLANK(Q71), Q71=""),"", MAX(P$2:P70)+1)</f>
        <v/>
      </c>
      <c r="S71" s="16"/>
      <c r="T71" s="53" t="str">
        <f>_xll.ESHistD($Q71,_xll.ESFldID(T$2,"D"),"D",$S71)</f>
        <v/>
      </c>
      <c r="U71" s="53" t="str">
        <f>_xll.ESHistD($Q71,_xll.ESFldID(U$2,"D"),"D",$S71)</f>
        <v/>
      </c>
      <c r="V71" s="53" t="str">
        <f>_xll.ESHistD($Q71,_xll.ESFldID(V$2,"D"),"D",$S71)</f>
        <v/>
      </c>
      <c r="W71" s="53" t="str">
        <f>_xll.ESHistD($Q71,_xll.ESFldID(W$2,"D"),"D",$S71)</f>
        <v/>
      </c>
      <c r="X71" s="22" t="str">
        <f>_xll.ESHistD($Q71,_xll.ESFldID(X$2,"D"),"D",$S71)</f>
        <v/>
      </c>
      <c r="Y71" s="55" t="str">
        <f t="shared" si="1"/>
        <v/>
      </c>
      <c r="Z71" s="53" t="str">
        <f ca="1">_xll.ESHistD($Q71,_xll.ESFldID(Z$2,"D"),"D",$AC$1)</f>
        <v/>
      </c>
      <c r="AA71" s="53" t="str">
        <f ca="1">_xll.ESHistD($Q71,_xll.ESFldID(AA$2,"D"),"D",$AC$1)</f>
        <v/>
      </c>
      <c r="AB71" s="53" t="str">
        <f ca="1">_xll.ESHistD($Q71,_xll.ESFldID(AB$2,"D"),"D",$AC$1)</f>
        <v/>
      </c>
      <c r="AC71" s="53" t="str">
        <f ca="1">_xll.ESHistD($Q71,_xll.ESFldID(AC$2,"D"),"D",$AC$1)</f>
        <v/>
      </c>
      <c r="AD71" s="22" t="str">
        <f ca="1">_xll.ESHistD($Q71,_xll.ESFldID(AD$2,"D"),"D",$AC$1)</f>
        <v/>
      </c>
    </row>
    <row r="72" spans="16:30" x14ac:dyDescent="0.25">
      <c r="P72" s="52" t="str">
        <f>IF(OR(ISBLANK(Q72), Q72=""),"", MAX(P$2:P71)+1)</f>
        <v/>
      </c>
      <c r="S72" s="16"/>
      <c r="T72" s="53" t="str">
        <f>_xll.ESHistD($Q72,_xll.ESFldID(T$2,"D"),"D",$S72)</f>
        <v/>
      </c>
      <c r="U72" s="53" t="str">
        <f>_xll.ESHistD($Q72,_xll.ESFldID(U$2,"D"),"D",$S72)</f>
        <v/>
      </c>
      <c r="V72" s="53" t="str">
        <f>_xll.ESHistD($Q72,_xll.ESFldID(V$2,"D"),"D",$S72)</f>
        <v/>
      </c>
      <c r="W72" s="53" t="str">
        <f>_xll.ESHistD($Q72,_xll.ESFldID(W$2,"D"),"D",$S72)</f>
        <v/>
      </c>
      <c r="X72" s="22" t="str">
        <f>_xll.ESHistD($Q72,_xll.ESFldID(X$2,"D"),"D",$S72)</f>
        <v/>
      </c>
      <c r="Y72" s="55" t="str">
        <f t="shared" si="1"/>
        <v/>
      </c>
      <c r="Z72" s="53" t="str">
        <f ca="1">_xll.ESHistD($Q72,_xll.ESFldID(Z$2,"D"),"D",$AC$1)</f>
        <v/>
      </c>
      <c r="AA72" s="53" t="str">
        <f ca="1">_xll.ESHistD($Q72,_xll.ESFldID(AA$2,"D"),"D",$AC$1)</f>
        <v/>
      </c>
      <c r="AB72" s="53" t="str">
        <f ca="1">_xll.ESHistD($Q72,_xll.ESFldID(AB$2,"D"),"D",$AC$1)</f>
        <v/>
      </c>
      <c r="AC72" s="53" t="str">
        <f ca="1">_xll.ESHistD($Q72,_xll.ESFldID(AC$2,"D"),"D",$AC$1)</f>
        <v/>
      </c>
      <c r="AD72" s="22" t="str">
        <f ca="1">_xll.ESHistD($Q72,_xll.ESFldID(AD$2,"D"),"D",$AC$1)</f>
        <v/>
      </c>
    </row>
    <row r="73" spans="16:30" x14ac:dyDescent="0.25">
      <c r="P73" s="52" t="str">
        <f>IF(OR(ISBLANK(Q73), Q73=""),"", MAX(P$2:P72)+1)</f>
        <v/>
      </c>
      <c r="S73" s="16"/>
      <c r="T73" s="53" t="str">
        <f>_xll.ESHistD($Q73,_xll.ESFldID(T$2,"D"),"D",$S73)</f>
        <v/>
      </c>
      <c r="U73" s="53" t="str">
        <f>_xll.ESHistD($Q73,_xll.ESFldID(U$2,"D"),"D",$S73)</f>
        <v/>
      </c>
      <c r="V73" s="53" t="str">
        <f>_xll.ESHistD($Q73,_xll.ESFldID(V$2,"D"),"D",$S73)</f>
        <v/>
      </c>
      <c r="W73" s="53" t="str">
        <f>_xll.ESHistD($Q73,_xll.ESFldID(W$2,"D"),"D",$S73)</f>
        <v/>
      </c>
      <c r="X73" s="22" t="str">
        <f>_xll.ESHistD($Q73,_xll.ESFldID(X$2,"D"),"D",$S73)</f>
        <v/>
      </c>
      <c r="Y73" s="55" t="str">
        <f t="shared" si="1"/>
        <v/>
      </c>
      <c r="Z73" s="53" t="str">
        <f ca="1">_xll.ESHistD($Q73,_xll.ESFldID(Z$2,"D"),"D",$AC$1)</f>
        <v/>
      </c>
      <c r="AA73" s="53" t="str">
        <f ca="1">_xll.ESHistD($Q73,_xll.ESFldID(AA$2,"D"),"D",$AC$1)</f>
        <v/>
      </c>
      <c r="AB73" s="53" t="str">
        <f ca="1">_xll.ESHistD($Q73,_xll.ESFldID(AB$2,"D"),"D",$AC$1)</f>
        <v/>
      </c>
      <c r="AC73" s="53" t="str">
        <f ca="1">_xll.ESHistD($Q73,_xll.ESFldID(AC$2,"D"),"D",$AC$1)</f>
        <v/>
      </c>
      <c r="AD73" s="22" t="str">
        <f ca="1">_xll.ESHistD($Q73,_xll.ESFldID(AD$2,"D"),"D",$AC$1)</f>
        <v/>
      </c>
    </row>
    <row r="74" spans="16:30" x14ac:dyDescent="0.25">
      <c r="P74" s="52" t="str">
        <f>IF(OR(ISBLANK(Q74), Q74=""),"", MAX(P$2:P73)+1)</f>
        <v/>
      </c>
      <c r="S74" s="16"/>
      <c r="T74" s="53" t="str">
        <f>_xll.ESHistD($Q74,_xll.ESFldID(T$2,"D"),"D",$S74)</f>
        <v/>
      </c>
      <c r="U74" s="53" t="str">
        <f>_xll.ESHistD($Q74,_xll.ESFldID(U$2,"D"),"D",$S74)</f>
        <v/>
      </c>
      <c r="V74" s="53" t="str">
        <f>_xll.ESHistD($Q74,_xll.ESFldID(V$2,"D"),"D",$S74)</f>
        <v/>
      </c>
      <c r="W74" s="53" t="str">
        <f>_xll.ESHistD($Q74,_xll.ESFldID(W$2,"D"),"D",$S74)</f>
        <v/>
      </c>
      <c r="X74" s="22" t="str">
        <f>_xll.ESHistD($Q74,_xll.ESFldID(X$2,"D"),"D",$S74)</f>
        <v/>
      </c>
      <c r="Y74" s="55" t="str">
        <f t="shared" si="1"/>
        <v/>
      </c>
      <c r="Z74" s="53" t="str">
        <f ca="1">_xll.ESHistD($Q74,_xll.ESFldID(Z$2,"D"),"D",$AC$1)</f>
        <v/>
      </c>
      <c r="AA74" s="53" t="str">
        <f ca="1">_xll.ESHistD($Q74,_xll.ESFldID(AA$2,"D"),"D",$AC$1)</f>
        <v/>
      </c>
      <c r="AB74" s="53" t="str">
        <f ca="1">_xll.ESHistD($Q74,_xll.ESFldID(AB$2,"D"),"D",$AC$1)</f>
        <v/>
      </c>
      <c r="AC74" s="53" t="str">
        <f ca="1">_xll.ESHistD($Q74,_xll.ESFldID(AC$2,"D"),"D",$AC$1)</f>
        <v/>
      </c>
      <c r="AD74" s="22" t="str">
        <f ca="1">_xll.ESHistD($Q74,_xll.ESFldID(AD$2,"D"),"D",$AC$1)</f>
        <v/>
      </c>
    </row>
    <row r="75" spans="16:30" x14ac:dyDescent="0.25">
      <c r="P75" s="52" t="str">
        <f>IF(OR(ISBLANK(Q75), Q75=""),"", MAX(P$2:P74)+1)</f>
        <v/>
      </c>
      <c r="S75" s="16"/>
      <c r="T75" s="53" t="str">
        <f>_xll.ESHistD($Q75,_xll.ESFldID(T$2,"D"),"D",$S75)</f>
        <v/>
      </c>
      <c r="U75" s="53" t="str">
        <f>_xll.ESHistD($Q75,_xll.ESFldID(U$2,"D"),"D",$S75)</f>
        <v/>
      </c>
      <c r="V75" s="53" t="str">
        <f>_xll.ESHistD($Q75,_xll.ESFldID(V$2,"D"),"D",$S75)</f>
        <v/>
      </c>
      <c r="W75" s="53" t="str">
        <f>_xll.ESHistD($Q75,_xll.ESFldID(W$2,"D"),"D",$S75)</f>
        <v/>
      </c>
      <c r="X75" s="22" t="str">
        <f>_xll.ESHistD($Q75,_xll.ESFldID(X$2,"D"),"D",$S75)</f>
        <v/>
      </c>
      <c r="Y75" s="55" t="str">
        <f t="shared" si="1"/>
        <v/>
      </c>
      <c r="Z75" s="53" t="str">
        <f ca="1">_xll.ESHistD($Q75,_xll.ESFldID(Z$2,"D"),"D",$AC$1)</f>
        <v/>
      </c>
      <c r="AA75" s="53" t="str">
        <f ca="1">_xll.ESHistD($Q75,_xll.ESFldID(AA$2,"D"),"D",$AC$1)</f>
        <v/>
      </c>
      <c r="AB75" s="53" t="str">
        <f ca="1">_xll.ESHistD($Q75,_xll.ESFldID(AB$2,"D"),"D",$AC$1)</f>
        <v/>
      </c>
      <c r="AC75" s="53" t="str">
        <f ca="1">_xll.ESHistD($Q75,_xll.ESFldID(AC$2,"D"),"D",$AC$1)</f>
        <v/>
      </c>
      <c r="AD75" s="22" t="str">
        <f ca="1">_xll.ESHistD($Q75,_xll.ESFldID(AD$2,"D"),"D",$AC$1)</f>
        <v/>
      </c>
    </row>
    <row r="76" spans="16:30" x14ac:dyDescent="0.25">
      <c r="P76" s="52" t="str">
        <f>IF(OR(ISBLANK(Q76), Q76=""),"", MAX(P$2:P75)+1)</f>
        <v/>
      </c>
      <c r="S76" s="16"/>
      <c r="T76" s="53" t="str">
        <f>_xll.ESHistD($Q76,_xll.ESFldID(T$2,"D"),"D",$S76)</f>
        <v/>
      </c>
      <c r="U76" s="53" t="str">
        <f>_xll.ESHistD($Q76,_xll.ESFldID(U$2,"D"),"D",$S76)</f>
        <v/>
      </c>
      <c r="V76" s="53" t="str">
        <f>_xll.ESHistD($Q76,_xll.ESFldID(V$2,"D"),"D",$S76)</f>
        <v/>
      </c>
      <c r="W76" s="53" t="str">
        <f>_xll.ESHistD($Q76,_xll.ESFldID(W$2,"D"),"D",$S76)</f>
        <v/>
      </c>
      <c r="X76" s="22" t="str">
        <f>_xll.ESHistD($Q76,_xll.ESFldID(X$2,"D"),"D",$S76)</f>
        <v/>
      </c>
      <c r="Y76" s="55" t="str">
        <f t="shared" si="1"/>
        <v/>
      </c>
      <c r="Z76" s="53" t="str">
        <f ca="1">_xll.ESHistD($Q76,_xll.ESFldID(Z$2,"D"),"D",$AC$1)</f>
        <v/>
      </c>
      <c r="AA76" s="53" t="str">
        <f ca="1">_xll.ESHistD($Q76,_xll.ESFldID(AA$2,"D"),"D",$AC$1)</f>
        <v/>
      </c>
      <c r="AB76" s="53" t="str">
        <f ca="1">_xll.ESHistD($Q76,_xll.ESFldID(AB$2,"D"),"D",$AC$1)</f>
        <v/>
      </c>
      <c r="AC76" s="53" t="str">
        <f ca="1">_xll.ESHistD($Q76,_xll.ESFldID(AC$2,"D"),"D",$AC$1)</f>
        <v/>
      </c>
      <c r="AD76" s="22" t="str">
        <f ca="1">_xll.ESHistD($Q76,_xll.ESFldID(AD$2,"D"),"D",$AC$1)</f>
        <v/>
      </c>
    </row>
    <row r="77" spans="16:30" x14ac:dyDescent="0.25">
      <c r="P77" s="52" t="str">
        <f>IF(OR(ISBLANK(Q77), Q77=""),"", MAX(P$2:P76)+1)</f>
        <v/>
      </c>
      <c r="S77" s="16"/>
      <c r="T77" s="53" t="str">
        <f>_xll.ESHistD($Q77,_xll.ESFldID(T$2,"D"),"D",$S77)</f>
        <v/>
      </c>
      <c r="U77" s="53" t="str">
        <f>_xll.ESHistD($Q77,_xll.ESFldID(U$2,"D"),"D",$S77)</f>
        <v/>
      </c>
      <c r="V77" s="53" t="str">
        <f>_xll.ESHistD($Q77,_xll.ESFldID(V$2,"D"),"D",$S77)</f>
        <v/>
      </c>
      <c r="W77" s="53" t="str">
        <f>_xll.ESHistD($Q77,_xll.ESFldID(W$2,"D"),"D",$S77)</f>
        <v/>
      </c>
      <c r="X77" s="22" t="str">
        <f>_xll.ESHistD($Q77,_xll.ESFldID(X$2,"D"),"D",$S77)</f>
        <v/>
      </c>
      <c r="Y77" s="55" t="str">
        <f t="shared" si="1"/>
        <v/>
      </c>
      <c r="Z77" s="53" t="str">
        <f ca="1">_xll.ESHistD($Q77,_xll.ESFldID(Z$2,"D"),"D",$AC$1)</f>
        <v/>
      </c>
      <c r="AA77" s="53" t="str">
        <f ca="1">_xll.ESHistD($Q77,_xll.ESFldID(AA$2,"D"),"D",$AC$1)</f>
        <v/>
      </c>
      <c r="AB77" s="53" t="str">
        <f ca="1">_xll.ESHistD($Q77,_xll.ESFldID(AB$2,"D"),"D",$AC$1)</f>
        <v/>
      </c>
      <c r="AC77" s="53" t="str">
        <f ca="1">_xll.ESHistD($Q77,_xll.ESFldID(AC$2,"D"),"D",$AC$1)</f>
        <v/>
      </c>
      <c r="AD77" s="22" t="str">
        <f ca="1">_xll.ESHistD($Q77,_xll.ESFldID(AD$2,"D"),"D",$AC$1)</f>
        <v/>
      </c>
    </row>
    <row r="78" spans="16:30" x14ac:dyDescent="0.25">
      <c r="P78" s="52" t="str">
        <f>IF(OR(ISBLANK(Q78), Q78=""),"", MAX(P$2:P77)+1)</f>
        <v/>
      </c>
      <c r="S78" s="16"/>
      <c r="T78" s="53" t="str">
        <f>_xll.ESHistD($Q78,_xll.ESFldID(T$2,"D"),"D",$S78)</f>
        <v/>
      </c>
      <c r="U78" s="53" t="str">
        <f>_xll.ESHistD($Q78,_xll.ESFldID(U$2,"D"),"D",$S78)</f>
        <v/>
      </c>
      <c r="V78" s="53" t="str">
        <f>_xll.ESHistD($Q78,_xll.ESFldID(V$2,"D"),"D",$S78)</f>
        <v/>
      </c>
      <c r="W78" s="53" t="str">
        <f>_xll.ESHistD($Q78,_xll.ESFldID(W$2,"D"),"D",$S78)</f>
        <v/>
      </c>
      <c r="X78" s="22" t="str">
        <f>_xll.ESHistD($Q78,_xll.ESFldID(X$2,"D"),"D",$S78)</f>
        <v/>
      </c>
      <c r="Y78" s="55" t="str">
        <f t="shared" si="1"/>
        <v/>
      </c>
      <c r="Z78" s="53" t="str">
        <f ca="1">_xll.ESHistD($Q78,_xll.ESFldID(Z$2,"D"),"D",$AC$1)</f>
        <v/>
      </c>
      <c r="AA78" s="53" t="str">
        <f ca="1">_xll.ESHistD($Q78,_xll.ESFldID(AA$2,"D"),"D",$AC$1)</f>
        <v/>
      </c>
      <c r="AB78" s="53" t="str">
        <f ca="1">_xll.ESHistD($Q78,_xll.ESFldID(AB$2,"D"),"D",$AC$1)</f>
        <v/>
      </c>
      <c r="AC78" s="53" t="str">
        <f ca="1">_xll.ESHistD($Q78,_xll.ESFldID(AC$2,"D"),"D",$AC$1)</f>
        <v/>
      </c>
      <c r="AD78" s="22" t="str">
        <f ca="1">_xll.ESHistD($Q78,_xll.ESFldID(AD$2,"D"),"D",$AC$1)</f>
        <v/>
      </c>
    </row>
    <row r="79" spans="16:30" x14ac:dyDescent="0.25">
      <c r="P79" s="52" t="str">
        <f>IF(OR(ISBLANK(Q79), Q79=""),"", MAX(P$2:P78)+1)</f>
        <v/>
      </c>
      <c r="S79" s="16"/>
      <c r="T79" s="53" t="str">
        <f>_xll.ESHistD($Q79,_xll.ESFldID(T$2,"D"),"D",$S79)</f>
        <v/>
      </c>
      <c r="U79" s="53" t="str">
        <f>_xll.ESHistD($Q79,_xll.ESFldID(U$2,"D"),"D",$S79)</f>
        <v/>
      </c>
      <c r="V79" s="53" t="str">
        <f>_xll.ESHistD($Q79,_xll.ESFldID(V$2,"D"),"D",$S79)</f>
        <v/>
      </c>
      <c r="W79" s="53" t="str">
        <f>_xll.ESHistD($Q79,_xll.ESFldID(W$2,"D"),"D",$S79)</f>
        <v/>
      </c>
      <c r="X79" s="22" t="str">
        <f>_xll.ESHistD($Q79,_xll.ESFldID(X$2,"D"),"D",$S79)</f>
        <v/>
      </c>
      <c r="Y79" s="55" t="str">
        <f t="shared" si="1"/>
        <v/>
      </c>
      <c r="Z79" s="53" t="str">
        <f ca="1">_xll.ESHistD($Q79,_xll.ESFldID(Z$2,"D"),"D",$AC$1)</f>
        <v/>
      </c>
      <c r="AA79" s="53" t="str">
        <f ca="1">_xll.ESHistD($Q79,_xll.ESFldID(AA$2,"D"),"D",$AC$1)</f>
        <v/>
      </c>
      <c r="AB79" s="53" t="str">
        <f ca="1">_xll.ESHistD($Q79,_xll.ESFldID(AB$2,"D"),"D",$AC$1)</f>
        <v/>
      </c>
      <c r="AC79" s="53" t="str">
        <f ca="1">_xll.ESHistD($Q79,_xll.ESFldID(AC$2,"D"),"D",$AC$1)</f>
        <v/>
      </c>
      <c r="AD79" s="22" t="str">
        <f ca="1">_xll.ESHistD($Q79,_xll.ESFldID(AD$2,"D"),"D",$AC$1)</f>
        <v/>
      </c>
    </row>
    <row r="80" spans="16:30" x14ac:dyDescent="0.25">
      <c r="P80" s="52" t="str">
        <f>IF(OR(ISBLANK(Q80), Q80=""),"", MAX(P$2:P79)+1)</f>
        <v/>
      </c>
      <c r="S80" s="16"/>
      <c r="T80" s="53" t="str">
        <f>_xll.ESHistD($Q80,_xll.ESFldID(T$2,"D"),"D",$S80)</f>
        <v/>
      </c>
      <c r="U80" s="53" t="str">
        <f>_xll.ESHistD($Q80,_xll.ESFldID(U$2,"D"),"D",$S80)</f>
        <v/>
      </c>
      <c r="V80" s="53" t="str">
        <f>_xll.ESHistD($Q80,_xll.ESFldID(V$2,"D"),"D",$S80)</f>
        <v/>
      </c>
      <c r="W80" s="53" t="str">
        <f>_xll.ESHistD($Q80,_xll.ESFldID(W$2,"D"),"D",$S80)</f>
        <v/>
      </c>
      <c r="X80" s="22" t="str">
        <f>_xll.ESHistD($Q80,_xll.ESFldID(X$2,"D"),"D",$S80)</f>
        <v/>
      </c>
      <c r="Y80" s="55" t="str">
        <f t="shared" si="1"/>
        <v/>
      </c>
      <c r="Z80" s="53" t="str">
        <f ca="1">_xll.ESHistD($Q80,_xll.ESFldID(Z$2,"D"),"D",$AC$1)</f>
        <v/>
      </c>
      <c r="AA80" s="53" t="str">
        <f ca="1">_xll.ESHistD($Q80,_xll.ESFldID(AA$2,"D"),"D",$AC$1)</f>
        <v/>
      </c>
      <c r="AB80" s="53" t="str">
        <f ca="1">_xll.ESHistD($Q80,_xll.ESFldID(AB$2,"D"),"D",$AC$1)</f>
        <v/>
      </c>
      <c r="AC80" s="53" t="str">
        <f ca="1">_xll.ESHistD($Q80,_xll.ESFldID(AC$2,"D"),"D",$AC$1)</f>
        <v/>
      </c>
      <c r="AD80" s="22" t="str">
        <f ca="1">_xll.ESHistD($Q80,_xll.ESFldID(AD$2,"D"),"D",$AC$1)</f>
        <v/>
      </c>
    </row>
    <row r="81" spans="16:30" x14ac:dyDescent="0.25">
      <c r="P81" s="52" t="str">
        <f>IF(OR(ISBLANK(Q81), Q81=""),"", MAX(P$2:P80)+1)</f>
        <v/>
      </c>
      <c r="S81" s="16"/>
      <c r="T81" s="53" t="str">
        <f>_xll.ESHistD($Q81,_xll.ESFldID(T$2,"D"),"D",$S81)</f>
        <v/>
      </c>
      <c r="U81" s="53" t="str">
        <f>_xll.ESHistD($Q81,_xll.ESFldID(U$2,"D"),"D",$S81)</f>
        <v/>
      </c>
      <c r="V81" s="53" t="str">
        <f>_xll.ESHistD($Q81,_xll.ESFldID(V$2,"D"),"D",$S81)</f>
        <v/>
      </c>
      <c r="W81" s="53" t="str">
        <f>_xll.ESHistD($Q81,_xll.ESFldID(W$2,"D"),"D",$S81)</f>
        <v/>
      </c>
      <c r="X81" s="22" t="str">
        <f>_xll.ESHistD($Q81,_xll.ESFldID(X$2,"D"),"D",$S81)</f>
        <v/>
      </c>
      <c r="Y81" s="55" t="str">
        <f t="shared" si="1"/>
        <v/>
      </c>
      <c r="Z81" s="53" t="str">
        <f ca="1">_xll.ESHistD($Q81,_xll.ESFldID(Z$2,"D"),"D",$AC$1)</f>
        <v/>
      </c>
      <c r="AA81" s="53" t="str">
        <f ca="1">_xll.ESHistD($Q81,_xll.ESFldID(AA$2,"D"),"D",$AC$1)</f>
        <v/>
      </c>
      <c r="AB81" s="53" t="str">
        <f ca="1">_xll.ESHistD($Q81,_xll.ESFldID(AB$2,"D"),"D",$AC$1)</f>
        <v/>
      </c>
      <c r="AC81" s="53" t="str">
        <f ca="1">_xll.ESHistD($Q81,_xll.ESFldID(AC$2,"D"),"D",$AC$1)</f>
        <v/>
      </c>
      <c r="AD81" s="22" t="str">
        <f ca="1">_xll.ESHistD($Q81,_xll.ESFldID(AD$2,"D"),"D",$AC$1)</f>
        <v/>
      </c>
    </row>
    <row r="82" spans="16:30" x14ac:dyDescent="0.25">
      <c r="P82" s="52" t="str">
        <f>IF(OR(ISBLANK(Q82), Q82=""),"", MAX(P$2:P81)+1)</f>
        <v/>
      </c>
      <c r="S82" s="16"/>
      <c r="T82" s="53" t="str">
        <f>_xll.ESHistD($Q82,_xll.ESFldID(T$2,"D"),"D",$S82)</f>
        <v/>
      </c>
      <c r="U82" s="53" t="str">
        <f>_xll.ESHistD($Q82,_xll.ESFldID(U$2,"D"),"D",$S82)</f>
        <v/>
      </c>
      <c r="V82" s="53" t="str">
        <f>_xll.ESHistD($Q82,_xll.ESFldID(V$2,"D"),"D",$S82)</f>
        <v/>
      </c>
      <c r="W82" s="53" t="str">
        <f>_xll.ESHistD($Q82,_xll.ESFldID(W$2,"D"),"D",$S82)</f>
        <v/>
      </c>
      <c r="X82" s="22" t="str">
        <f>_xll.ESHistD($Q82,_xll.ESFldID(X$2,"D"),"D",$S82)</f>
        <v/>
      </c>
      <c r="Y82" s="55" t="str">
        <f t="shared" si="1"/>
        <v/>
      </c>
      <c r="Z82" s="53" t="str">
        <f ca="1">_xll.ESHistD($Q82,_xll.ESFldID(Z$2,"D"),"D",$AC$1)</f>
        <v/>
      </c>
      <c r="AA82" s="53" t="str">
        <f ca="1">_xll.ESHistD($Q82,_xll.ESFldID(AA$2,"D"),"D",$AC$1)</f>
        <v/>
      </c>
      <c r="AB82" s="53" t="str">
        <f ca="1">_xll.ESHistD($Q82,_xll.ESFldID(AB$2,"D"),"D",$AC$1)</f>
        <v/>
      </c>
      <c r="AC82" s="53" t="str">
        <f ca="1">_xll.ESHistD($Q82,_xll.ESFldID(AC$2,"D"),"D",$AC$1)</f>
        <v/>
      </c>
      <c r="AD82" s="22" t="str">
        <f ca="1">_xll.ESHistD($Q82,_xll.ESFldID(AD$2,"D"),"D",$AC$1)</f>
        <v/>
      </c>
    </row>
    <row r="83" spans="16:30" x14ac:dyDescent="0.25">
      <c r="P83" s="52" t="str">
        <f>IF(OR(ISBLANK(Q83), Q83=""),"", MAX(P$2:P82)+1)</f>
        <v/>
      </c>
      <c r="S83" s="16"/>
      <c r="T83" s="53" t="str">
        <f>_xll.ESHistD($Q83,_xll.ESFldID(T$2,"D"),"D",$S83)</f>
        <v/>
      </c>
      <c r="U83" s="53" t="str">
        <f>_xll.ESHistD($Q83,_xll.ESFldID(U$2,"D"),"D",$S83)</f>
        <v/>
      </c>
      <c r="V83" s="53" t="str">
        <f>_xll.ESHistD($Q83,_xll.ESFldID(V$2,"D"),"D",$S83)</f>
        <v/>
      </c>
      <c r="W83" s="53" t="str">
        <f>_xll.ESHistD($Q83,_xll.ESFldID(W$2,"D"),"D",$S83)</f>
        <v/>
      </c>
      <c r="X83" s="22" t="str">
        <f>_xll.ESHistD($Q83,_xll.ESFldID(X$2,"D"),"D",$S83)</f>
        <v/>
      </c>
      <c r="Y83" s="55" t="str">
        <f t="shared" si="1"/>
        <v/>
      </c>
      <c r="Z83" s="53" t="str">
        <f ca="1">_xll.ESHistD($Q83,_xll.ESFldID(Z$2,"D"),"D",$AC$1)</f>
        <v/>
      </c>
      <c r="AA83" s="53" t="str">
        <f ca="1">_xll.ESHistD($Q83,_xll.ESFldID(AA$2,"D"),"D",$AC$1)</f>
        <v/>
      </c>
      <c r="AB83" s="53" t="str">
        <f ca="1">_xll.ESHistD($Q83,_xll.ESFldID(AB$2,"D"),"D",$AC$1)</f>
        <v/>
      </c>
      <c r="AC83" s="53" t="str">
        <f ca="1">_xll.ESHistD($Q83,_xll.ESFldID(AC$2,"D"),"D",$AC$1)</f>
        <v/>
      </c>
      <c r="AD83" s="22" t="str">
        <f ca="1">_xll.ESHistD($Q83,_xll.ESFldID(AD$2,"D"),"D",$AC$1)</f>
        <v/>
      </c>
    </row>
    <row r="84" spans="16:30" x14ac:dyDescent="0.25">
      <c r="P84" s="52" t="str">
        <f>IF(OR(ISBLANK(Q84), Q84=""),"", MAX(P$2:P83)+1)</f>
        <v/>
      </c>
      <c r="S84" s="16"/>
      <c r="T84" s="53" t="str">
        <f>_xll.ESHistD($Q84,_xll.ESFldID(T$2,"D"),"D",$S84)</f>
        <v/>
      </c>
      <c r="U84" s="53" t="str">
        <f>_xll.ESHistD($Q84,_xll.ESFldID(U$2,"D"),"D",$S84)</f>
        <v/>
      </c>
      <c r="V84" s="53" t="str">
        <f>_xll.ESHistD($Q84,_xll.ESFldID(V$2,"D"),"D",$S84)</f>
        <v/>
      </c>
      <c r="W84" s="53" t="str">
        <f>_xll.ESHistD($Q84,_xll.ESFldID(W$2,"D"),"D",$S84)</f>
        <v/>
      </c>
      <c r="X84" s="22" t="str">
        <f>_xll.ESHistD($Q84,_xll.ESFldID(X$2,"D"),"D",$S84)</f>
        <v/>
      </c>
      <c r="Y84" s="55" t="str">
        <f t="shared" si="1"/>
        <v/>
      </c>
      <c r="Z84" s="53" t="str">
        <f ca="1">_xll.ESHistD($Q84,_xll.ESFldID(Z$2,"D"),"D",$AC$1)</f>
        <v/>
      </c>
      <c r="AA84" s="53" t="str">
        <f ca="1">_xll.ESHistD($Q84,_xll.ESFldID(AA$2,"D"),"D",$AC$1)</f>
        <v/>
      </c>
      <c r="AB84" s="53" t="str">
        <f ca="1">_xll.ESHistD($Q84,_xll.ESFldID(AB$2,"D"),"D",$AC$1)</f>
        <v/>
      </c>
      <c r="AC84" s="53" t="str">
        <f ca="1">_xll.ESHistD($Q84,_xll.ESFldID(AC$2,"D"),"D",$AC$1)</f>
        <v/>
      </c>
      <c r="AD84" s="22" t="str">
        <f ca="1">_xll.ESHistD($Q84,_xll.ESFldID(AD$2,"D"),"D",$AC$1)</f>
        <v/>
      </c>
    </row>
    <row r="85" spans="16:30" x14ac:dyDescent="0.25">
      <c r="P85" s="52" t="str">
        <f>IF(OR(ISBLANK(Q85), Q85=""),"", MAX(P$2:P84)+1)</f>
        <v/>
      </c>
      <c r="S85" s="16"/>
      <c r="T85" s="53" t="str">
        <f>_xll.ESHistD($Q85,_xll.ESFldID(T$2,"D"),"D",$S85)</f>
        <v/>
      </c>
      <c r="U85" s="53" t="str">
        <f>_xll.ESHistD($Q85,_xll.ESFldID(U$2,"D"),"D",$S85)</f>
        <v/>
      </c>
      <c r="V85" s="53" t="str">
        <f>_xll.ESHistD($Q85,_xll.ESFldID(V$2,"D"),"D",$S85)</f>
        <v/>
      </c>
      <c r="W85" s="53" t="str">
        <f>_xll.ESHistD($Q85,_xll.ESFldID(W$2,"D"),"D",$S85)</f>
        <v/>
      </c>
      <c r="X85" s="22" t="str">
        <f>_xll.ESHistD($Q85,_xll.ESFldID(X$2,"D"),"D",$S85)</f>
        <v/>
      </c>
      <c r="Y85" s="55" t="str">
        <f t="shared" si="1"/>
        <v/>
      </c>
      <c r="Z85" s="53" t="str">
        <f ca="1">_xll.ESHistD($Q85,_xll.ESFldID(Z$2,"D"),"D",$AC$1)</f>
        <v/>
      </c>
      <c r="AA85" s="53" t="str">
        <f ca="1">_xll.ESHistD($Q85,_xll.ESFldID(AA$2,"D"),"D",$AC$1)</f>
        <v/>
      </c>
      <c r="AB85" s="53" t="str">
        <f ca="1">_xll.ESHistD($Q85,_xll.ESFldID(AB$2,"D"),"D",$AC$1)</f>
        <v/>
      </c>
      <c r="AC85" s="53" t="str">
        <f ca="1">_xll.ESHistD($Q85,_xll.ESFldID(AC$2,"D"),"D",$AC$1)</f>
        <v/>
      </c>
      <c r="AD85" s="22" t="str">
        <f ca="1">_xll.ESHistD($Q85,_xll.ESFldID(AD$2,"D"),"D",$AC$1)</f>
        <v/>
      </c>
    </row>
    <row r="86" spans="16:30" x14ac:dyDescent="0.25">
      <c r="P86" s="52" t="str">
        <f>IF(OR(ISBLANK(Q86), Q86=""),"", MAX(P$2:P85)+1)</f>
        <v/>
      </c>
      <c r="S86" s="16"/>
      <c r="T86" s="53" t="str">
        <f>_xll.ESHistD($Q86,_xll.ESFldID(T$2,"D"),"D",$S86)</f>
        <v/>
      </c>
      <c r="U86" s="53" t="str">
        <f>_xll.ESHistD($Q86,_xll.ESFldID(U$2,"D"),"D",$S86)</f>
        <v/>
      </c>
      <c r="V86" s="53" t="str">
        <f>_xll.ESHistD($Q86,_xll.ESFldID(V$2,"D"),"D",$S86)</f>
        <v/>
      </c>
      <c r="W86" s="53" t="str">
        <f>_xll.ESHistD($Q86,_xll.ESFldID(W$2,"D"),"D",$S86)</f>
        <v/>
      </c>
      <c r="X86" s="22" t="str">
        <f>_xll.ESHistD($Q86,_xll.ESFldID(X$2,"D"),"D",$S86)</f>
        <v/>
      </c>
      <c r="Y86" s="55" t="str">
        <f t="shared" si="1"/>
        <v/>
      </c>
      <c r="Z86" s="53" t="str">
        <f ca="1">_xll.ESHistD($Q86,_xll.ESFldID(Z$2,"D"),"D",$AC$1)</f>
        <v/>
      </c>
      <c r="AA86" s="53" t="str">
        <f ca="1">_xll.ESHistD($Q86,_xll.ESFldID(AA$2,"D"),"D",$AC$1)</f>
        <v/>
      </c>
      <c r="AB86" s="53" t="str">
        <f ca="1">_xll.ESHistD($Q86,_xll.ESFldID(AB$2,"D"),"D",$AC$1)</f>
        <v/>
      </c>
      <c r="AC86" s="53" t="str">
        <f ca="1">_xll.ESHistD($Q86,_xll.ESFldID(AC$2,"D"),"D",$AC$1)</f>
        <v/>
      </c>
      <c r="AD86" s="22" t="str">
        <f ca="1">_xll.ESHistD($Q86,_xll.ESFldID(AD$2,"D"),"D",$AC$1)</f>
        <v/>
      </c>
    </row>
    <row r="87" spans="16:30" x14ac:dyDescent="0.25">
      <c r="P87" s="52" t="str">
        <f>IF(OR(ISBLANK(Q87), Q87=""),"", MAX(P$2:P86)+1)</f>
        <v/>
      </c>
      <c r="S87" s="16"/>
      <c r="T87" s="53" t="str">
        <f>_xll.ESHistD($Q87,_xll.ESFldID(T$2,"D"),"D",$S87)</f>
        <v/>
      </c>
      <c r="U87" s="53" t="str">
        <f>_xll.ESHistD($Q87,_xll.ESFldID(U$2,"D"),"D",$S87)</f>
        <v/>
      </c>
      <c r="V87" s="53" t="str">
        <f>_xll.ESHistD($Q87,_xll.ESFldID(V$2,"D"),"D",$S87)</f>
        <v/>
      </c>
      <c r="W87" s="53" t="str">
        <f>_xll.ESHistD($Q87,_xll.ESFldID(W$2,"D"),"D",$S87)</f>
        <v/>
      </c>
      <c r="X87" s="22" t="str">
        <f>_xll.ESHistD($Q87,_xll.ESFldID(X$2,"D"),"D",$S87)</f>
        <v/>
      </c>
      <c r="Y87" s="55" t="str">
        <f t="shared" si="1"/>
        <v/>
      </c>
      <c r="Z87" s="53" t="str">
        <f ca="1">_xll.ESHistD($Q87,_xll.ESFldID(Z$2,"D"),"D",$AC$1)</f>
        <v/>
      </c>
      <c r="AA87" s="53" t="str">
        <f ca="1">_xll.ESHistD($Q87,_xll.ESFldID(AA$2,"D"),"D",$AC$1)</f>
        <v/>
      </c>
      <c r="AB87" s="53" t="str">
        <f ca="1">_xll.ESHistD($Q87,_xll.ESFldID(AB$2,"D"),"D",$AC$1)</f>
        <v/>
      </c>
      <c r="AC87" s="53" t="str">
        <f ca="1">_xll.ESHistD($Q87,_xll.ESFldID(AC$2,"D"),"D",$AC$1)</f>
        <v/>
      </c>
      <c r="AD87" s="22" t="str">
        <f ca="1">_xll.ESHistD($Q87,_xll.ESFldID(AD$2,"D"),"D",$AC$1)</f>
        <v/>
      </c>
    </row>
    <row r="88" spans="16:30" x14ac:dyDescent="0.25">
      <c r="P88" s="52" t="str">
        <f>IF(OR(ISBLANK(Q88), Q88=""),"", MAX(P$2:P87)+1)</f>
        <v/>
      </c>
      <c r="S88" s="16"/>
      <c r="T88" s="53" t="str">
        <f>_xll.ESHistD($Q88,_xll.ESFldID(T$2,"D"),"D",$S88)</f>
        <v/>
      </c>
      <c r="U88" s="53" t="str">
        <f>_xll.ESHistD($Q88,_xll.ESFldID(U$2,"D"),"D",$S88)</f>
        <v/>
      </c>
      <c r="V88" s="53" t="str">
        <f>_xll.ESHistD($Q88,_xll.ESFldID(V$2,"D"),"D",$S88)</f>
        <v/>
      </c>
      <c r="W88" s="53" t="str">
        <f>_xll.ESHistD($Q88,_xll.ESFldID(W$2,"D"),"D",$S88)</f>
        <v/>
      </c>
      <c r="X88" s="22" t="str">
        <f>_xll.ESHistD($Q88,_xll.ESFldID(X$2,"D"),"D",$S88)</f>
        <v/>
      </c>
      <c r="Y88" s="55" t="str">
        <f t="shared" si="1"/>
        <v/>
      </c>
      <c r="Z88" s="53" t="str">
        <f ca="1">_xll.ESHistD($Q88,_xll.ESFldID(Z$2,"D"),"D",$AC$1)</f>
        <v/>
      </c>
      <c r="AA88" s="53" t="str">
        <f ca="1">_xll.ESHistD($Q88,_xll.ESFldID(AA$2,"D"),"D",$AC$1)</f>
        <v/>
      </c>
      <c r="AB88" s="53" t="str">
        <f ca="1">_xll.ESHistD($Q88,_xll.ESFldID(AB$2,"D"),"D",$AC$1)</f>
        <v/>
      </c>
      <c r="AC88" s="53" t="str">
        <f ca="1">_xll.ESHistD($Q88,_xll.ESFldID(AC$2,"D"),"D",$AC$1)</f>
        <v/>
      </c>
      <c r="AD88" s="22" t="str">
        <f ca="1">_xll.ESHistD($Q88,_xll.ESFldID(AD$2,"D"),"D",$AC$1)</f>
        <v/>
      </c>
    </row>
    <row r="89" spans="16:30" x14ac:dyDescent="0.25">
      <c r="P89" s="52" t="str">
        <f>IF(OR(ISBLANK(Q89), Q89=""),"", MAX(P$2:P88)+1)</f>
        <v/>
      </c>
      <c r="S89" s="16"/>
      <c r="T89" s="53" t="str">
        <f>_xll.ESHistD($Q89,_xll.ESFldID(T$2,"D"),"D",$S89)</f>
        <v/>
      </c>
      <c r="U89" s="53" t="str">
        <f>_xll.ESHistD($Q89,_xll.ESFldID(U$2,"D"),"D",$S89)</f>
        <v/>
      </c>
      <c r="V89" s="53" t="str">
        <f>_xll.ESHistD($Q89,_xll.ESFldID(V$2,"D"),"D",$S89)</f>
        <v/>
      </c>
      <c r="W89" s="53" t="str">
        <f>_xll.ESHistD($Q89,_xll.ESFldID(W$2,"D"),"D",$S89)</f>
        <v/>
      </c>
      <c r="X89" s="22" t="str">
        <f>_xll.ESHistD($Q89,_xll.ESFldID(X$2,"D"),"D",$S89)</f>
        <v/>
      </c>
      <c r="Y89" s="55" t="str">
        <f t="shared" si="1"/>
        <v/>
      </c>
      <c r="Z89" s="53" t="str">
        <f ca="1">_xll.ESHistD($Q89,_xll.ESFldID(Z$2,"D"),"D",$AC$1)</f>
        <v/>
      </c>
      <c r="AA89" s="53" t="str">
        <f ca="1">_xll.ESHistD($Q89,_xll.ESFldID(AA$2,"D"),"D",$AC$1)</f>
        <v/>
      </c>
      <c r="AB89" s="53" t="str">
        <f ca="1">_xll.ESHistD($Q89,_xll.ESFldID(AB$2,"D"),"D",$AC$1)</f>
        <v/>
      </c>
      <c r="AC89" s="53" t="str">
        <f ca="1">_xll.ESHistD($Q89,_xll.ESFldID(AC$2,"D"),"D",$AC$1)</f>
        <v/>
      </c>
      <c r="AD89" s="22" t="str">
        <f ca="1">_xll.ESHistD($Q89,_xll.ESFldID(AD$2,"D"),"D",$AC$1)</f>
        <v/>
      </c>
    </row>
    <row r="90" spans="16:30" x14ac:dyDescent="0.25">
      <c r="P90" s="52" t="str">
        <f>IF(OR(ISBLANK(Q90), Q90=""),"", MAX(P$2:P89)+1)</f>
        <v/>
      </c>
      <c r="S90" s="16"/>
      <c r="T90" s="53" t="str">
        <f>_xll.ESHistD($Q90,_xll.ESFldID(T$2,"D"),"D",$S90)</f>
        <v/>
      </c>
      <c r="U90" s="53" t="str">
        <f>_xll.ESHistD($Q90,_xll.ESFldID(U$2,"D"),"D",$S90)</f>
        <v/>
      </c>
      <c r="V90" s="53" t="str">
        <f>_xll.ESHistD($Q90,_xll.ESFldID(V$2,"D"),"D",$S90)</f>
        <v/>
      </c>
      <c r="W90" s="53" t="str">
        <f>_xll.ESHistD($Q90,_xll.ESFldID(W$2,"D"),"D",$S90)</f>
        <v/>
      </c>
      <c r="X90" s="22" t="str">
        <f>_xll.ESHistD($Q90,_xll.ESFldID(X$2,"D"),"D",$S90)</f>
        <v/>
      </c>
      <c r="Y90" s="55" t="str">
        <f t="shared" si="1"/>
        <v/>
      </c>
      <c r="Z90" s="53" t="str">
        <f ca="1">_xll.ESHistD($Q90,_xll.ESFldID(Z$2,"D"),"D",$AC$1)</f>
        <v/>
      </c>
      <c r="AA90" s="53" t="str">
        <f ca="1">_xll.ESHistD($Q90,_xll.ESFldID(AA$2,"D"),"D",$AC$1)</f>
        <v/>
      </c>
      <c r="AB90" s="53" t="str">
        <f ca="1">_xll.ESHistD($Q90,_xll.ESFldID(AB$2,"D"),"D",$AC$1)</f>
        <v/>
      </c>
      <c r="AC90" s="53" t="str">
        <f ca="1">_xll.ESHistD($Q90,_xll.ESFldID(AC$2,"D"),"D",$AC$1)</f>
        <v/>
      </c>
      <c r="AD90" s="22" t="str">
        <f ca="1">_xll.ESHistD($Q90,_xll.ESFldID(AD$2,"D"),"D",$AC$1)</f>
        <v/>
      </c>
    </row>
    <row r="91" spans="16:30" x14ac:dyDescent="0.25">
      <c r="P91" s="52" t="str">
        <f>IF(OR(ISBLANK(Q91), Q91=""),"", MAX(P$2:P90)+1)</f>
        <v/>
      </c>
      <c r="S91" s="16"/>
      <c r="T91" s="53" t="str">
        <f>_xll.ESHistD($Q91,_xll.ESFldID(T$2,"D"),"D",$S91)</f>
        <v/>
      </c>
      <c r="U91" s="53" t="str">
        <f>_xll.ESHistD($Q91,_xll.ESFldID(U$2,"D"),"D",$S91)</f>
        <v/>
      </c>
      <c r="V91" s="53" t="str">
        <f>_xll.ESHistD($Q91,_xll.ESFldID(V$2,"D"),"D",$S91)</f>
        <v/>
      </c>
      <c r="W91" s="53" t="str">
        <f>_xll.ESHistD($Q91,_xll.ESFldID(W$2,"D"),"D",$S91)</f>
        <v/>
      </c>
      <c r="X91" s="22" t="str">
        <f>_xll.ESHistD($Q91,_xll.ESFldID(X$2,"D"),"D",$S91)</f>
        <v/>
      </c>
      <c r="Y91" s="55" t="str">
        <f t="shared" si="1"/>
        <v/>
      </c>
      <c r="Z91" s="53" t="str">
        <f ca="1">_xll.ESHistD($Q91,_xll.ESFldID(Z$2,"D"),"D",$AC$1)</f>
        <v/>
      </c>
      <c r="AA91" s="53" t="str">
        <f ca="1">_xll.ESHistD($Q91,_xll.ESFldID(AA$2,"D"),"D",$AC$1)</f>
        <v/>
      </c>
      <c r="AB91" s="53" t="str">
        <f ca="1">_xll.ESHistD($Q91,_xll.ESFldID(AB$2,"D"),"D",$AC$1)</f>
        <v/>
      </c>
      <c r="AC91" s="53" t="str">
        <f ca="1">_xll.ESHistD($Q91,_xll.ESFldID(AC$2,"D"),"D",$AC$1)</f>
        <v/>
      </c>
      <c r="AD91" s="22" t="str">
        <f ca="1">_xll.ESHistD($Q91,_xll.ESFldID(AD$2,"D"),"D",$AC$1)</f>
        <v/>
      </c>
    </row>
    <row r="92" spans="16:30" x14ac:dyDescent="0.25">
      <c r="P92" s="52" t="str">
        <f>IF(OR(ISBLANK(Q92), Q92=""),"", MAX(P$2:P91)+1)</f>
        <v/>
      </c>
      <c r="S92" s="16"/>
      <c r="T92" s="53" t="str">
        <f>_xll.ESHistD($Q92,_xll.ESFldID(T$2,"D"),"D",$S92)</f>
        <v/>
      </c>
      <c r="U92" s="53" t="str">
        <f>_xll.ESHistD($Q92,_xll.ESFldID(U$2,"D"),"D",$S92)</f>
        <v/>
      </c>
      <c r="V92" s="53" t="str">
        <f>_xll.ESHistD($Q92,_xll.ESFldID(V$2,"D"),"D",$S92)</f>
        <v/>
      </c>
      <c r="W92" s="53" t="str">
        <f>_xll.ESHistD($Q92,_xll.ESFldID(W$2,"D"),"D",$S92)</f>
        <v/>
      </c>
      <c r="X92" s="22" t="str">
        <f>_xll.ESHistD($Q92,_xll.ESFldID(X$2,"D"),"D",$S92)</f>
        <v/>
      </c>
      <c r="Y92" s="55" t="str">
        <f t="shared" si="1"/>
        <v/>
      </c>
      <c r="Z92" s="53" t="str">
        <f ca="1">_xll.ESHistD($Q92,_xll.ESFldID(Z$2,"D"),"D",$AC$1)</f>
        <v/>
      </c>
      <c r="AA92" s="53" t="str">
        <f ca="1">_xll.ESHistD($Q92,_xll.ESFldID(AA$2,"D"),"D",$AC$1)</f>
        <v/>
      </c>
      <c r="AB92" s="53" t="str">
        <f ca="1">_xll.ESHistD($Q92,_xll.ESFldID(AB$2,"D"),"D",$AC$1)</f>
        <v/>
      </c>
      <c r="AC92" s="53" t="str">
        <f ca="1">_xll.ESHistD($Q92,_xll.ESFldID(AC$2,"D"),"D",$AC$1)</f>
        <v/>
      </c>
      <c r="AD92" s="22" t="str">
        <f ca="1">_xll.ESHistD($Q92,_xll.ESFldID(AD$2,"D"),"D",$AC$1)</f>
        <v/>
      </c>
    </row>
    <row r="93" spans="16:30" x14ac:dyDescent="0.25">
      <c r="P93" s="52" t="str">
        <f>IF(OR(ISBLANK(Q93), Q93=""),"", MAX(P$2:P92)+1)</f>
        <v/>
      </c>
      <c r="S93" s="16"/>
      <c r="T93" s="53" t="str">
        <f>_xll.ESHistD($Q93,_xll.ESFldID(T$2,"D"),"D",$S93)</f>
        <v/>
      </c>
      <c r="U93" s="53" t="str">
        <f>_xll.ESHistD($Q93,_xll.ESFldID(U$2,"D"),"D",$S93)</f>
        <v/>
      </c>
      <c r="V93" s="53" t="str">
        <f>_xll.ESHistD($Q93,_xll.ESFldID(V$2,"D"),"D",$S93)</f>
        <v/>
      </c>
      <c r="W93" s="53" t="str">
        <f>_xll.ESHistD($Q93,_xll.ESFldID(W$2,"D"),"D",$S93)</f>
        <v/>
      </c>
      <c r="X93" s="22" t="str">
        <f>_xll.ESHistD($Q93,_xll.ESFldID(X$2,"D"),"D",$S93)</f>
        <v/>
      </c>
      <c r="Y93" s="55" t="str">
        <f t="shared" si="1"/>
        <v/>
      </c>
      <c r="Z93" s="53" t="str">
        <f ca="1">_xll.ESHistD($Q93,_xll.ESFldID(Z$2,"D"),"D",$AC$1)</f>
        <v/>
      </c>
      <c r="AA93" s="53" t="str">
        <f ca="1">_xll.ESHistD($Q93,_xll.ESFldID(AA$2,"D"),"D",$AC$1)</f>
        <v/>
      </c>
      <c r="AB93" s="53" t="str">
        <f ca="1">_xll.ESHistD($Q93,_xll.ESFldID(AB$2,"D"),"D",$AC$1)</f>
        <v/>
      </c>
      <c r="AC93" s="53" t="str">
        <f ca="1">_xll.ESHistD($Q93,_xll.ESFldID(AC$2,"D"),"D",$AC$1)</f>
        <v/>
      </c>
      <c r="AD93" s="22" t="str">
        <f ca="1">_xll.ESHistD($Q93,_xll.ESFldID(AD$2,"D"),"D",$AC$1)</f>
        <v/>
      </c>
    </row>
    <row r="94" spans="16:30" x14ac:dyDescent="0.25">
      <c r="P94" s="52" t="str">
        <f>IF(OR(ISBLANK(Q94), Q94=""),"", MAX(P$2:P93)+1)</f>
        <v/>
      </c>
      <c r="S94" s="16"/>
      <c r="T94" s="53" t="str">
        <f>_xll.ESHistD($Q94,_xll.ESFldID(T$2,"D"),"D",$S94)</f>
        <v/>
      </c>
      <c r="U94" s="53" t="str">
        <f>_xll.ESHistD($Q94,_xll.ESFldID(U$2,"D"),"D",$S94)</f>
        <v/>
      </c>
      <c r="V94" s="53" t="str">
        <f>_xll.ESHistD($Q94,_xll.ESFldID(V$2,"D"),"D",$S94)</f>
        <v/>
      </c>
      <c r="W94" s="53" t="str">
        <f>_xll.ESHistD($Q94,_xll.ESFldID(W$2,"D"),"D",$S94)</f>
        <v/>
      </c>
      <c r="X94" s="22" t="str">
        <f>_xll.ESHistD($Q94,_xll.ESFldID(X$2,"D"),"D",$S94)</f>
        <v/>
      </c>
      <c r="Y94" s="55" t="str">
        <f t="shared" si="1"/>
        <v/>
      </c>
      <c r="Z94" s="53" t="str">
        <f ca="1">_xll.ESHistD($Q94,_xll.ESFldID(Z$2,"D"),"D",$AC$1)</f>
        <v/>
      </c>
      <c r="AA94" s="53" t="str">
        <f ca="1">_xll.ESHistD($Q94,_xll.ESFldID(AA$2,"D"),"D",$AC$1)</f>
        <v/>
      </c>
      <c r="AB94" s="53" t="str">
        <f ca="1">_xll.ESHistD($Q94,_xll.ESFldID(AB$2,"D"),"D",$AC$1)</f>
        <v/>
      </c>
      <c r="AC94" s="53" t="str">
        <f ca="1">_xll.ESHistD($Q94,_xll.ESFldID(AC$2,"D"),"D",$AC$1)</f>
        <v/>
      </c>
      <c r="AD94" s="22" t="str">
        <f ca="1">_xll.ESHistD($Q94,_xll.ESFldID(AD$2,"D"),"D",$AC$1)</f>
        <v/>
      </c>
    </row>
    <row r="95" spans="16:30" x14ac:dyDescent="0.25">
      <c r="P95" s="52" t="str">
        <f>IF(OR(ISBLANK(Q95), Q95=""),"", MAX(P$2:P94)+1)</f>
        <v/>
      </c>
      <c r="S95" s="16"/>
      <c r="T95" s="53" t="str">
        <f>_xll.ESHistD($Q95,_xll.ESFldID(T$2,"D"),"D",$S95)</f>
        <v/>
      </c>
      <c r="U95" s="53" t="str">
        <f>_xll.ESHistD($Q95,_xll.ESFldID(U$2,"D"),"D",$S95)</f>
        <v/>
      </c>
      <c r="V95" s="53" t="str">
        <f>_xll.ESHistD($Q95,_xll.ESFldID(V$2,"D"),"D",$S95)</f>
        <v/>
      </c>
      <c r="W95" s="53" t="str">
        <f>_xll.ESHistD($Q95,_xll.ESFldID(W$2,"D"),"D",$S95)</f>
        <v/>
      </c>
      <c r="X95" s="22" t="str">
        <f>_xll.ESHistD($Q95,_xll.ESFldID(X$2,"D"),"D",$S95)</f>
        <v/>
      </c>
      <c r="Y95" s="55" t="str">
        <f t="shared" si="1"/>
        <v/>
      </c>
      <c r="Z95" s="53" t="str">
        <f ca="1">_xll.ESHistD($Q95,_xll.ESFldID(Z$2,"D"),"D",$AC$1)</f>
        <v/>
      </c>
      <c r="AA95" s="53" t="str">
        <f ca="1">_xll.ESHistD($Q95,_xll.ESFldID(AA$2,"D"),"D",$AC$1)</f>
        <v/>
      </c>
      <c r="AB95" s="53" t="str">
        <f ca="1">_xll.ESHistD($Q95,_xll.ESFldID(AB$2,"D"),"D",$AC$1)</f>
        <v/>
      </c>
      <c r="AC95" s="53" t="str">
        <f ca="1">_xll.ESHistD($Q95,_xll.ESFldID(AC$2,"D"),"D",$AC$1)</f>
        <v/>
      </c>
      <c r="AD95" s="22" t="str">
        <f ca="1">_xll.ESHistD($Q95,_xll.ESFldID(AD$2,"D"),"D",$AC$1)</f>
        <v/>
      </c>
    </row>
    <row r="96" spans="16:30" x14ac:dyDescent="0.25">
      <c r="P96" s="52" t="str">
        <f>IF(OR(ISBLANK(Q96), Q96=""),"", MAX(P$2:P95)+1)</f>
        <v/>
      </c>
      <c r="S96" s="16"/>
      <c r="T96" s="53" t="str">
        <f>_xll.ESHistD($Q96,_xll.ESFldID(T$2,"D"),"D",$S96)</f>
        <v/>
      </c>
      <c r="U96" s="53" t="str">
        <f>_xll.ESHistD($Q96,_xll.ESFldID(U$2,"D"),"D",$S96)</f>
        <v/>
      </c>
      <c r="V96" s="53" t="str">
        <f>_xll.ESHistD($Q96,_xll.ESFldID(V$2,"D"),"D",$S96)</f>
        <v/>
      </c>
      <c r="W96" s="53" t="str">
        <f>_xll.ESHistD($Q96,_xll.ESFldID(W$2,"D"),"D",$S96)</f>
        <v/>
      </c>
      <c r="X96" s="22" t="str">
        <f>_xll.ESHistD($Q96,_xll.ESFldID(X$2,"D"),"D",$S96)</f>
        <v/>
      </c>
      <c r="Y96" s="55" t="str">
        <f t="shared" si="1"/>
        <v/>
      </c>
      <c r="Z96" s="53" t="str">
        <f ca="1">_xll.ESHistD($Q96,_xll.ESFldID(Z$2,"D"),"D",$AC$1)</f>
        <v/>
      </c>
      <c r="AA96" s="53" t="str">
        <f ca="1">_xll.ESHistD($Q96,_xll.ESFldID(AA$2,"D"),"D",$AC$1)</f>
        <v/>
      </c>
      <c r="AB96" s="53" t="str">
        <f ca="1">_xll.ESHistD($Q96,_xll.ESFldID(AB$2,"D"),"D",$AC$1)</f>
        <v/>
      </c>
      <c r="AC96" s="53" t="str">
        <f ca="1">_xll.ESHistD($Q96,_xll.ESFldID(AC$2,"D"),"D",$AC$1)</f>
        <v/>
      </c>
      <c r="AD96" s="22" t="str">
        <f ca="1">_xll.ESHistD($Q96,_xll.ESFldID(AD$2,"D"),"D",$AC$1)</f>
        <v/>
      </c>
    </row>
    <row r="97" spans="16:30" x14ac:dyDescent="0.25">
      <c r="P97" s="52" t="str">
        <f>IF(OR(ISBLANK(Q97), Q97=""),"", MAX(P$2:P96)+1)</f>
        <v/>
      </c>
      <c r="S97" s="16"/>
      <c r="T97" s="53" t="str">
        <f>_xll.ESHistD($Q97,_xll.ESFldID(T$2,"D"),"D",$S97)</f>
        <v/>
      </c>
      <c r="U97" s="53" t="str">
        <f>_xll.ESHistD($Q97,_xll.ESFldID(U$2,"D"),"D",$S97)</f>
        <v/>
      </c>
      <c r="V97" s="53" t="str">
        <f>_xll.ESHistD($Q97,_xll.ESFldID(V$2,"D"),"D",$S97)</f>
        <v/>
      </c>
      <c r="W97" s="53" t="str">
        <f>_xll.ESHistD($Q97,_xll.ESFldID(W$2,"D"),"D",$S97)</f>
        <v/>
      </c>
      <c r="X97" s="22" t="str">
        <f>_xll.ESHistD($Q97,_xll.ESFldID(X$2,"D"),"D",$S97)</f>
        <v/>
      </c>
      <c r="Y97" s="55" t="str">
        <f t="shared" si="1"/>
        <v/>
      </c>
      <c r="Z97" s="53" t="str">
        <f ca="1">_xll.ESHistD($Q97,_xll.ESFldID(Z$2,"D"),"D",$AC$1)</f>
        <v/>
      </c>
      <c r="AA97" s="53" t="str">
        <f ca="1">_xll.ESHistD($Q97,_xll.ESFldID(AA$2,"D"),"D",$AC$1)</f>
        <v/>
      </c>
      <c r="AB97" s="53" t="str">
        <f ca="1">_xll.ESHistD($Q97,_xll.ESFldID(AB$2,"D"),"D",$AC$1)</f>
        <v/>
      </c>
      <c r="AC97" s="53" t="str">
        <f ca="1">_xll.ESHistD($Q97,_xll.ESFldID(AC$2,"D"),"D",$AC$1)</f>
        <v/>
      </c>
      <c r="AD97" s="22" t="str">
        <f ca="1">_xll.ESHistD($Q97,_xll.ESFldID(AD$2,"D"),"D",$AC$1)</f>
        <v/>
      </c>
    </row>
    <row r="98" spans="16:30" x14ac:dyDescent="0.25">
      <c r="P98" s="52" t="str">
        <f>IF(OR(ISBLANK(Q98), Q98=""),"", MAX(P$2:P97)+1)</f>
        <v/>
      </c>
      <c r="S98" s="16"/>
      <c r="T98" s="53" t="str">
        <f>_xll.ESHistD($Q98,_xll.ESFldID(T$2,"D"),"D",$S98)</f>
        <v/>
      </c>
      <c r="U98" s="53" t="str">
        <f>_xll.ESHistD($Q98,_xll.ESFldID(U$2,"D"),"D",$S98)</f>
        <v/>
      </c>
      <c r="V98" s="53" t="str">
        <f>_xll.ESHistD($Q98,_xll.ESFldID(V$2,"D"),"D",$S98)</f>
        <v/>
      </c>
      <c r="W98" s="53" t="str">
        <f>_xll.ESHistD($Q98,_xll.ESFldID(W$2,"D"),"D",$S98)</f>
        <v/>
      </c>
      <c r="X98" s="22" t="str">
        <f>_xll.ESHistD($Q98,_xll.ESFldID(X$2,"D"),"D",$S98)</f>
        <v/>
      </c>
      <c r="Y98" s="55" t="str">
        <f t="shared" si="1"/>
        <v/>
      </c>
      <c r="Z98" s="53" t="str">
        <f ca="1">_xll.ESHistD($Q98,_xll.ESFldID(Z$2,"D"),"D",$AC$1)</f>
        <v/>
      </c>
      <c r="AA98" s="53" t="str">
        <f ca="1">_xll.ESHistD($Q98,_xll.ESFldID(AA$2,"D"),"D",$AC$1)</f>
        <v/>
      </c>
      <c r="AB98" s="53" t="str">
        <f ca="1">_xll.ESHistD($Q98,_xll.ESFldID(AB$2,"D"),"D",$AC$1)</f>
        <v/>
      </c>
      <c r="AC98" s="53" t="str">
        <f ca="1">_xll.ESHistD($Q98,_xll.ESFldID(AC$2,"D"),"D",$AC$1)</f>
        <v/>
      </c>
      <c r="AD98" s="22" t="str">
        <f ca="1">_xll.ESHistD($Q98,_xll.ESFldID(AD$2,"D"),"D",$AC$1)</f>
        <v/>
      </c>
    </row>
    <row r="99" spans="16:30" x14ac:dyDescent="0.25">
      <c r="P99" s="52" t="str">
        <f>IF(OR(ISBLANK(Q99), Q99=""),"", MAX(P$2:P98)+1)</f>
        <v/>
      </c>
      <c r="S99" s="16"/>
      <c r="T99" s="53" t="str">
        <f>_xll.ESHistD($Q99,_xll.ESFldID(T$2,"D"),"D",$S99)</f>
        <v/>
      </c>
      <c r="U99" s="53" t="str">
        <f>_xll.ESHistD($Q99,_xll.ESFldID(U$2,"D"),"D",$S99)</f>
        <v/>
      </c>
      <c r="V99" s="53" t="str">
        <f>_xll.ESHistD($Q99,_xll.ESFldID(V$2,"D"),"D",$S99)</f>
        <v/>
      </c>
      <c r="W99" s="53" t="str">
        <f>_xll.ESHistD($Q99,_xll.ESFldID(W$2,"D"),"D",$S99)</f>
        <v/>
      </c>
      <c r="X99" s="22" t="str">
        <f>_xll.ESHistD($Q99,_xll.ESFldID(X$2,"D"),"D",$S99)</f>
        <v/>
      </c>
      <c r="Y99" s="55" t="str">
        <f t="shared" si="1"/>
        <v/>
      </c>
      <c r="Z99" s="53" t="str">
        <f ca="1">_xll.ESHistD($Q99,_xll.ESFldID(Z$2,"D"),"D",$AC$1)</f>
        <v/>
      </c>
      <c r="AA99" s="53" t="str">
        <f ca="1">_xll.ESHistD($Q99,_xll.ESFldID(AA$2,"D"),"D",$AC$1)</f>
        <v/>
      </c>
      <c r="AB99" s="53" t="str">
        <f ca="1">_xll.ESHistD($Q99,_xll.ESFldID(AB$2,"D"),"D",$AC$1)</f>
        <v/>
      </c>
      <c r="AC99" s="53" t="str">
        <f ca="1">_xll.ESHistD($Q99,_xll.ESFldID(AC$2,"D"),"D",$AC$1)</f>
        <v/>
      </c>
      <c r="AD99" s="22" t="str">
        <f ca="1">_xll.ESHistD($Q99,_xll.ESFldID(AD$2,"D"),"D",$AC$1)</f>
        <v/>
      </c>
    </row>
    <row r="100" spans="16:30" x14ac:dyDescent="0.25">
      <c r="P100" s="52" t="str">
        <f>IF(OR(ISBLANK(Q100), Q100=""),"", MAX(P$2:P99)+1)</f>
        <v/>
      </c>
      <c r="S100" s="16"/>
      <c r="T100" s="53" t="str">
        <f>_xll.ESHistD($Q100,_xll.ESFldID(T$2,"D"),"D",$S100)</f>
        <v/>
      </c>
      <c r="U100" s="53" t="str">
        <f>_xll.ESHistD($Q100,_xll.ESFldID(U$2,"D"),"D",$S100)</f>
        <v/>
      </c>
      <c r="V100" s="53" t="str">
        <f>_xll.ESHistD($Q100,_xll.ESFldID(V$2,"D"),"D",$S100)</f>
        <v/>
      </c>
      <c r="W100" s="53" t="str">
        <f>_xll.ESHistD($Q100,_xll.ESFldID(W$2,"D"),"D",$S100)</f>
        <v/>
      </c>
      <c r="X100" s="22" t="str">
        <f>_xll.ESHistD($Q100,_xll.ESFldID(X$2,"D"),"D",$S100)</f>
        <v/>
      </c>
      <c r="Y100" s="55" t="str">
        <f t="shared" si="1"/>
        <v/>
      </c>
      <c r="Z100" s="53" t="str">
        <f ca="1">_xll.ESHistD($Q100,_xll.ESFldID(Z$2,"D"),"D",$AC$1)</f>
        <v/>
      </c>
      <c r="AA100" s="53" t="str">
        <f ca="1">_xll.ESHistD($Q100,_xll.ESFldID(AA$2,"D"),"D",$AC$1)</f>
        <v/>
      </c>
      <c r="AB100" s="53" t="str">
        <f ca="1">_xll.ESHistD($Q100,_xll.ESFldID(AB$2,"D"),"D",$AC$1)</f>
        <v/>
      </c>
      <c r="AC100" s="53" t="str">
        <f ca="1">_xll.ESHistD($Q100,_xll.ESFldID(AC$2,"D"),"D",$AC$1)</f>
        <v/>
      </c>
      <c r="AD100" s="22" t="str">
        <f ca="1">_xll.ESHistD($Q100,_xll.ESFldID(AD$2,"D"),"D",$AC$1)</f>
        <v/>
      </c>
    </row>
    <row r="101" spans="16:30" x14ac:dyDescent="0.25">
      <c r="P101" s="52" t="str">
        <f>IF(OR(ISBLANK(Q101), Q101=""),"", MAX(P$2:P100)+1)</f>
        <v/>
      </c>
      <c r="S101" s="16"/>
      <c r="T101" s="53" t="str">
        <f>_xll.ESHistD($Q101,_xll.ESFldID(T$2,"D"),"D",$S101)</f>
        <v/>
      </c>
      <c r="U101" s="53" t="str">
        <f>_xll.ESHistD($Q101,_xll.ESFldID(U$2,"D"),"D",$S101)</f>
        <v/>
      </c>
      <c r="V101" s="53" t="str">
        <f>_xll.ESHistD($Q101,_xll.ESFldID(V$2,"D"),"D",$S101)</f>
        <v/>
      </c>
      <c r="W101" s="53" t="str">
        <f>_xll.ESHistD($Q101,_xll.ESFldID(W$2,"D"),"D",$S101)</f>
        <v/>
      </c>
      <c r="X101" s="22" t="str">
        <f>_xll.ESHistD($Q101,_xll.ESFldID(X$2,"D"),"D",$S101)</f>
        <v/>
      </c>
      <c r="Y101" s="55" t="str">
        <f t="shared" si="1"/>
        <v/>
      </c>
      <c r="Z101" s="53" t="str">
        <f ca="1">_xll.ESHistD($Q101,_xll.ESFldID(Z$2,"D"),"D",$AC$1)</f>
        <v/>
      </c>
      <c r="AA101" s="53" t="str">
        <f ca="1">_xll.ESHistD($Q101,_xll.ESFldID(AA$2,"D"),"D",$AC$1)</f>
        <v/>
      </c>
      <c r="AB101" s="53" t="str">
        <f ca="1">_xll.ESHistD($Q101,_xll.ESFldID(AB$2,"D"),"D",$AC$1)</f>
        <v/>
      </c>
      <c r="AC101" s="53" t="str">
        <f ca="1">_xll.ESHistD($Q101,_xll.ESFldID(AC$2,"D"),"D",$AC$1)</f>
        <v/>
      </c>
      <c r="AD101" s="22" t="str">
        <f ca="1">_xll.ESHistD($Q101,_xll.ESFldID(AD$2,"D"),"D",$AC$1)</f>
        <v/>
      </c>
    </row>
    <row r="102" spans="16:30" x14ac:dyDescent="0.25">
      <c r="P102" s="52" t="str">
        <f>IF(OR(ISBLANK(Q102), Q102=""),"", MAX(P$2:P101)+1)</f>
        <v/>
      </c>
      <c r="S102" s="16"/>
      <c r="T102" s="53" t="str">
        <f>_xll.ESHistD($Q102,_xll.ESFldID(T$2,"D"),"D",$S102)</f>
        <v/>
      </c>
      <c r="U102" s="53" t="str">
        <f>_xll.ESHistD($Q102,_xll.ESFldID(U$2,"D"),"D",$S102)</f>
        <v/>
      </c>
      <c r="V102" s="53" t="str">
        <f>_xll.ESHistD($Q102,_xll.ESFldID(V$2,"D"),"D",$S102)</f>
        <v/>
      </c>
      <c r="W102" s="53" t="str">
        <f>_xll.ESHistD($Q102,_xll.ESFldID(W$2,"D"),"D",$S102)</f>
        <v/>
      </c>
      <c r="X102" s="22" t="str">
        <f>_xll.ESHistD($Q102,_xll.ESFldID(X$2,"D"),"D",$S102)</f>
        <v/>
      </c>
      <c r="Y102" s="55" t="str">
        <f t="shared" si="1"/>
        <v/>
      </c>
      <c r="Z102" s="53" t="str">
        <f ca="1">_xll.ESHistD($Q102,_xll.ESFldID(Z$2,"D"),"D",$AC$1)</f>
        <v/>
      </c>
      <c r="AA102" s="53" t="str">
        <f ca="1">_xll.ESHistD($Q102,_xll.ESFldID(AA$2,"D"),"D",$AC$1)</f>
        <v/>
      </c>
      <c r="AB102" s="53" t="str">
        <f ca="1">_xll.ESHistD($Q102,_xll.ESFldID(AB$2,"D"),"D",$AC$1)</f>
        <v/>
      </c>
      <c r="AC102" s="53" t="str">
        <f ca="1">_xll.ESHistD($Q102,_xll.ESFldID(AC$2,"D"),"D",$AC$1)</f>
        <v/>
      </c>
      <c r="AD102" s="22" t="str">
        <f ca="1">_xll.ESHistD($Q102,_xll.ESFldID(AD$2,"D"),"D",$AC$1)</f>
        <v/>
      </c>
    </row>
    <row r="103" spans="16:30" x14ac:dyDescent="0.25">
      <c r="P103" s="52" t="str">
        <f>IF(OR(ISBLANK(Q103), Q103=""),"", MAX(P$2:P102)+1)</f>
        <v/>
      </c>
      <c r="S103" s="16"/>
      <c r="T103" s="53" t="str">
        <f>_xll.ESHistD($Q103,_xll.ESFldID(T$2,"D"),"D",$S103)</f>
        <v/>
      </c>
      <c r="U103" s="53" t="str">
        <f>_xll.ESHistD($Q103,_xll.ESFldID(U$2,"D"),"D",$S103)</f>
        <v/>
      </c>
      <c r="V103" s="53" t="str">
        <f>_xll.ESHistD($Q103,_xll.ESFldID(V$2,"D"),"D",$S103)</f>
        <v/>
      </c>
      <c r="W103" s="53" t="str">
        <f>_xll.ESHistD($Q103,_xll.ESFldID(W$2,"D"),"D",$S103)</f>
        <v/>
      </c>
      <c r="X103" s="22" t="str">
        <f>_xll.ESHistD($Q103,_xll.ESFldID(X$2,"D"),"D",$S103)</f>
        <v/>
      </c>
      <c r="Y103" s="55" t="str">
        <f t="shared" si="1"/>
        <v/>
      </c>
      <c r="Z103" s="53" t="str">
        <f ca="1">_xll.ESHistD($Q103,_xll.ESFldID(Z$2,"D"),"D",$AC$1)</f>
        <v/>
      </c>
      <c r="AA103" s="53" t="str">
        <f ca="1">_xll.ESHistD($Q103,_xll.ESFldID(AA$2,"D"),"D",$AC$1)</f>
        <v/>
      </c>
      <c r="AB103" s="53" t="str">
        <f ca="1">_xll.ESHistD($Q103,_xll.ESFldID(AB$2,"D"),"D",$AC$1)</f>
        <v/>
      </c>
      <c r="AC103" s="53" t="str">
        <f ca="1">_xll.ESHistD($Q103,_xll.ESFldID(AC$2,"D"),"D",$AC$1)</f>
        <v/>
      </c>
      <c r="AD103" s="22" t="str">
        <f ca="1">_xll.ESHistD($Q103,_xll.ESFldID(AD$2,"D"),"D",$AC$1)</f>
        <v/>
      </c>
    </row>
    <row r="104" spans="16:30" x14ac:dyDescent="0.25">
      <c r="P104" s="52" t="str">
        <f>IF(OR(ISBLANK(Q104), Q104=""),"", MAX(P$2:P103)+1)</f>
        <v/>
      </c>
      <c r="S104" s="16"/>
      <c r="T104" s="53" t="str">
        <f>_xll.ESHistD($Q104,_xll.ESFldID(T$2,"D"),"D",$S104)</f>
        <v/>
      </c>
      <c r="U104" s="53" t="str">
        <f>_xll.ESHistD($Q104,_xll.ESFldID(U$2,"D"),"D",$S104)</f>
        <v/>
      </c>
      <c r="V104" s="53" t="str">
        <f>_xll.ESHistD($Q104,_xll.ESFldID(V$2,"D"),"D",$S104)</f>
        <v/>
      </c>
      <c r="W104" s="53" t="str">
        <f>_xll.ESHistD($Q104,_xll.ESFldID(W$2,"D"),"D",$S104)</f>
        <v/>
      </c>
      <c r="X104" s="22" t="str">
        <f>_xll.ESHistD($Q104,_xll.ESFldID(X$2,"D"),"D",$S104)</f>
        <v/>
      </c>
      <c r="Y104" s="55" t="str">
        <f t="shared" si="1"/>
        <v/>
      </c>
      <c r="Z104" s="53" t="str">
        <f ca="1">_xll.ESHistD($Q104,_xll.ESFldID(Z$2,"D"),"D",$AC$1)</f>
        <v/>
      </c>
      <c r="AA104" s="53" t="str">
        <f ca="1">_xll.ESHistD($Q104,_xll.ESFldID(AA$2,"D"),"D",$AC$1)</f>
        <v/>
      </c>
      <c r="AB104" s="53" t="str">
        <f ca="1">_xll.ESHistD($Q104,_xll.ESFldID(AB$2,"D"),"D",$AC$1)</f>
        <v/>
      </c>
      <c r="AC104" s="53" t="str">
        <f ca="1">_xll.ESHistD($Q104,_xll.ESFldID(AC$2,"D"),"D",$AC$1)</f>
        <v/>
      </c>
      <c r="AD104" s="22" t="str">
        <f ca="1">_xll.ESHistD($Q104,_xll.ESFldID(AD$2,"D"),"D",$AC$1)</f>
        <v/>
      </c>
    </row>
    <row r="105" spans="16:30" x14ac:dyDescent="0.25">
      <c r="P105" s="52" t="str">
        <f>IF(OR(ISBLANK(Q105), Q105=""),"", MAX(P$2:P104)+1)</f>
        <v/>
      </c>
      <c r="S105" s="16"/>
      <c r="T105" s="53" t="str">
        <f>_xll.ESHistD($Q105,_xll.ESFldID(T$2,"D"),"D",$S105)</f>
        <v/>
      </c>
      <c r="U105" s="53" t="str">
        <f>_xll.ESHistD($Q105,_xll.ESFldID(U$2,"D"),"D",$S105)</f>
        <v/>
      </c>
      <c r="V105" s="53" t="str">
        <f>_xll.ESHistD($Q105,_xll.ESFldID(V$2,"D"),"D",$S105)</f>
        <v/>
      </c>
      <c r="W105" s="53" t="str">
        <f>_xll.ESHistD($Q105,_xll.ESFldID(W$2,"D"),"D",$S105)</f>
        <v/>
      </c>
      <c r="X105" s="22" t="str">
        <f>_xll.ESHistD($Q105,_xll.ESFldID(X$2,"D"),"D",$S105)</f>
        <v/>
      </c>
      <c r="Y105" s="55" t="str">
        <f t="shared" si="1"/>
        <v/>
      </c>
      <c r="Z105" s="53" t="str">
        <f ca="1">_xll.ESHistD($Q105,_xll.ESFldID(Z$2,"D"),"D",$AC$1)</f>
        <v/>
      </c>
      <c r="AA105" s="53" t="str">
        <f ca="1">_xll.ESHistD($Q105,_xll.ESFldID(AA$2,"D"),"D",$AC$1)</f>
        <v/>
      </c>
      <c r="AB105" s="53" t="str">
        <f ca="1">_xll.ESHistD($Q105,_xll.ESFldID(AB$2,"D"),"D",$AC$1)</f>
        <v/>
      </c>
      <c r="AC105" s="53" t="str">
        <f ca="1">_xll.ESHistD($Q105,_xll.ESFldID(AC$2,"D"),"D",$AC$1)</f>
        <v/>
      </c>
      <c r="AD105" s="22" t="str">
        <f ca="1">_xll.ESHistD($Q105,_xll.ESFldID(AD$2,"D"),"D",$AC$1)</f>
        <v/>
      </c>
    </row>
    <row r="106" spans="16:30" x14ac:dyDescent="0.25">
      <c r="P106" s="52" t="str">
        <f>IF(OR(ISBLANK(Q106), Q106=""),"", MAX(P$2:P105)+1)</f>
        <v/>
      </c>
      <c r="S106" s="16"/>
      <c r="T106" s="53" t="str">
        <f>_xll.ESHistD($Q106,_xll.ESFldID(T$2,"D"),"D",$S106)</f>
        <v/>
      </c>
      <c r="U106" s="53" t="str">
        <f>_xll.ESHistD($Q106,_xll.ESFldID(U$2,"D"),"D",$S106)</f>
        <v/>
      </c>
      <c r="V106" s="53" t="str">
        <f>_xll.ESHistD($Q106,_xll.ESFldID(V$2,"D"),"D",$S106)</f>
        <v/>
      </c>
      <c r="W106" s="53" t="str">
        <f>_xll.ESHistD($Q106,_xll.ESFldID(W$2,"D"),"D",$S106)</f>
        <v/>
      </c>
      <c r="X106" s="22" t="str">
        <f>_xll.ESHistD($Q106,_xll.ESFldID(X$2,"D"),"D",$S106)</f>
        <v/>
      </c>
      <c r="Y106" s="55" t="str">
        <f t="shared" si="1"/>
        <v/>
      </c>
      <c r="Z106" s="53" t="str">
        <f ca="1">_xll.ESHistD($Q106,_xll.ESFldID(Z$2,"D"),"D",$AC$1)</f>
        <v/>
      </c>
      <c r="AA106" s="53" t="str">
        <f ca="1">_xll.ESHistD($Q106,_xll.ESFldID(AA$2,"D"),"D",$AC$1)</f>
        <v/>
      </c>
      <c r="AB106" s="53" t="str">
        <f ca="1">_xll.ESHistD($Q106,_xll.ESFldID(AB$2,"D"),"D",$AC$1)</f>
        <v/>
      </c>
      <c r="AC106" s="53" t="str">
        <f ca="1">_xll.ESHistD($Q106,_xll.ESFldID(AC$2,"D"),"D",$AC$1)</f>
        <v/>
      </c>
      <c r="AD106" s="22" t="str">
        <f ca="1">_xll.ESHistD($Q106,_xll.ESFldID(AD$2,"D"),"D",$AC$1)</f>
        <v/>
      </c>
    </row>
    <row r="107" spans="16:30" x14ac:dyDescent="0.25">
      <c r="P107" s="52" t="str">
        <f>IF(OR(ISBLANK(Q107), Q107=""),"", MAX(P$2:P106)+1)</f>
        <v/>
      </c>
      <c r="S107" s="16"/>
      <c r="T107" s="53" t="str">
        <f>_xll.ESHistD($Q107,_xll.ESFldID(T$2,"D"),"D",$S107)</f>
        <v/>
      </c>
      <c r="U107" s="53" t="str">
        <f>_xll.ESHistD($Q107,_xll.ESFldID(U$2,"D"),"D",$S107)</f>
        <v/>
      </c>
      <c r="V107" s="53" t="str">
        <f>_xll.ESHistD($Q107,_xll.ESFldID(V$2,"D"),"D",$S107)</f>
        <v/>
      </c>
      <c r="W107" s="53" t="str">
        <f>_xll.ESHistD($Q107,_xll.ESFldID(W$2,"D"),"D",$S107)</f>
        <v/>
      </c>
      <c r="X107" s="22" t="str">
        <f>_xll.ESHistD($Q107,_xll.ESFldID(X$2,"D"),"D",$S107)</f>
        <v/>
      </c>
      <c r="Y107" s="55" t="str">
        <f t="shared" si="1"/>
        <v/>
      </c>
      <c r="Z107" s="53" t="str">
        <f ca="1">_xll.ESHistD($Q107,_xll.ESFldID(Z$2,"D"),"D",$AC$1)</f>
        <v/>
      </c>
      <c r="AA107" s="53" t="str">
        <f ca="1">_xll.ESHistD($Q107,_xll.ESFldID(AA$2,"D"),"D",$AC$1)</f>
        <v/>
      </c>
      <c r="AB107" s="53" t="str">
        <f ca="1">_xll.ESHistD($Q107,_xll.ESFldID(AB$2,"D"),"D",$AC$1)</f>
        <v/>
      </c>
      <c r="AC107" s="53" t="str">
        <f ca="1">_xll.ESHistD($Q107,_xll.ESFldID(AC$2,"D"),"D",$AC$1)</f>
        <v/>
      </c>
      <c r="AD107" s="22" t="str">
        <f ca="1">_xll.ESHistD($Q107,_xll.ESFldID(AD$2,"D"),"D",$AC$1)</f>
        <v/>
      </c>
    </row>
    <row r="108" spans="16:30" x14ac:dyDescent="0.25">
      <c r="P108" s="52" t="str">
        <f>IF(OR(ISBLANK(Q108), Q108=""),"", MAX(P$2:P107)+1)</f>
        <v/>
      </c>
      <c r="S108" s="16"/>
      <c r="T108" s="53" t="str">
        <f>_xll.ESHistD($Q108,_xll.ESFldID(T$2,"D"),"D",$S108)</f>
        <v/>
      </c>
      <c r="U108" s="53" t="str">
        <f>_xll.ESHistD($Q108,_xll.ESFldID(U$2,"D"),"D",$S108)</f>
        <v/>
      </c>
      <c r="V108" s="53" t="str">
        <f>_xll.ESHistD($Q108,_xll.ESFldID(V$2,"D"),"D",$S108)</f>
        <v/>
      </c>
      <c r="W108" s="53" t="str">
        <f>_xll.ESHistD($Q108,_xll.ESFldID(W$2,"D"),"D",$S108)</f>
        <v/>
      </c>
      <c r="X108" s="22" t="str">
        <f>_xll.ESHistD($Q108,_xll.ESFldID(X$2,"D"),"D",$S108)</f>
        <v/>
      </c>
      <c r="Y108" s="55" t="str">
        <f t="shared" si="1"/>
        <v/>
      </c>
      <c r="Z108" s="53" t="str">
        <f ca="1">_xll.ESHistD($Q108,_xll.ESFldID(Z$2,"D"),"D",$AC$1)</f>
        <v/>
      </c>
      <c r="AA108" s="53" t="str">
        <f ca="1">_xll.ESHistD($Q108,_xll.ESFldID(AA$2,"D"),"D",$AC$1)</f>
        <v/>
      </c>
      <c r="AB108" s="53" t="str">
        <f ca="1">_xll.ESHistD($Q108,_xll.ESFldID(AB$2,"D"),"D",$AC$1)</f>
        <v/>
      </c>
      <c r="AC108" s="53" t="str">
        <f ca="1">_xll.ESHistD($Q108,_xll.ESFldID(AC$2,"D"),"D",$AC$1)</f>
        <v/>
      </c>
      <c r="AD108" s="22" t="str">
        <f ca="1">_xll.ESHistD($Q108,_xll.ESFldID(AD$2,"D"),"D",$AC$1)</f>
        <v/>
      </c>
    </row>
    <row r="109" spans="16:30" x14ac:dyDescent="0.25">
      <c r="P109" s="52" t="str">
        <f>IF(OR(ISBLANK(Q109), Q109=""),"", MAX(P$2:P108)+1)</f>
        <v/>
      </c>
      <c r="S109" s="16"/>
      <c r="T109" s="53" t="str">
        <f>_xll.ESHistD($Q109,_xll.ESFldID(T$2,"D"),"D",$S109)</f>
        <v/>
      </c>
      <c r="U109" s="53" t="str">
        <f>_xll.ESHistD($Q109,_xll.ESFldID(U$2,"D"),"D",$S109)</f>
        <v/>
      </c>
      <c r="V109" s="53" t="str">
        <f>_xll.ESHistD($Q109,_xll.ESFldID(V$2,"D"),"D",$S109)</f>
        <v/>
      </c>
      <c r="W109" s="53" t="str">
        <f>_xll.ESHistD($Q109,_xll.ESFldID(W$2,"D"),"D",$S109)</f>
        <v/>
      </c>
      <c r="X109" s="22" t="str">
        <f>_xll.ESHistD($Q109,_xll.ESFldID(X$2,"D"),"D",$S109)</f>
        <v/>
      </c>
      <c r="Y109" s="55" t="str">
        <f t="shared" si="1"/>
        <v/>
      </c>
      <c r="Z109" s="53" t="str">
        <f ca="1">_xll.ESHistD($Q109,_xll.ESFldID(Z$2,"D"),"D",$AC$1)</f>
        <v/>
      </c>
      <c r="AA109" s="53" t="str">
        <f ca="1">_xll.ESHistD($Q109,_xll.ESFldID(AA$2,"D"),"D",$AC$1)</f>
        <v/>
      </c>
      <c r="AB109" s="53" t="str">
        <f ca="1">_xll.ESHistD($Q109,_xll.ESFldID(AB$2,"D"),"D",$AC$1)</f>
        <v/>
      </c>
      <c r="AC109" s="53" t="str">
        <f ca="1">_xll.ESHistD($Q109,_xll.ESFldID(AC$2,"D"),"D",$AC$1)</f>
        <v/>
      </c>
      <c r="AD109" s="22" t="str">
        <f ca="1">_xll.ESHistD($Q109,_xll.ESFldID(AD$2,"D"),"D",$AC$1)</f>
        <v/>
      </c>
    </row>
    <row r="110" spans="16:30" x14ac:dyDescent="0.25">
      <c r="P110" s="52" t="str">
        <f>IF(OR(ISBLANK(Q110), Q110=""),"", MAX(P$2:P109)+1)</f>
        <v/>
      </c>
      <c r="S110" s="16"/>
      <c r="T110" s="53" t="str">
        <f>_xll.ESHistD($Q110,_xll.ESFldID(T$2,"D"),"D",$S110)</f>
        <v/>
      </c>
      <c r="U110" s="53" t="str">
        <f>_xll.ESHistD($Q110,_xll.ESFldID(U$2,"D"),"D",$S110)</f>
        <v/>
      </c>
      <c r="V110" s="53" t="str">
        <f>_xll.ESHistD($Q110,_xll.ESFldID(V$2,"D"),"D",$S110)</f>
        <v/>
      </c>
      <c r="W110" s="53" t="str">
        <f>_xll.ESHistD($Q110,_xll.ESFldID(W$2,"D"),"D",$S110)</f>
        <v/>
      </c>
      <c r="X110" s="22" t="str">
        <f>_xll.ESHistD($Q110,_xll.ESFldID(X$2,"D"),"D",$S110)</f>
        <v/>
      </c>
      <c r="Y110" s="55" t="str">
        <f t="shared" si="1"/>
        <v/>
      </c>
      <c r="Z110" s="53" t="str">
        <f ca="1">_xll.ESHistD($Q110,_xll.ESFldID(Z$2,"D"),"D",$AC$1)</f>
        <v/>
      </c>
      <c r="AA110" s="53" t="str">
        <f ca="1">_xll.ESHistD($Q110,_xll.ESFldID(AA$2,"D"),"D",$AC$1)</f>
        <v/>
      </c>
      <c r="AB110" s="53" t="str">
        <f ca="1">_xll.ESHistD($Q110,_xll.ESFldID(AB$2,"D"),"D",$AC$1)</f>
        <v/>
      </c>
      <c r="AC110" s="53" t="str">
        <f ca="1">_xll.ESHistD($Q110,_xll.ESFldID(AC$2,"D"),"D",$AC$1)</f>
        <v/>
      </c>
      <c r="AD110" s="22" t="str">
        <f ca="1">_xll.ESHistD($Q110,_xll.ESFldID(AD$2,"D"),"D",$AC$1)</f>
        <v/>
      </c>
    </row>
    <row r="111" spans="16:30" x14ac:dyDescent="0.25">
      <c r="P111" s="52" t="str">
        <f>IF(OR(ISBLANK(Q111), Q111=""),"", MAX(P$2:P110)+1)</f>
        <v/>
      </c>
      <c r="S111" s="16"/>
      <c r="T111" s="53" t="str">
        <f>_xll.ESHistD($Q111,_xll.ESFldID(T$2,"D"),"D",$S111)</f>
        <v/>
      </c>
      <c r="U111" s="53" t="str">
        <f>_xll.ESHistD($Q111,_xll.ESFldID(U$2,"D"),"D",$S111)</f>
        <v/>
      </c>
      <c r="V111" s="53" t="str">
        <f>_xll.ESHistD($Q111,_xll.ESFldID(V$2,"D"),"D",$S111)</f>
        <v/>
      </c>
      <c r="W111" s="53" t="str">
        <f>_xll.ESHistD($Q111,_xll.ESFldID(W$2,"D"),"D",$S111)</f>
        <v/>
      </c>
      <c r="X111" s="22" t="str">
        <f>_xll.ESHistD($Q111,_xll.ESFldID(X$2,"D"),"D",$S111)</f>
        <v/>
      </c>
      <c r="Y111" s="55" t="str">
        <f t="shared" si="1"/>
        <v/>
      </c>
      <c r="Z111" s="53" t="str">
        <f ca="1">_xll.ESHistD($Q111,_xll.ESFldID(Z$2,"D"),"D",$AC$1)</f>
        <v/>
      </c>
      <c r="AA111" s="53" t="str">
        <f ca="1">_xll.ESHistD($Q111,_xll.ESFldID(AA$2,"D"),"D",$AC$1)</f>
        <v/>
      </c>
      <c r="AB111" s="53" t="str">
        <f ca="1">_xll.ESHistD($Q111,_xll.ESFldID(AB$2,"D"),"D",$AC$1)</f>
        <v/>
      </c>
      <c r="AC111" s="53" t="str">
        <f ca="1">_xll.ESHistD($Q111,_xll.ESFldID(AC$2,"D"),"D",$AC$1)</f>
        <v/>
      </c>
      <c r="AD111" s="22" t="str">
        <f ca="1">_xll.ESHistD($Q111,_xll.ESFldID(AD$2,"D"),"D",$AC$1)</f>
        <v/>
      </c>
    </row>
    <row r="112" spans="16:30" x14ac:dyDescent="0.25">
      <c r="P112" s="52" t="str">
        <f>IF(OR(ISBLANK(Q112), Q112=""),"", MAX(P$2:P111)+1)</f>
        <v/>
      </c>
      <c r="S112" s="16"/>
      <c r="T112" s="53" t="str">
        <f>_xll.ESHistD($Q112,_xll.ESFldID(T$2,"D"),"D",$S112)</f>
        <v/>
      </c>
      <c r="U112" s="53" t="str">
        <f>_xll.ESHistD($Q112,_xll.ESFldID(U$2,"D"),"D",$S112)</f>
        <v/>
      </c>
      <c r="V112" s="53" t="str">
        <f>_xll.ESHistD($Q112,_xll.ESFldID(V$2,"D"),"D",$S112)</f>
        <v/>
      </c>
      <c r="W112" s="53" t="str">
        <f>_xll.ESHistD($Q112,_xll.ESFldID(W$2,"D"),"D",$S112)</f>
        <v/>
      </c>
      <c r="X112" s="22" t="str">
        <f>_xll.ESHistD($Q112,_xll.ESFldID(X$2,"D"),"D",$S112)</f>
        <v/>
      </c>
      <c r="Y112" s="55" t="str">
        <f t="shared" si="1"/>
        <v/>
      </c>
      <c r="Z112" s="53" t="str">
        <f ca="1">_xll.ESHistD($Q112,_xll.ESFldID(Z$2,"D"),"D",$AC$1)</f>
        <v/>
      </c>
      <c r="AA112" s="53" t="str">
        <f ca="1">_xll.ESHistD($Q112,_xll.ESFldID(AA$2,"D"),"D",$AC$1)</f>
        <v/>
      </c>
      <c r="AB112" s="53" t="str">
        <f ca="1">_xll.ESHistD($Q112,_xll.ESFldID(AB$2,"D"),"D",$AC$1)</f>
        <v/>
      </c>
      <c r="AC112" s="53" t="str">
        <f ca="1">_xll.ESHistD($Q112,_xll.ESFldID(AC$2,"D"),"D",$AC$1)</f>
        <v/>
      </c>
      <c r="AD112" s="22" t="str">
        <f ca="1">_xll.ESHistD($Q112,_xll.ESFldID(AD$2,"D"),"D",$AC$1)</f>
        <v/>
      </c>
    </row>
    <row r="113" spans="16:30" x14ac:dyDescent="0.25">
      <c r="P113" s="52" t="str">
        <f>IF(OR(ISBLANK(Q113), Q113=""),"", MAX(P$2:P112)+1)</f>
        <v/>
      </c>
      <c r="S113" s="16"/>
      <c r="T113" s="53" t="str">
        <f>_xll.ESHistD($Q113,_xll.ESFldID(T$2,"D"),"D",$S113)</f>
        <v/>
      </c>
      <c r="U113" s="53" t="str">
        <f>_xll.ESHistD($Q113,_xll.ESFldID(U$2,"D"),"D",$S113)</f>
        <v/>
      </c>
      <c r="V113" s="53" t="str">
        <f>_xll.ESHistD($Q113,_xll.ESFldID(V$2,"D"),"D",$S113)</f>
        <v/>
      </c>
      <c r="W113" s="53" t="str">
        <f>_xll.ESHistD($Q113,_xll.ESFldID(W$2,"D"),"D",$S113)</f>
        <v/>
      </c>
      <c r="X113" s="22" t="str">
        <f>_xll.ESHistD($Q113,_xll.ESFldID(X$2,"D"),"D",$S113)</f>
        <v/>
      </c>
      <c r="Y113" s="55" t="str">
        <f t="shared" si="1"/>
        <v/>
      </c>
      <c r="Z113" s="53" t="str">
        <f ca="1">_xll.ESHistD($Q113,_xll.ESFldID(Z$2,"D"),"D",$AC$1)</f>
        <v/>
      </c>
      <c r="AA113" s="53" t="str">
        <f ca="1">_xll.ESHistD($Q113,_xll.ESFldID(AA$2,"D"),"D",$AC$1)</f>
        <v/>
      </c>
      <c r="AB113" s="53" t="str">
        <f ca="1">_xll.ESHistD($Q113,_xll.ESFldID(AB$2,"D"),"D",$AC$1)</f>
        <v/>
      </c>
      <c r="AC113" s="53" t="str">
        <f ca="1">_xll.ESHistD($Q113,_xll.ESFldID(AC$2,"D"),"D",$AC$1)</f>
        <v/>
      </c>
      <c r="AD113" s="22" t="str">
        <f ca="1">_xll.ESHistD($Q113,_xll.ESFldID(AD$2,"D"),"D",$AC$1)</f>
        <v/>
      </c>
    </row>
    <row r="114" spans="16:30" x14ac:dyDescent="0.25">
      <c r="P114" s="52" t="str">
        <f>IF(OR(ISBLANK(Q114), Q114=""),"", MAX(P$2:P113)+1)</f>
        <v/>
      </c>
      <c r="S114" s="16"/>
      <c r="T114" s="53" t="str">
        <f>_xll.ESHistD($Q114,_xll.ESFldID(T$2,"D"),"D",$S114)</f>
        <v/>
      </c>
      <c r="U114" s="53" t="str">
        <f>_xll.ESHistD($Q114,_xll.ESFldID(U$2,"D"),"D",$S114)</f>
        <v/>
      </c>
      <c r="V114" s="53" t="str">
        <f>_xll.ESHistD($Q114,_xll.ESFldID(V$2,"D"),"D",$S114)</f>
        <v/>
      </c>
      <c r="W114" s="53" t="str">
        <f>_xll.ESHistD($Q114,_xll.ESFldID(W$2,"D"),"D",$S114)</f>
        <v/>
      </c>
      <c r="X114" s="22" t="str">
        <f>_xll.ESHistD($Q114,_xll.ESFldID(X$2,"D"),"D",$S114)</f>
        <v/>
      </c>
      <c r="Y114" s="55" t="str">
        <f t="shared" si="1"/>
        <v/>
      </c>
      <c r="Z114" s="53" t="str">
        <f ca="1">_xll.ESHistD($Q114,_xll.ESFldID(Z$2,"D"),"D",$AC$1)</f>
        <v/>
      </c>
      <c r="AA114" s="53" t="str">
        <f ca="1">_xll.ESHistD($Q114,_xll.ESFldID(AA$2,"D"),"D",$AC$1)</f>
        <v/>
      </c>
      <c r="AB114" s="53" t="str">
        <f ca="1">_xll.ESHistD($Q114,_xll.ESFldID(AB$2,"D"),"D",$AC$1)</f>
        <v/>
      </c>
      <c r="AC114" s="53" t="str">
        <f ca="1">_xll.ESHistD($Q114,_xll.ESFldID(AC$2,"D"),"D",$AC$1)</f>
        <v/>
      </c>
      <c r="AD114" s="22" t="str">
        <f ca="1">_xll.ESHistD($Q114,_xll.ESFldID(AD$2,"D"),"D",$AC$1)</f>
        <v/>
      </c>
    </row>
    <row r="115" spans="16:30" x14ac:dyDescent="0.25">
      <c r="P115" s="52" t="str">
        <f>IF(OR(ISBLANK(Q115), Q115=""),"", MAX(P$2:P114)+1)</f>
        <v/>
      </c>
      <c r="S115" s="16"/>
      <c r="T115" s="53" t="str">
        <f>_xll.ESHistD($Q115,_xll.ESFldID(T$2,"D"),"D",$S115)</f>
        <v/>
      </c>
      <c r="U115" s="53" t="str">
        <f>_xll.ESHistD($Q115,_xll.ESFldID(U$2,"D"),"D",$S115)</f>
        <v/>
      </c>
      <c r="V115" s="53" t="str">
        <f>_xll.ESHistD($Q115,_xll.ESFldID(V$2,"D"),"D",$S115)</f>
        <v/>
      </c>
      <c r="W115" s="53" t="str">
        <f>_xll.ESHistD($Q115,_xll.ESFldID(W$2,"D"),"D",$S115)</f>
        <v/>
      </c>
      <c r="X115" s="22" t="str">
        <f>_xll.ESHistD($Q115,_xll.ESFldID(X$2,"D"),"D",$S115)</f>
        <v/>
      </c>
      <c r="Y115" s="55" t="str">
        <f t="shared" si="1"/>
        <v/>
      </c>
      <c r="Z115" s="53" t="str">
        <f ca="1">_xll.ESHistD($Q115,_xll.ESFldID(Z$2,"D"),"D",$AC$1)</f>
        <v/>
      </c>
      <c r="AA115" s="53" t="str">
        <f ca="1">_xll.ESHistD($Q115,_xll.ESFldID(AA$2,"D"),"D",$AC$1)</f>
        <v/>
      </c>
      <c r="AB115" s="53" t="str">
        <f ca="1">_xll.ESHistD($Q115,_xll.ESFldID(AB$2,"D"),"D",$AC$1)</f>
        <v/>
      </c>
      <c r="AC115" s="53" t="str">
        <f ca="1">_xll.ESHistD($Q115,_xll.ESFldID(AC$2,"D"),"D",$AC$1)</f>
        <v/>
      </c>
      <c r="AD115" s="22" t="str">
        <f ca="1">_xll.ESHistD($Q115,_xll.ESFldID(AD$2,"D"),"D",$AC$1)</f>
        <v/>
      </c>
    </row>
    <row r="116" spans="16:30" x14ac:dyDescent="0.25">
      <c r="P116" s="52" t="str">
        <f>IF(OR(ISBLANK(Q116), Q116=""),"", MAX(P$2:P115)+1)</f>
        <v/>
      </c>
      <c r="S116" s="16"/>
      <c r="T116" s="53" t="str">
        <f>_xll.ESHistD($Q116,_xll.ESFldID(T$2,"D"),"D",$S116)</f>
        <v/>
      </c>
      <c r="U116" s="53" t="str">
        <f>_xll.ESHistD($Q116,_xll.ESFldID(U$2,"D"),"D",$S116)</f>
        <v/>
      </c>
      <c r="V116" s="53" t="str">
        <f>_xll.ESHistD($Q116,_xll.ESFldID(V$2,"D"),"D",$S116)</f>
        <v/>
      </c>
      <c r="W116" s="53" t="str">
        <f>_xll.ESHistD($Q116,_xll.ESFldID(W$2,"D"),"D",$S116)</f>
        <v/>
      </c>
      <c r="X116" s="22" t="str">
        <f>_xll.ESHistD($Q116,_xll.ESFldID(X$2,"D"),"D",$S116)</f>
        <v/>
      </c>
      <c r="Y116" s="55" t="str">
        <f t="shared" si="1"/>
        <v/>
      </c>
      <c r="Z116" s="53" t="str">
        <f ca="1">_xll.ESHistD($Q116,_xll.ESFldID(Z$2,"D"),"D",$AC$1)</f>
        <v/>
      </c>
      <c r="AA116" s="53" t="str">
        <f ca="1">_xll.ESHistD($Q116,_xll.ESFldID(AA$2,"D"),"D",$AC$1)</f>
        <v/>
      </c>
      <c r="AB116" s="53" t="str">
        <f ca="1">_xll.ESHistD($Q116,_xll.ESFldID(AB$2,"D"),"D",$AC$1)</f>
        <v/>
      </c>
      <c r="AC116" s="53" t="str">
        <f ca="1">_xll.ESHistD($Q116,_xll.ESFldID(AC$2,"D"),"D",$AC$1)</f>
        <v/>
      </c>
      <c r="AD116" s="22" t="str">
        <f ca="1">_xll.ESHistD($Q116,_xll.ESFldID(AD$2,"D"),"D",$AC$1)</f>
        <v/>
      </c>
    </row>
    <row r="117" spans="16:30" x14ac:dyDescent="0.25">
      <c r="P117" s="52" t="str">
        <f>IF(OR(ISBLANK(Q117), Q117=""),"", MAX(P$2:P116)+1)</f>
        <v/>
      </c>
      <c r="S117" s="16"/>
      <c r="T117" s="53" t="str">
        <f>_xll.ESHistD($Q117,_xll.ESFldID(T$2,"D"),"D",$S117)</f>
        <v/>
      </c>
      <c r="U117" s="53" t="str">
        <f>_xll.ESHistD($Q117,_xll.ESFldID(U$2,"D"),"D",$S117)</f>
        <v/>
      </c>
      <c r="V117" s="53" t="str">
        <f>_xll.ESHistD($Q117,_xll.ESFldID(V$2,"D"),"D",$S117)</f>
        <v/>
      </c>
      <c r="W117" s="53" t="str">
        <f>_xll.ESHistD($Q117,_xll.ESFldID(W$2,"D"),"D",$S117)</f>
        <v/>
      </c>
      <c r="X117" s="22" t="str">
        <f>_xll.ESHistD($Q117,_xll.ESFldID(X$2,"D"),"D",$S117)</f>
        <v/>
      </c>
      <c r="Y117" s="55" t="str">
        <f t="shared" si="1"/>
        <v/>
      </c>
      <c r="Z117" s="53" t="str">
        <f ca="1">_xll.ESHistD($Q117,_xll.ESFldID(Z$2,"D"),"D",$AC$1)</f>
        <v/>
      </c>
      <c r="AA117" s="53" t="str">
        <f ca="1">_xll.ESHistD($Q117,_xll.ESFldID(AA$2,"D"),"D",$AC$1)</f>
        <v/>
      </c>
      <c r="AB117" s="53" t="str">
        <f ca="1">_xll.ESHistD($Q117,_xll.ESFldID(AB$2,"D"),"D",$AC$1)</f>
        <v/>
      </c>
      <c r="AC117" s="53" t="str">
        <f ca="1">_xll.ESHistD($Q117,_xll.ESFldID(AC$2,"D"),"D",$AC$1)</f>
        <v/>
      </c>
      <c r="AD117" s="22" t="str">
        <f ca="1">_xll.ESHistD($Q117,_xll.ESFldID(AD$2,"D"),"D",$AC$1)</f>
        <v/>
      </c>
    </row>
    <row r="118" spans="16:30" x14ac:dyDescent="0.25">
      <c r="P118" s="52" t="str">
        <f>IF(OR(ISBLANK(Q118), Q118=""),"", MAX(P$2:P117)+1)</f>
        <v/>
      </c>
      <c r="S118" s="16"/>
      <c r="T118" s="53" t="str">
        <f>_xll.ESHistD($Q118,_xll.ESFldID(T$2,"D"),"D",$S118)</f>
        <v/>
      </c>
      <c r="U118" s="53" t="str">
        <f>_xll.ESHistD($Q118,_xll.ESFldID(U$2,"D"),"D",$S118)</f>
        <v/>
      </c>
      <c r="V118" s="53" t="str">
        <f>_xll.ESHistD($Q118,_xll.ESFldID(V$2,"D"),"D",$S118)</f>
        <v/>
      </c>
      <c r="W118" s="53" t="str">
        <f>_xll.ESHistD($Q118,_xll.ESFldID(W$2,"D"),"D",$S118)</f>
        <v/>
      </c>
      <c r="X118" s="22" t="str">
        <f>_xll.ESHistD($Q118,_xll.ESFldID(X$2,"D"),"D",$S118)</f>
        <v/>
      </c>
      <c r="Y118" s="55" t="str">
        <f t="shared" si="1"/>
        <v/>
      </c>
      <c r="Z118" s="53" t="str">
        <f ca="1">_xll.ESHistD($Q118,_xll.ESFldID(Z$2,"D"),"D",$AC$1)</f>
        <v/>
      </c>
      <c r="AA118" s="53" t="str">
        <f ca="1">_xll.ESHistD($Q118,_xll.ESFldID(AA$2,"D"),"D",$AC$1)</f>
        <v/>
      </c>
      <c r="AB118" s="53" t="str">
        <f ca="1">_xll.ESHistD($Q118,_xll.ESFldID(AB$2,"D"),"D",$AC$1)</f>
        <v/>
      </c>
      <c r="AC118" s="53" t="str">
        <f ca="1">_xll.ESHistD($Q118,_xll.ESFldID(AC$2,"D"),"D",$AC$1)</f>
        <v/>
      </c>
      <c r="AD118" s="22" t="str">
        <f ca="1">_xll.ESHistD($Q118,_xll.ESFldID(AD$2,"D"),"D",$AC$1)</f>
        <v/>
      </c>
    </row>
    <row r="119" spans="16:30" x14ac:dyDescent="0.25">
      <c r="P119" s="52" t="str">
        <f>IF(OR(ISBLANK(Q119), Q119=""),"", MAX(P$2:P118)+1)</f>
        <v/>
      </c>
      <c r="S119" s="16"/>
      <c r="T119" s="53" t="str">
        <f>_xll.ESHistD($Q119,_xll.ESFldID(T$2,"D"),"D",$S119)</f>
        <v/>
      </c>
      <c r="U119" s="53" t="str">
        <f>_xll.ESHistD($Q119,_xll.ESFldID(U$2,"D"),"D",$S119)</f>
        <v/>
      </c>
      <c r="V119" s="53" t="str">
        <f>_xll.ESHistD($Q119,_xll.ESFldID(V$2,"D"),"D",$S119)</f>
        <v/>
      </c>
      <c r="W119" s="53" t="str">
        <f>_xll.ESHistD($Q119,_xll.ESFldID(W$2,"D"),"D",$S119)</f>
        <v/>
      </c>
      <c r="X119" s="22" t="str">
        <f>_xll.ESHistD($Q119,_xll.ESFldID(X$2,"D"),"D",$S119)</f>
        <v/>
      </c>
      <c r="Y119" s="55" t="str">
        <f t="shared" si="1"/>
        <v/>
      </c>
      <c r="Z119" s="53" t="str">
        <f ca="1">_xll.ESHistD($Q119,_xll.ESFldID(Z$2,"D"),"D",$AC$1)</f>
        <v/>
      </c>
      <c r="AA119" s="53" t="str">
        <f ca="1">_xll.ESHistD($Q119,_xll.ESFldID(AA$2,"D"),"D",$AC$1)</f>
        <v/>
      </c>
      <c r="AB119" s="53" t="str">
        <f ca="1">_xll.ESHistD($Q119,_xll.ESFldID(AB$2,"D"),"D",$AC$1)</f>
        <v/>
      </c>
      <c r="AC119" s="53" t="str">
        <f ca="1">_xll.ESHistD($Q119,_xll.ESFldID(AC$2,"D"),"D",$AC$1)</f>
        <v/>
      </c>
      <c r="AD119" s="22" t="str">
        <f ca="1">_xll.ESHistD($Q119,_xll.ESFldID(AD$2,"D"),"D",$AC$1)</f>
        <v/>
      </c>
    </row>
    <row r="120" spans="16:30" x14ac:dyDescent="0.25">
      <c r="P120" s="52" t="str">
        <f>IF(OR(ISBLANK(Q120), Q120=""),"", MAX(P$2:P119)+1)</f>
        <v/>
      </c>
      <c r="S120" s="16"/>
      <c r="T120" s="53" t="str">
        <f>_xll.ESHistD($Q120,_xll.ESFldID(T$2,"D"),"D",$S120)</f>
        <v/>
      </c>
      <c r="U120" s="53" t="str">
        <f>_xll.ESHistD($Q120,_xll.ESFldID(U$2,"D"),"D",$S120)</f>
        <v/>
      </c>
      <c r="V120" s="53" t="str">
        <f>_xll.ESHistD($Q120,_xll.ESFldID(V$2,"D"),"D",$S120)</f>
        <v/>
      </c>
      <c r="W120" s="53" t="str">
        <f>_xll.ESHistD($Q120,_xll.ESFldID(W$2,"D"),"D",$S120)</f>
        <v/>
      </c>
      <c r="X120" s="22" t="str">
        <f>_xll.ESHistD($Q120,_xll.ESFldID(X$2,"D"),"D",$S120)</f>
        <v/>
      </c>
      <c r="Y120" s="55" t="str">
        <f t="shared" si="1"/>
        <v/>
      </c>
      <c r="Z120" s="53" t="str">
        <f ca="1">_xll.ESHistD($Q120,_xll.ESFldID(Z$2,"D"),"D",$AC$1)</f>
        <v/>
      </c>
      <c r="AA120" s="53" t="str">
        <f ca="1">_xll.ESHistD($Q120,_xll.ESFldID(AA$2,"D"),"D",$AC$1)</f>
        <v/>
      </c>
      <c r="AB120" s="53" t="str">
        <f ca="1">_xll.ESHistD($Q120,_xll.ESFldID(AB$2,"D"),"D",$AC$1)</f>
        <v/>
      </c>
      <c r="AC120" s="53" t="str">
        <f ca="1">_xll.ESHistD($Q120,_xll.ESFldID(AC$2,"D"),"D",$AC$1)</f>
        <v/>
      </c>
      <c r="AD120" s="22" t="str">
        <f ca="1">_xll.ESHistD($Q120,_xll.ESFldID(AD$2,"D"),"D",$AC$1)</f>
        <v/>
      </c>
    </row>
    <row r="121" spans="16:30" x14ac:dyDescent="0.25">
      <c r="P121" s="52" t="str">
        <f>IF(OR(ISBLANK(Q121), Q121=""),"", MAX(P$2:P120)+1)</f>
        <v/>
      </c>
      <c r="S121" s="16"/>
      <c r="T121" s="53" t="str">
        <f>_xll.ESHistD($Q121,_xll.ESFldID(T$2,"D"),"D",$S121)</f>
        <v/>
      </c>
      <c r="U121" s="53" t="str">
        <f>_xll.ESHistD($Q121,_xll.ESFldID(U$2,"D"),"D",$S121)</f>
        <v/>
      </c>
      <c r="V121" s="53" t="str">
        <f>_xll.ESHistD($Q121,_xll.ESFldID(V$2,"D"),"D",$S121)</f>
        <v/>
      </c>
      <c r="W121" s="53" t="str">
        <f>_xll.ESHistD($Q121,_xll.ESFldID(W$2,"D"),"D",$S121)</f>
        <v/>
      </c>
      <c r="X121" s="22" t="str">
        <f>_xll.ESHistD($Q121,_xll.ESFldID(X$2,"D"),"D",$S121)</f>
        <v/>
      </c>
      <c r="Y121" s="55" t="str">
        <f t="shared" si="1"/>
        <v/>
      </c>
      <c r="Z121" s="53" t="str">
        <f ca="1">_xll.ESHistD($Q121,_xll.ESFldID(Z$2,"D"),"D",$AC$1)</f>
        <v/>
      </c>
      <c r="AA121" s="53" t="str">
        <f ca="1">_xll.ESHistD($Q121,_xll.ESFldID(AA$2,"D"),"D",$AC$1)</f>
        <v/>
      </c>
      <c r="AB121" s="53" t="str">
        <f ca="1">_xll.ESHistD($Q121,_xll.ESFldID(AB$2,"D"),"D",$AC$1)</f>
        <v/>
      </c>
      <c r="AC121" s="53" t="str">
        <f ca="1">_xll.ESHistD($Q121,_xll.ESFldID(AC$2,"D"),"D",$AC$1)</f>
        <v/>
      </c>
      <c r="AD121" s="22" t="str">
        <f ca="1">_xll.ESHistD($Q121,_xll.ESFldID(AD$2,"D"),"D",$AC$1)</f>
        <v/>
      </c>
    </row>
    <row r="122" spans="16:30" x14ac:dyDescent="0.25">
      <c r="P122" s="52" t="str">
        <f>IF(OR(ISBLANK(Q122), Q122=""),"", MAX(P$2:P121)+1)</f>
        <v/>
      </c>
      <c r="S122" s="16"/>
      <c r="T122" s="53" t="str">
        <f>_xll.ESHistD($Q122,_xll.ESFldID(T$2,"D"),"D",$S122)</f>
        <v/>
      </c>
      <c r="U122" s="53" t="str">
        <f>_xll.ESHistD($Q122,_xll.ESFldID(U$2,"D"),"D",$S122)</f>
        <v/>
      </c>
      <c r="V122" s="53" t="str">
        <f>_xll.ESHistD($Q122,_xll.ESFldID(V$2,"D"),"D",$S122)</f>
        <v/>
      </c>
      <c r="W122" s="53" t="str">
        <f>_xll.ESHistD($Q122,_xll.ESFldID(W$2,"D"),"D",$S122)</f>
        <v/>
      </c>
      <c r="X122" s="22" t="str">
        <f>_xll.ESHistD($Q122,_xll.ESFldID(X$2,"D"),"D",$S122)</f>
        <v/>
      </c>
      <c r="Y122" s="55" t="str">
        <f t="shared" si="1"/>
        <v/>
      </c>
      <c r="Z122" s="53" t="str">
        <f ca="1">_xll.ESHistD($Q122,_xll.ESFldID(Z$2,"D"),"D",$AC$1)</f>
        <v/>
      </c>
      <c r="AA122" s="53" t="str">
        <f ca="1">_xll.ESHistD($Q122,_xll.ESFldID(AA$2,"D"),"D",$AC$1)</f>
        <v/>
      </c>
      <c r="AB122" s="53" t="str">
        <f ca="1">_xll.ESHistD($Q122,_xll.ESFldID(AB$2,"D"),"D",$AC$1)</f>
        <v/>
      </c>
      <c r="AC122" s="53" t="str">
        <f ca="1">_xll.ESHistD($Q122,_xll.ESFldID(AC$2,"D"),"D",$AC$1)</f>
        <v/>
      </c>
      <c r="AD122" s="22" t="str">
        <f ca="1">_xll.ESHistD($Q122,_xll.ESFldID(AD$2,"D"),"D",$AC$1)</f>
        <v/>
      </c>
    </row>
    <row r="123" spans="16:30" x14ac:dyDescent="0.25">
      <c r="P123" s="52" t="str">
        <f>IF(OR(ISBLANK(Q123), Q123=""),"", MAX(P$2:P122)+1)</f>
        <v/>
      </c>
      <c r="S123" s="16"/>
      <c r="T123" s="53" t="str">
        <f>_xll.ESHistD($Q123,_xll.ESFldID(T$2,"D"),"D",$S123)</f>
        <v/>
      </c>
      <c r="U123" s="53" t="str">
        <f>_xll.ESHistD($Q123,_xll.ESFldID(U$2,"D"),"D",$S123)</f>
        <v/>
      </c>
      <c r="V123" s="53" t="str">
        <f>_xll.ESHistD($Q123,_xll.ESFldID(V$2,"D"),"D",$S123)</f>
        <v/>
      </c>
      <c r="W123" s="53" t="str">
        <f>_xll.ESHistD($Q123,_xll.ESFldID(W$2,"D"),"D",$S123)</f>
        <v/>
      </c>
      <c r="X123" s="22" t="str">
        <f>_xll.ESHistD($Q123,_xll.ESFldID(X$2,"D"),"D",$S123)</f>
        <v/>
      </c>
      <c r="Y123" s="55" t="str">
        <f t="shared" si="1"/>
        <v/>
      </c>
      <c r="Z123" s="53" t="str">
        <f ca="1">_xll.ESHistD($Q123,_xll.ESFldID(Z$2,"D"),"D",$AC$1)</f>
        <v/>
      </c>
      <c r="AA123" s="53" t="str">
        <f ca="1">_xll.ESHistD($Q123,_xll.ESFldID(AA$2,"D"),"D",$AC$1)</f>
        <v/>
      </c>
      <c r="AB123" s="53" t="str">
        <f ca="1">_xll.ESHistD($Q123,_xll.ESFldID(AB$2,"D"),"D",$AC$1)</f>
        <v/>
      </c>
      <c r="AC123" s="53" t="str">
        <f ca="1">_xll.ESHistD($Q123,_xll.ESFldID(AC$2,"D"),"D",$AC$1)</f>
        <v/>
      </c>
      <c r="AD123" s="22" t="str">
        <f ca="1">_xll.ESHistD($Q123,_xll.ESFldID(AD$2,"D"),"D",$AC$1)</f>
        <v/>
      </c>
    </row>
    <row r="124" spans="16:30" x14ac:dyDescent="0.25">
      <c r="P124" s="52" t="str">
        <f>IF(OR(ISBLANK(Q124), Q124=""),"", MAX(P$2:P123)+1)</f>
        <v/>
      </c>
      <c r="S124" s="16"/>
      <c r="T124" s="53" t="str">
        <f>_xll.ESHistD($Q124,_xll.ESFldID(T$2,"D"),"D",$S124)</f>
        <v/>
      </c>
      <c r="U124" s="53" t="str">
        <f>_xll.ESHistD($Q124,_xll.ESFldID(U$2,"D"),"D",$S124)</f>
        <v/>
      </c>
      <c r="V124" s="53" t="str">
        <f>_xll.ESHistD($Q124,_xll.ESFldID(V$2,"D"),"D",$S124)</f>
        <v/>
      </c>
      <c r="W124" s="53" t="str">
        <f>_xll.ESHistD($Q124,_xll.ESFldID(W$2,"D"),"D",$S124)</f>
        <v/>
      </c>
      <c r="X124" s="22" t="str">
        <f>_xll.ESHistD($Q124,_xll.ESFldID(X$2,"D"),"D",$S124)</f>
        <v/>
      </c>
      <c r="Y124" s="55" t="str">
        <f t="shared" si="1"/>
        <v/>
      </c>
      <c r="Z124" s="53" t="str">
        <f ca="1">_xll.ESHistD($Q124,_xll.ESFldID(Z$2,"D"),"D",$AC$1)</f>
        <v/>
      </c>
      <c r="AA124" s="53" t="str">
        <f ca="1">_xll.ESHistD($Q124,_xll.ESFldID(AA$2,"D"),"D",$AC$1)</f>
        <v/>
      </c>
      <c r="AB124" s="53" t="str">
        <f ca="1">_xll.ESHistD($Q124,_xll.ESFldID(AB$2,"D"),"D",$AC$1)</f>
        <v/>
      </c>
      <c r="AC124" s="53" t="str">
        <f ca="1">_xll.ESHistD($Q124,_xll.ESFldID(AC$2,"D"),"D",$AC$1)</f>
        <v/>
      </c>
      <c r="AD124" s="22" t="str">
        <f ca="1">_xll.ESHistD($Q124,_xll.ESFldID(AD$2,"D"),"D",$AC$1)</f>
        <v/>
      </c>
    </row>
    <row r="125" spans="16:30" x14ac:dyDescent="0.25">
      <c r="P125" s="52" t="str">
        <f>IF(OR(ISBLANK(Q125), Q125=""),"", MAX(P$2:P124)+1)</f>
        <v/>
      </c>
      <c r="S125" s="16"/>
      <c r="T125" s="53" t="str">
        <f>_xll.ESHistD($Q125,_xll.ESFldID(T$2,"D"),"D",$S125)</f>
        <v/>
      </c>
      <c r="U125" s="53" t="str">
        <f>_xll.ESHistD($Q125,_xll.ESFldID(U$2,"D"),"D",$S125)</f>
        <v/>
      </c>
      <c r="V125" s="53" t="str">
        <f>_xll.ESHistD($Q125,_xll.ESFldID(V$2,"D"),"D",$S125)</f>
        <v/>
      </c>
      <c r="W125" s="53" t="str">
        <f>_xll.ESHistD($Q125,_xll.ESFldID(W$2,"D"),"D",$S125)</f>
        <v/>
      </c>
      <c r="X125" s="22" t="str">
        <f>_xll.ESHistD($Q125,_xll.ESFldID(X$2,"D"),"D",$S125)</f>
        <v/>
      </c>
      <c r="Y125" s="55" t="str">
        <f t="shared" si="1"/>
        <v/>
      </c>
      <c r="Z125" s="53" t="str">
        <f ca="1">_xll.ESHistD($Q125,_xll.ESFldID(Z$2,"D"),"D",$AC$1)</f>
        <v/>
      </c>
      <c r="AA125" s="53" t="str">
        <f ca="1">_xll.ESHistD($Q125,_xll.ESFldID(AA$2,"D"),"D",$AC$1)</f>
        <v/>
      </c>
      <c r="AB125" s="53" t="str">
        <f ca="1">_xll.ESHistD($Q125,_xll.ESFldID(AB$2,"D"),"D",$AC$1)</f>
        <v/>
      </c>
      <c r="AC125" s="53" t="str">
        <f ca="1">_xll.ESHistD($Q125,_xll.ESFldID(AC$2,"D"),"D",$AC$1)</f>
        <v/>
      </c>
      <c r="AD125" s="22" t="str">
        <f ca="1">_xll.ESHistD($Q125,_xll.ESFldID(AD$2,"D"),"D",$AC$1)</f>
        <v/>
      </c>
    </row>
    <row r="126" spans="16:30" x14ac:dyDescent="0.25">
      <c r="P126" s="52" t="str">
        <f>IF(OR(ISBLANK(Q126), Q126=""),"", MAX(P$2:P125)+1)</f>
        <v/>
      </c>
      <c r="S126" s="16"/>
      <c r="T126" s="53" t="str">
        <f>_xll.ESHistD($Q126,_xll.ESFldID(T$2,"D"),"D",$S126)</f>
        <v/>
      </c>
      <c r="U126" s="53" t="str">
        <f>_xll.ESHistD($Q126,_xll.ESFldID(U$2,"D"),"D",$S126)</f>
        <v/>
      </c>
      <c r="V126" s="53" t="str">
        <f>_xll.ESHistD($Q126,_xll.ESFldID(V$2,"D"),"D",$S126)</f>
        <v/>
      </c>
      <c r="W126" s="53" t="str">
        <f>_xll.ESHistD($Q126,_xll.ESFldID(W$2,"D"),"D",$S126)</f>
        <v/>
      </c>
      <c r="X126" s="22" t="str">
        <f>_xll.ESHistD($Q126,_xll.ESFldID(X$2,"D"),"D",$S126)</f>
        <v/>
      </c>
      <c r="Y126" s="55" t="str">
        <f t="shared" si="1"/>
        <v/>
      </c>
      <c r="Z126" s="53" t="str">
        <f ca="1">_xll.ESHistD($Q126,_xll.ESFldID(Z$2,"D"),"D",$AC$1)</f>
        <v/>
      </c>
      <c r="AA126" s="53" t="str">
        <f ca="1">_xll.ESHistD($Q126,_xll.ESFldID(AA$2,"D"),"D",$AC$1)</f>
        <v/>
      </c>
      <c r="AB126" s="53" t="str">
        <f ca="1">_xll.ESHistD($Q126,_xll.ESFldID(AB$2,"D"),"D",$AC$1)</f>
        <v/>
      </c>
      <c r="AC126" s="53" t="str">
        <f ca="1">_xll.ESHistD($Q126,_xll.ESFldID(AC$2,"D"),"D",$AC$1)</f>
        <v/>
      </c>
      <c r="AD126" s="22" t="str">
        <f ca="1">_xll.ESHistD($Q126,_xll.ESFldID(AD$2,"D"),"D",$AC$1)</f>
        <v/>
      </c>
    </row>
    <row r="127" spans="16:30" x14ac:dyDescent="0.25">
      <c r="P127" s="52" t="str">
        <f>IF(OR(ISBLANK(Q127), Q127=""),"", MAX(P$2:P126)+1)</f>
        <v/>
      </c>
      <c r="S127" s="16"/>
      <c r="T127" s="53" t="str">
        <f>_xll.ESHistD($Q127,_xll.ESFldID(T$2,"D"),"D",$S127)</f>
        <v/>
      </c>
      <c r="U127" s="53" t="str">
        <f>_xll.ESHistD($Q127,_xll.ESFldID(U$2,"D"),"D",$S127)</f>
        <v/>
      </c>
      <c r="V127" s="53" t="str">
        <f>_xll.ESHistD($Q127,_xll.ESFldID(V$2,"D"),"D",$S127)</f>
        <v/>
      </c>
      <c r="W127" s="53" t="str">
        <f>_xll.ESHistD($Q127,_xll.ESFldID(W$2,"D"),"D",$S127)</f>
        <v/>
      </c>
      <c r="X127" s="22" t="str">
        <f>_xll.ESHistD($Q127,_xll.ESFldID(X$2,"D"),"D",$S127)</f>
        <v/>
      </c>
      <c r="Y127" s="55" t="str">
        <f t="shared" si="1"/>
        <v/>
      </c>
      <c r="Z127" s="53" t="str">
        <f ca="1">_xll.ESHistD($Q127,_xll.ESFldID(Z$2,"D"),"D",$AC$1)</f>
        <v/>
      </c>
      <c r="AA127" s="53" t="str">
        <f ca="1">_xll.ESHistD($Q127,_xll.ESFldID(AA$2,"D"),"D",$AC$1)</f>
        <v/>
      </c>
      <c r="AB127" s="53" t="str">
        <f ca="1">_xll.ESHistD($Q127,_xll.ESFldID(AB$2,"D"),"D",$AC$1)</f>
        <v/>
      </c>
      <c r="AC127" s="53" t="str">
        <f ca="1">_xll.ESHistD($Q127,_xll.ESFldID(AC$2,"D"),"D",$AC$1)</f>
        <v/>
      </c>
      <c r="AD127" s="22" t="str">
        <f ca="1">_xll.ESHistD($Q127,_xll.ESFldID(AD$2,"D"),"D",$AC$1)</f>
        <v/>
      </c>
    </row>
    <row r="128" spans="16:30" x14ac:dyDescent="0.25">
      <c r="P128" s="52" t="str">
        <f>IF(OR(ISBLANK(Q128), Q128=""),"", MAX(P$2:P127)+1)</f>
        <v/>
      </c>
      <c r="S128" s="16"/>
      <c r="T128" s="53" t="str">
        <f>_xll.ESHistD($Q128,_xll.ESFldID(T$2,"D"),"D",$S128)</f>
        <v/>
      </c>
      <c r="U128" s="53" t="str">
        <f>_xll.ESHistD($Q128,_xll.ESFldID(U$2,"D"),"D",$S128)</f>
        <v/>
      </c>
      <c r="V128" s="53" t="str">
        <f>_xll.ESHistD($Q128,_xll.ESFldID(V$2,"D"),"D",$S128)</f>
        <v/>
      </c>
      <c r="W128" s="53" t="str">
        <f>_xll.ESHistD($Q128,_xll.ESFldID(W$2,"D"),"D",$S128)</f>
        <v/>
      </c>
      <c r="X128" s="22" t="str">
        <f>_xll.ESHistD($Q128,_xll.ESFldID(X$2,"D"),"D",$S128)</f>
        <v/>
      </c>
      <c r="Y128" s="55" t="str">
        <f t="shared" si="1"/>
        <v/>
      </c>
      <c r="Z128" s="53" t="str">
        <f ca="1">_xll.ESHistD($Q128,_xll.ESFldID(Z$2,"D"),"D",$AC$1)</f>
        <v/>
      </c>
      <c r="AA128" s="53" t="str">
        <f ca="1">_xll.ESHistD($Q128,_xll.ESFldID(AA$2,"D"),"D",$AC$1)</f>
        <v/>
      </c>
      <c r="AB128" s="53" t="str">
        <f ca="1">_xll.ESHistD($Q128,_xll.ESFldID(AB$2,"D"),"D",$AC$1)</f>
        <v/>
      </c>
      <c r="AC128" s="53" t="str">
        <f ca="1">_xll.ESHistD($Q128,_xll.ESFldID(AC$2,"D"),"D",$AC$1)</f>
        <v/>
      </c>
      <c r="AD128" s="22" t="str">
        <f ca="1">_xll.ESHistD($Q128,_xll.ESFldID(AD$2,"D"),"D",$AC$1)</f>
        <v/>
      </c>
    </row>
    <row r="129" spans="16:30" x14ac:dyDescent="0.25">
      <c r="P129" s="52" t="str">
        <f>IF(OR(ISBLANK(Q129), Q129=""),"", MAX(P$2:P128)+1)</f>
        <v/>
      </c>
      <c r="S129" s="16"/>
      <c r="T129" s="53" t="str">
        <f>_xll.ESHistD($Q129,_xll.ESFldID(T$2,"D"),"D",$S129)</f>
        <v/>
      </c>
      <c r="U129" s="53" t="str">
        <f>_xll.ESHistD($Q129,_xll.ESFldID(U$2,"D"),"D",$S129)</f>
        <v/>
      </c>
      <c r="V129" s="53" t="str">
        <f>_xll.ESHistD($Q129,_xll.ESFldID(V$2,"D"),"D",$S129)</f>
        <v/>
      </c>
      <c r="W129" s="53" t="str">
        <f>_xll.ESHistD($Q129,_xll.ESFldID(W$2,"D"),"D",$S129)</f>
        <v/>
      </c>
      <c r="X129" s="22" t="str">
        <f>_xll.ESHistD($Q129,_xll.ESFldID(X$2,"D"),"D",$S129)</f>
        <v/>
      </c>
      <c r="Y129" s="55" t="str">
        <f t="shared" si="1"/>
        <v/>
      </c>
      <c r="Z129" s="53" t="str">
        <f ca="1">_xll.ESHistD($Q129,_xll.ESFldID(Z$2,"D"),"D",$AC$1)</f>
        <v/>
      </c>
      <c r="AA129" s="53" t="str">
        <f ca="1">_xll.ESHistD($Q129,_xll.ESFldID(AA$2,"D"),"D",$AC$1)</f>
        <v/>
      </c>
      <c r="AB129" s="53" t="str">
        <f ca="1">_xll.ESHistD($Q129,_xll.ESFldID(AB$2,"D"),"D",$AC$1)</f>
        <v/>
      </c>
      <c r="AC129" s="53" t="str">
        <f ca="1">_xll.ESHistD($Q129,_xll.ESFldID(AC$2,"D"),"D",$AC$1)</f>
        <v/>
      </c>
      <c r="AD129" s="22" t="str">
        <f ca="1">_xll.ESHistD($Q129,_xll.ESFldID(AD$2,"D"),"D",$AC$1)</f>
        <v/>
      </c>
    </row>
    <row r="130" spans="16:30" x14ac:dyDescent="0.25">
      <c r="P130" s="52" t="str">
        <f>IF(OR(ISBLANK(Q130), Q130=""),"", MAX(P$2:P129)+1)</f>
        <v/>
      </c>
      <c r="S130" s="16"/>
      <c r="T130" s="53" t="str">
        <f>_xll.ESHistD($Q130,_xll.ESFldID(T$2,"D"),"D",$S130)</f>
        <v/>
      </c>
      <c r="U130" s="53" t="str">
        <f>_xll.ESHistD($Q130,_xll.ESFldID(U$2,"D"),"D",$S130)</f>
        <v/>
      </c>
      <c r="V130" s="53" t="str">
        <f>_xll.ESHistD($Q130,_xll.ESFldID(V$2,"D"),"D",$S130)</f>
        <v/>
      </c>
      <c r="W130" s="53" t="str">
        <f>_xll.ESHistD($Q130,_xll.ESFldID(W$2,"D"),"D",$S130)</f>
        <v/>
      </c>
      <c r="X130" s="22" t="str">
        <f>_xll.ESHistD($Q130,_xll.ESFldID(X$2,"D"),"D",$S130)</f>
        <v/>
      </c>
      <c r="Y130" s="55" t="str">
        <f t="shared" si="1"/>
        <v/>
      </c>
      <c r="Z130" s="53" t="str">
        <f ca="1">_xll.ESHistD($Q130,_xll.ESFldID(Z$2,"D"),"D",$AC$1)</f>
        <v/>
      </c>
      <c r="AA130" s="53" t="str">
        <f ca="1">_xll.ESHistD($Q130,_xll.ESFldID(AA$2,"D"),"D",$AC$1)</f>
        <v/>
      </c>
      <c r="AB130" s="53" t="str">
        <f ca="1">_xll.ESHistD($Q130,_xll.ESFldID(AB$2,"D"),"D",$AC$1)</f>
        <v/>
      </c>
      <c r="AC130" s="53" t="str">
        <f ca="1">_xll.ESHistD($Q130,_xll.ESFldID(AC$2,"D"),"D",$AC$1)</f>
        <v/>
      </c>
      <c r="AD130" s="22" t="str">
        <f ca="1">_xll.ESHistD($Q130,_xll.ESFldID(AD$2,"D"),"D",$AC$1)</f>
        <v/>
      </c>
    </row>
    <row r="131" spans="16:30" x14ac:dyDescent="0.25">
      <c r="P131" s="52" t="str">
        <f>IF(OR(ISBLANK(Q131), Q131=""),"", MAX(P$2:P130)+1)</f>
        <v/>
      </c>
      <c r="S131" s="16"/>
      <c r="T131" s="53" t="str">
        <f>_xll.ESHistD($Q131,_xll.ESFldID(T$2,"D"),"D",$S131)</f>
        <v/>
      </c>
      <c r="U131" s="53" t="str">
        <f>_xll.ESHistD($Q131,_xll.ESFldID(U$2,"D"),"D",$S131)</f>
        <v/>
      </c>
      <c r="V131" s="53" t="str">
        <f>_xll.ESHistD($Q131,_xll.ESFldID(V$2,"D"),"D",$S131)</f>
        <v/>
      </c>
      <c r="W131" s="53" t="str">
        <f>_xll.ESHistD($Q131,_xll.ESFldID(W$2,"D"),"D",$S131)</f>
        <v/>
      </c>
      <c r="X131" s="22" t="str">
        <f>_xll.ESHistD($Q131,_xll.ESFldID(X$2,"D"),"D",$S131)</f>
        <v/>
      </c>
      <c r="Y131" s="55" t="str">
        <f t="shared" si="1"/>
        <v/>
      </c>
      <c r="Z131" s="53" t="str">
        <f ca="1">_xll.ESHistD($Q131,_xll.ESFldID(Z$2,"D"),"D",$AC$1)</f>
        <v/>
      </c>
      <c r="AA131" s="53" t="str">
        <f ca="1">_xll.ESHistD($Q131,_xll.ESFldID(AA$2,"D"),"D",$AC$1)</f>
        <v/>
      </c>
      <c r="AB131" s="53" t="str">
        <f ca="1">_xll.ESHistD($Q131,_xll.ESFldID(AB$2,"D"),"D",$AC$1)</f>
        <v/>
      </c>
      <c r="AC131" s="53" t="str">
        <f ca="1">_xll.ESHistD($Q131,_xll.ESFldID(AC$2,"D"),"D",$AC$1)</f>
        <v/>
      </c>
      <c r="AD131" s="22" t="str">
        <f ca="1">_xll.ESHistD($Q131,_xll.ESFldID(AD$2,"D"),"D",$AC$1)</f>
        <v/>
      </c>
    </row>
    <row r="132" spans="16:30" x14ac:dyDescent="0.25">
      <c r="P132" s="52" t="str">
        <f>IF(OR(ISBLANK(Q132), Q132=""),"", MAX(P$2:P131)+1)</f>
        <v/>
      </c>
      <c r="S132" s="16"/>
      <c r="T132" s="53" t="str">
        <f>_xll.ESHistD($Q132,_xll.ESFldID(T$2,"D"),"D",$S132)</f>
        <v/>
      </c>
      <c r="U132" s="53" t="str">
        <f>_xll.ESHistD($Q132,_xll.ESFldID(U$2,"D"),"D",$S132)</f>
        <v/>
      </c>
      <c r="V132" s="53" t="str">
        <f>_xll.ESHistD($Q132,_xll.ESFldID(V$2,"D"),"D",$S132)</f>
        <v/>
      </c>
      <c r="W132" s="53" t="str">
        <f>_xll.ESHistD($Q132,_xll.ESFldID(W$2,"D"),"D",$S132)</f>
        <v/>
      </c>
      <c r="X132" s="22" t="str">
        <f>_xll.ESHistD($Q132,_xll.ESFldID(X$2,"D"),"D",$S132)</f>
        <v/>
      </c>
      <c r="Y132" s="55" t="str">
        <f t="shared" ref="Y132:Y153" si="2">IF(ISBLANK(Q132), "", Q132)</f>
        <v/>
      </c>
      <c r="Z132" s="53" t="str">
        <f ca="1">_xll.ESHistD($Q132,_xll.ESFldID(Z$2,"D"),"D",$AC$1)</f>
        <v/>
      </c>
      <c r="AA132" s="53" t="str">
        <f ca="1">_xll.ESHistD($Q132,_xll.ESFldID(AA$2,"D"),"D",$AC$1)</f>
        <v/>
      </c>
      <c r="AB132" s="53" t="str">
        <f ca="1">_xll.ESHistD($Q132,_xll.ESFldID(AB$2,"D"),"D",$AC$1)</f>
        <v/>
      </c>
      <c r="AC132" s="53" t="str">
        <f ca="1">_xll.ESHistD($Q132,_xll.ESFldID(AC$2,"D"),"D",$AC$1)</f>
        <v/>
      </c>
      <c r="AD132" s="22" t="str">
        <f ca="1">_xll.ESHistD($Q132,_xll.ESFldID(AD$2,"D"),"D",$AC$1)</f>
        <v/>
      </c>
    </row>
    <row r="133" spans="16:30" x14ac:dyDescent="0.25">
      <c r="P133" s="52" t="str">
        <f>IF(OR(ISBLANK(Q133), Q133=""),"", MAX(P$2:P132)+1)</f>
        <v/>
      </c>
      <c r="S133" s="16"/>
      <c r="T133" s="53" t="str">
        <f>_xll.ESHistD($Q133,_xll.ESFldID(T$2,"D"),"D",$S133)</f>
        <v/>
      </c>
      <c r="U133" s="53" t="str">
        <f>_xll.ESHistD($Q133,_xll.ESFldID(U$2,"D"),"D",$S133)</f>
        <v/>
      </c>
      <c r="V133" s="53" t="str">
        <f>_xll.ESHistD($Q133,_xll.ESFldID(V$2,"D"),"D",$S133)</f>
        <v/>
      </c>
      <c r="W133" s="53" t="str">
        <f>_xll.ESHistD($Q133,_xll.ESFldID(W$2,"D"),"D",$S133)</f>
        <v/>
      </c>
      <c r="X133" s="22" t="str">
        <f>_xll.ESHistD($Q133,_xll.ESFldID(X$2,"D"),"D",$S133)</f>
        <v/>
      </c>
      <c r="Y133" s="55" t="str">
        <f t="shared" si="2"/>
        <v/>
      </c>
      <c r="Z133" s="53" t="str">
        <f ca="1">_xll.ESHistD($Q133,_xll.ESFldID(Z$2,"D"),"D",$AC$1)</f>
        <v/>
      </c>
      <c r="AA133" s="53" t="str">
        <f ca="1">_xll.ESHistD($Q133,_xll.ESFldID(AA$2,"D"),"D",$AC$1)</f>
        <v/>
      </c>
      <c r="AB133" s="53" t="str">
        <f ca="1">_xll.ESHistD($Q133,_xll.ESFldID(AB$2,"D"),"D",$AC$1)</f>
        <v/>
      </c>
      <c r="AC133" s="53" t="str">
        <f ca="1">_xll.ESHistD($Q133,_xll.ESFldID(AC$2,"D"),"D",$AC$1)</f>
        <v/>
      </c>
      <c r="AD133" s="22" t="str">
        <f ca="1">_xll.ESHistD($Q133,_xll.ESFldID(AD$2,"D"),"D",$AC$1)</f>
        <v/>
      </c>
    </row>
    <row r="134" spans="16:30" x14ac:dyDescent="0.25">
      <c r="P134" s="52" t="str">
        <f>IF(OR(ISBLANK(Q134), Q134=""),"", MAX(P$2:P133)+1)</f>
        <v/>
      </c>
      <c r="S134" s="16"/>
      <c r="T134" s="53" t="str">
        <f>_xll.ESHistD($Q134,_xll.ESFldID(T$2,"D"),"D",$S134)</f>
        <v/>
      </c>
      <c r="U134" s="53" t="str">
        <f>_xll.ESHistD($Q134,_xll.ESFldID(U$2,"D"),"D",$S134)</f>
        <v/>
      </c>
      <c r="V134" s="53" t="str">
        <f>_xll.ESHistD($Q134,_xll.ESFldID(V$2,"D"),"D",$S134)</f>
        <v/>
      </c>
      <c r="W134" s="53" t="str">
        <f>_xll.ESHistD($Q134,_xll.ESFldID(W$2,"D"),"D",$S134)</f>
        <v/>
      </c>
      <c r="X134" s="22" t="str">
        <f>_xll.ESHistD($Q134,_xll.ESFldID(X$2,"D"),"D",$S134)</f>
        <v/>
      </c>
      <c r="Y134" s="55" t="str">
        <f t="shared" si="2"/>
        <v/>
      </c>
      <c r="Z134" s="53" t="str">
        <f ca="1">_xll.ESHistD($Q134,_xll.ESFldID(Z$2,"D"),"D",$AC$1)</f>
        <v/>
      </c>
      <c r="AA134" s="53" t="str">
        <f ca="1">_xll.ESHistD($Q134,_xll.ESFldID(AA$2,"D"),"D",$AC$1)</f>
        <v/>
      </c>
      <c r="AB134" s="53" t="str">
        <f ca="1">_xll.ESHistD($Q134,_xll.ESFldID(AB$2,"D"),"D",$AC$1)</f>
        <v/>
      </c>
      <c r="AC134" s="53" t="str">
        <f ca="1">_xll.ESHistD($Q134,_xll.ESFldID(AC$2,"D"),"D",$AC$1)</f>
        <v/>
      </c>
      <c r="AD134" s="22" t="str">
        <f ca="1">_xll.ESHistD($Q134,_xll.ESFldID(AD$2,"D"),"D",$AC$1)</f>
        <v/>
      </c>
    </row>
    <row r="135" spans="16:30" x14ac:dyDescent="0.25">
      <c r="P135" s="52" t="str">
        <f>IF(OR(ISBLANK(Q135), Q135=""),"", MAX(P$2:P134)+1)</f>
        <v/>
      </c>
      <c r="S135" s="16"/>
      <c r="T135" s="53" t="str">
        <f>_xll.ESHistD($Q135,_xll.ESFldID(T$2,"D"),"D",$S135)</f>
        <v/>
      </c>
      <c r="U135" s="53" t="str">
        <f>_xll.ESHistD($Q135,_xll.ESFldID(U$2,"D"),"D",$S135)</f>
        <v/>
      </c>
      <c r="V135" s="53" t="str">
        <f>_xll.ESHistD($Q135,_xll.ESFldID(V$2,"D"),"D",$S135)</f>
        <v/>
      </c>
      <c r="W135" s="53" t="str">
        <f>_xll.ESHistD($Q135,_xll.ESFldID(W$2,"D"),"D",$S135)</f>
        <v/>
      </c>
      <c r="X135" s="22" t="str">
        <f>_xll.ESHistD($Q135,_xll.ESFldID(X$2,"D"),"D",$S135)</f>
        <v/>
      </c>
      <c r="Y135" s="55" t="str">
        <f t="shared" si="2"/>
        <v/>
      </c>
      <c r="Z135" s="53" t="str">
        <f ca="1">_xll.ESHistD($Q135,_xll.ESFldID(Z$2,"D"),"D",$AC$1)</f>
        <v/>
      </c>
      <c r="AA135" s="53" t="str">
        <f ca="1">_xll.ESHistD($Q135,_xll.ESFldID(AA$2,"D"),"D",$AC$1)</f>
        <v/>
      </c>
      <c r="AB135" s="53" t="str">
        <f ca="1">_xll.ESHistD($Q135,_xll.ESFldID(AB$2,"D"),"D",$AC$1)</f>
        <v/>
      </c>
      <c r="AC135" s="53" t="str">
        <f ca="1">_xll.ESHistD($Q135,_xll.ESFldID(AC$2,"D"),"D",$AC$1)</f>
        <v/>
      </c>
      <c r="AD135" s="22" t="str">
        <f ca="1">_xll.ESHistD($Q135,_xll.ESFldID(AD$2,"D"),"D",$AC$1)</f>
        <v/>
      </c>
    </row>
    <row r="136" spans="16:30" x14ac:dyDescent="0.25">
      <c r="P136" s="52" t="str">
        <f>IF(OR(ISBLANK(Q136), Q136=""),"", MAX(P$2:P135)+1)</f>
        <v/>
      </c>
      <c r="S136" s="16"/>
      <c r="T136" s="53" t="str">
        <f>_xll.ESHistD($Q136,_xll.ESFldID(T$2,"D"),"D",$S136)</f>
        <v/>
      </c>
      <c r="U136" s="53" t="str">
        <f>_xll.ESHistD($Q136,_xll.ESFldID(U$2,"D"),"D",$S136)</f>
        <v/>
      </c>
      <c r="V136" s="53" t="str">
        <f>_xll.ESHistD($Q136,_xll.ESFldID(V$2,"D"),"D",$S136)</f>
        <v/>
      </c>
      <c r="W136" s="53" t="str">
        <f>_xll.ESHistD($Q136,_xll.ESFldID(W$2,"D"),"D",$S136)</f>
        <v/>
      </c>
      <c r="X136" s="22" t="str">
        <f>_xll.ESHistD($Q136,_xll.ESFldID(X$2,"D"),"D",$S136)</f>
        <v/>
      </c>
      <c r="Y136" s="55" t="str">
        <f t="shared" si="2"/>
        <v/>
      </c>
      <c r="Z136" s="53" t="str">
        <f ca="1">_xll.ESHistD($Q136,_xll.ESFldID(Z$2,"D"),"D",$AC$1)</f>
        <v/>
      </c>
      <c r="AA136" s="53" t="str">
        <f ca="1">_xll.ESHistD($Q136,_xll.ESFldID(AA$2,"D"),"D",$AC$1)</f>
        <v/>
      </c>
      <c r="AB136" s="53" t="str">
        <f ca="1">_xll.ESHistD($Q136,_xll.ESFldID(AB$2,"D"),"D",$AC$1)</f>
        <v/>
      </c>
      <c r="AC136" s="53" t="str">
        <f ca="1">_xll.ESHistD($Q136,_xll.ESFldID(AC$2,"D"),"D",$AC$1)</f>
        <v/>
      </c>
      <c r="AD136" s="22" t="str">
        <f ca="1">_xll.ESHistD($Q136,_xll.ESFldID(AD$2,"D"),"D",$AC$1)</f>
        <v/>
      </c>
    </row>
    <row r="137" spans="16:30" x14ac:dyDescent="0.25">
      <c r="P137" s="52" t="str">
        <f>IF(OR(ISBLANK(Q137), Q137=""),"", MAX(P$2:P136)+1)</f>
        <v/>
      </c>
      <c r="S137" s="16"/>
      <c r="T137" s="53" t="str">
        <f>_xll.ESHistD($Q137,_xll.ESFldID(T$2,"D"),"D",$S137)</f>
        <v/>
      </c>
      <c r="U137" s="53" t="str">
        <f>_xll.ESHistD($Q137,_xll.ESFldID(U$2,"D"),"D",$S137)</f>
        <v/>
      </c>
      <c r="V137" s="53" t="str">
        <f>_xll.ESHistD($Q137,_xll.ESFldID(V$2,"D"),"D",$S137)</f>
        <v/>
      </c>
      <c r="W137" s="53" t="str">
        <f>_xll.ESHistD($Q137,_xll.ESFldID(W$2,"D"),"D",$S137)</f>
        <v/>
      </c>
      <c r="X137" s="22" t="str">
        <f>_xll.ESHistD($Q137,_xll.ESFldID(X$2,"D"),"D",$S137)</f>
        <v/>
      </c>
      <c r="Y137" s="55" t="str">
        <f t="shared" si="2"/>
        <v/>
      </c>
      <c r="Z137" s="53" t="str">
        <f ca="1">_xll.ESHistD($Q137,_xll.ESFldID(Z$2,"D"),"D",$AC$1)</f>
        <v/>
      </c>
      <c r="AA137" s="53" t="str">
        <f ca="1">_xll.ESHistD($Q137,_xll.ESFldID(AA$2,"D"),"D",$AC$1)</f>
        <v/>
      </c>
      <c r="AB137" s="53" t="str">
        <f ca="1">_xll.ESHistD($Q137,_xll.ESFldID(AB$2,"D"),"D",$AC$1)</f>
        <v/>
      </c>
      <c r="AC137" s="53" t="str">
        <f ca="1">_xll.ESHistD($Q137,_xll.ESFldID(AC$2,"D"),"D",$AC$1)</f>
        <v/>
      </c>
      <c r="AD137" s="22" t="str">
        <f ca="1">_xll.ESHistD($Q137,_xll.ESFldID(AD$2,"D"),"D",$AC$1)</f>
        <v/>
      </c>
    </row>
    <row r="138" spans="16:30" x14ac:dyDescent="0.25">
      <c r="P138" s="52" t="str">
        <f>IF(OR(ISBLANK(Q138), Q138=""),"", MAX(P$2:P137)+1)</f>
        <v/>
      </c>
      <c r="S138" s="16"/>
      <c r="T138" s="53" t="str">
        <f>_xll.ESHistD($Q138,_xll.ESFldID(T$2,"D"),"D",$S138)</f>
        <v/>
      </c>
      <c r="U138" s="53" t="str">
        <f>_xll.ESHistD($Q138,_xll.ESFldID(U$2,"D"),"D",$S138)</f>
        <v/>
      </c>
      <c r="V138" s="53" t="str">
        <f>_xll.ESHistD($Q138,_xll.ESFldID(V$2,"D"),"D",$S138)</f>
        <v/>
      </c>
      <c r="W138" s="53" t="str">
        <f>_xll.ESHistD($Q138,_xll.ESFldID(W$2,"D"),"D",$S138)</f>
        <v/>
      </c>
      <c r="X138" s="22" t="str">
        <f>_xll.ESHistD($Q138,_xll.ESFldID(X$2,"D"),"D",$S138)</f>
        <v/>
      </c>
      <c r="Y138" s="55" t="str">
        <f t="shared" si="2"/>
        <v/>
      </c>
      <c r="Z138" s="53" t="str">
        <f ca="1">_xll.ESHistD($Q138,_xll.ESFldID(Z$2,"D"),"D",$AC$1)</f>
        <v/>
      </c>
      <c r="AA138" s="53" t="str">
        <f ca="1">_xll.ESHistD($Q138,_xll.ESFldID(AA$2,"D"),"D",$AC$1)</f>
        <v/>
      </c>
      <c r="AB138" s="53" t="str">
        <f ca="1">_xll.ESHistD($Q138,_xll.ESFldID(AB$2,"D"),"D",$AC$1)</f>
        <v/>
      </c>
      <c r="AC138" s="53" t="str">
        <f ca="1">_xll.ESHistD($Q138,_xll.ESFldID(AC$2,"D"),"D",$AC$1)</f>
        <v/>
      </c>
      <c r="AD138" s="22" t="str">
        <f ca="1">_xll.ESHistD($Q138,_xll.ESFldID(AD$2,"D"),"D",$AC$1)</f>
        <v/>
      </c>
    </row>
    <row r="139" spans="16:30" x14ac:dyDescent="0.25">
      <c r="P139" s="52" t="str">
        <f>IF(OR(ISBLANK(Q139), Q139=""),"", MAX(P$2:P138)+1)</f>
        <v/>
      </c>
      <c r="S139" s="16"/>
      <c r="T139" s="53" t="str">
        <f>_xll.ESHistD($Q139,_xll.ESFldID(T$2,"D"),"D",$S139)</f>
        <v/>
      </c>
      <c r="U139" s="53" t="str">
        <f>_xll.ESHistD($Q139,_xll.ESFldID(U$2,"D"),"D",$S139)</f>
        <v/>
      </c>
      <c r="V139" s="53" t="str">
        <f>_xll.ESHistD($Q139,_xll.ESFldID(V$2,"D"),"D",$S139)</f>
        <v/>
      </c>
      <c r="W139" s="53" t="str">
        <f>_xll.ESHistD($Q139,_xll.ESFldID(W$2,"D"),"D",$S139)</f>
        <v/>
      </c>
      <c r="X139" s="22" t="str">
        <f>_xll.ESHistD($Q139,_xll.ESFldID(X$2,"D"),"D",$S139)</f>
        <v/>
      </c>
      <c r="Y139" s="55" t="str">
        <f t="shared" si="2"/>
        <v/>
      </c>
      <c r="Z139" s="53" t="str">
        <f ca="1">_xll.ESHistD($Q139,_xll.ESFldID(Z$2,"D"),"D",$AC$1)</f>
        <v/>
      </c>
      <c r="AA139" s="53" t="str">
        <f ca="1">_xll.ESHistD($Q139,_xll.ESFldID(AA$2,"D"),"D",$AC$1)</f>
        <v/>
      </c>
      <c r="AB139" s="53" t="str">
        <f ca="1">_xll.ESHistD($Q139,_xll.ESFldID(AB$2,"D"),"D",$AC$1)</f>
        <v/>
      </c>
      <c r="AC139" s="53" t="str">
        <f ca="1">_xll.ESHistD($Q139,_xll.ESFldID(AC$2,"D"),"D",$AC$1)</f>
        <v/>
      </c>
      <c r="AD139" s="22" t="str">
        <f ca="1">_xll.ESHistD($Q139,_xll.ESFldID(AD$2,"D"),"D",$AC$1)</f>
        <v/>
      </c>
    </row>
    <row r="140" spans="16:30" x14ac:dyDescent="0.25">
      <c r="P140" s="52" t="str">
        <f>IF(OR(ISBLANK(Q140), Q140=""),"", MAX(P$2:P139)+1)</f>
        <v/>
      </c>
      <c r="S140" s="16"/>
      <c r="T140" s="53" t="str">
        <f>_xll.ESHistD($Q140,_xll.ESFldID(T$2,"D"),"D",$S140)</f>
        <v/>
      </c>
      <c r="U140" s="53" t="str">
        <f>_xll.ESHistD($Q140,_xll.ESFldID(U$2,"D"),"D",$S140)</f>
        <v/>
      </c>
      <c r="V140" s="53" t="str">
        <f>_xll.ESHistD($Q140,_xll.ESFldID(V$2,"D"),"D",$S140)</f>
        <v/>
      </c>
      <c r="W140" s="53" t="str">
        <f>_xll.ESHistD($Q140,_xll.ESFldID(W$2,"D"),"D",$S140)</f>
        <v/>
      </c>
      <c r="X140" s="22" t="str">
        <f>_xll.ESHistD($Q140,_xll.ESFldID(X$2,"D"),"D",$S140)</f>
        <v/>
      </c>
      <c r="Y140" s="55" t="str">
        <f t="shared" si="2"/>
        <v/>
      </c>
      <c r="Z140" s="53" t="str">
        <f ca="1">_xll.ESHistD($Q140,_xll.ESFldID(Z$2,"D"),"D",$AC$1)</f>
        <v/>
      </c>
      <c r="AA140" s="53" t="str">
        <f ca="1">_xll.ESHistD($Q140,_xll.ESFldID(AA$2,"D"),"D",$AC$1)</f>
        <v/>
      </c>
      <c r="AB140" s="53" t="str">
        <f ca="1">_xll.ESHistD($Q140,_xll.ESFldID(AB$2,"D"),"D",$AC$1)</f>
        <v/>
      </c>
      <c r="AC140" s="53" t="str">
        <f ca="1">_xll.ESHistD($Q140,_xll.ESFldID(AC$2,"D"),"D",$AC$1)</f>
        <v/>
      </c>
      <c r="AD140" s="22" t="str">
        <f ca="1">_xll.ESHistD($Q140,_xll.ESFldID(AD$2,"D"),"D",$AC$1)</f>
        <v/>
      </c>
    </row>
    <row r="141" spans="16:30" x14ac:dyDescent="0.25">
      <c r="P141" s="52" t="str">
        <f>IF(OR(ISBLANK(Q141), Q141=""),"", MAX(P$2:P140)+1)</f>
        <v/>
      </c>
      <c r="S141" s="16"/>
      <c r="T141" s="53" t="str">
        <f>_xll.ESHistD($Q141,_xll.ESFldID(T$2,"D"),"D",$S141)</f>
        <v/>
      </c>
      <c r="U141" s="53" t="str">
        <f>_xll.ESHistD($Q141,_xll.ESFldID(U$2,"D"),"D",$S141)</f>
        <v/>
      </c>
      <c r="V141" s="53" t="str">
        <f>_xll.ESHistD($Q141,_xll.ESFldID(V$2,"D"),"D",$S141)</f>
        <v/>
      </c>
      <c r="W141" s="53" t="str">
        <f>_xll.ESHistD($Q141,_xll.ESFldID(W$2,"D"),"D",$S141)</f>
        <v/>
      </c>
      <c r="X141" s="22" t="str">
        <f>_xll.ESHistD($Q141,_xll.ESFldID(X$2,"D"),"D",$S141)</f>
        <v/>
      </c>
      <c r="Y141" s="55" t="str">
        <f t="shared" si="2"/>
        <v/>
      </c>
      <c r="Z141" s="53" t="str">
        <f ca="1">_xll.ESHistD($Q141,_xll.ESFldID(Z$2,"D"),"D",$AC$1)</f>
        <v/>
      </c>
      <c r="AA141" s="53" t="str">
        <f ca="1">_xll.ESHistD($Q141,_xll.ESFldID(AA$2,"D"),"D",$AC$1)</f>
        <v/>
      </c>
      <c r="AB141" s="53" t="str">
        <f ca="1">_xll.ESHistD($Q141,_xll.ESFldID(AB$2,"D"),"D",$AC$1)</f>
        <v/>
      </c>
      <c r="AC141" s="53" t="str">
        <f ca="1">_xll.ESHistD($Q141,_xll.ESFldID(AC$2,"D"),"D",$AC$1)</f>
        <v/>
      </c>
      <c r="AD141" s="22" t="str">
        <f ca="1">_xll.ESHistD($Q141,_xll.ESFldID(AD$2,"D"),"D",$AC$1)</f>
        <v/>
      </c>
    </row>
    <row r="142" spans="16:30" x14ac:dyDescent="0.25">
      <c r="P142" s="52" t="str">
        <f>IF(OR(ISBLANK(Q142), Q142=""),"", MAX(P$2:P141)+1)</f>
        <v/>
      </c>
      <c r="S142" s="16"/>
      <c r="T142" s="53" t="str">
        <f>_xll.ESHistD($Q142,_xll.ESFldID(T$2,"D"),"D",$S142)</f>
        <v/>
      </c>
      <c r="U142" s="53" t="str">
        <f>_xll.ESHistD($Q142,_xll.ESFldID(U$2,"D"),"D",$S142)</f>
        <v/>
      </c>
      <c r="V142" s="53" t="str">
        <f>_xll.ESHistD($Q142,_xll.ESFldID(V$2,"D"),"D",$S142)</f>
        <v/>
      </c>
      <c r="W142" s="53" t="str">
        <f>_xll.ESHistD($Q142,_xll.ESFldID(W$2,"D"),"D",$S142)</f>
        <v/>
      </c>
      <c r="X142" s="22" t="str">
        <f>_xll.ESHistD($Q142,_xll.ESFldID(X$2,"D"),"D",$S142)</f>
        <v/>
      </c>
      <c r="Y142" s="55" t="str">
        <f t="shared" si="2"/>
        <v/>
      </c>
      <c r="Z142" s="53" t="str">
        <f ca="1">_xll.ESHistD($Q142,_xll.ESFldID(Z$2,"D"),"D",$AC$1)</f>
        <v/>
      </c>
      <c r="AA142" s="53" t="str">
        <f ca="1">_xll.ESHistD($Q142,_xll.ESFldID(AA$2,"D"),"D",$AC$1)</f>
        <v/>
      </c>
      <c r="AB142" s="53" t="str">
        <f ca="1">_xll.ESHistD($Q142,_xll.ESFldID(AB$2,"D"),"D",$AC$1)</f>
        <v/>
      </c>
      <c r="AC142" s="53" t="str">
        <f ca="1">_xll.ESHistD($Q142,_xll.ESFldID(AC$2,"D"),"D",$AC$1)</f>
        <v/>
      </c>
      <c r="AD142" s="22" t="str">
        <f ca="1">_xll.ESHistD($Q142,_xll.ESFldID(AD$2,"D"),"D",$AC$1)</f>
        <v/>
      </c>
    </row>
    <row r="143" spans="16:30" x14ac:dyDescent="0.25">
      <c r="P143" s="52" t="str">
        <f>IF(OR(ISBLANK(Q143), Q143=""),"", MAX(P$2:P142)+1)</f>
        <v/>
      </c>
      <c r="S143" s="16"/>
      <c r="T143" s="53" t="str">
        <f>_xll.ESHistD($Q143,_xll.ESFldID(T$2,"D"),"D",$S143)</f>
        <v/>
      </c>
      <c r="U143" s="53" t="str">
        <f>_xll.ESHistD($Q143,_xll.ESFldID(U$2,"D"),"D",$S143)</f>
        <v/>
      </c>
      <c r="V143" s="53" t="str">
        <f>_xll.ESHistD($Q143,_xll.ESFldID(V$2,"D"),"D",$S143)</f>
        <v/>
      </c>
      <c r="W143" s="53" t="str">
        <f>_xll.ESHistD($Q143,_xll.ESFldID(W$2,"D"),"D",$S143)</f>
        <v/>
      </c>
      <c r="X143" s="22" t="str">
        <f>_xll.ESHistD($Q143,_xll.ESFldID(X$2,"D"),"D",$S143)</f>
        <v/>
      </c>
      <c r="Y143" s="55" t="str">
        <f t="shared" si="2"/>
        <v/>
      </c>
      <c r="Z143" s="53" t="str">
        <f ca="1">_xll.ESHistD($Q143,_xll.ESFldID(Z$2,"D"),"D",$AC$1)</f>
        <v/>
      </c>
      <c r="AA143" s="53" t="str">
        <f ca="1">_xll.ESHistD($Q143,_xll.ESFldID(AA$2,"D"),"D",$AC$1)</f>
        <v/>
      </c>
      <c r="AB143" s="53" t="str">
        <f ca="1">_xll.ESHistD($Q143,_xll.ESFldID(AB$2,"D"),"D",$AC$1)</f>
        <v/>
      </c>
      <c r="AC143" s="53" t="str">
        <f ca="1">_xll.ESHistD($Q143,_xll.ESFldID(AC$2,"D"),"D",$AC$1)</f>
        <v/>
      </c>
      <c r="AD143" s="22" t="str">
        <f ca="1">_xll.ESHistD($Q143,_xll.ESFldID(AD$2,"D"),"D",$AC$1)</f>
        <v/>
      </c>
    </row>
    <row r="144" spans="16:30" x14ac:dyDescent="0.25">
      <c r="P144" s="52" t="str">
        <f>IF(OR(ISBLANK(Q144), Q144=""),"", MAX(P$2:P143)+1)</f>
        <v/>
      </c>
      <c r="S144" s="16"/>
      <c r="T144" s="53" t="str">
        <f>_xll.ESHistD($Q144,_xll.ESFldID(T$2,"D"),"D",$S144)</f>
        <v/>
      </c>
      <c r="U144" s="53" t="str">
        <f>_xll.ESHistD($Q144,_xll.ESFldID(U$2,"D"),"D",$S144)</f>
        <v/>
      </c>
      <c r="V144" s="53" t="str">
        <f>_xll.ESHistD($Q144,_xll.ESFldID(V$2,"D"),"D",$S144)</f>
        <v/>
      </c>
      <c r="W144" s="53" t="str">
        <f>_xll.ESHistD($Q144,_xll.ESFldID(W$2,"D"),"D",$S144)</f>
        <v/>
      </c>
      <c r="X144" s="22" t="str">
        <f>_xll.ESHistD($Q144,_xll.ESFldID(X$2,"D"),"D",$S144)</f>
        <v/>
      </c>
      <c r="Y144" s="55" t="str">
        <f t="shared" si="2"/>
        <v/>
      </c>
      <c r="Z144" s="53" t="str">
        <f ca="1">_xll.ESHistD($Q144,_xll.ESFldID(Z$2,"D"),"D",$AC$1)</f>
        <v/>
      </c>
      <c r="AA144" s="53" t="str">
        <f ca="1">_xll.ESHistD($Q144,_xll.ESFldID(AA$2,"D"),"D",$AC$1)</f>
        <v/>
      </c>
      <c r="AB144" s="53" t="str">
        <f ca="1">_xll.ESHistD($Q144,_xll.ESFldID(AB$2,"D"),"D",$AC$1)</f>
        <v/>
      </c>
      <c r="AC144" s="53" t="str">
        <f ca="1">_xll.ESHistD($Q144,_xll.ESFldID(AC$2,"D"),"D",$AC$1)</f>
        <v/>
      </c>
      <c r="AD144" s="22" t="str">
        <f ca="1">_xll.ESHistD($Q144,_xll.ESFldID(AD$2,"D"),"D",$AC$1)</f>
        <v/>
      </c>
    </row>
    <row r="145" spans="16:30" x14ac:dyDescent="0.25">
      <c r="P145" s="52" t="str">
        <f>IF(OR(ISBLANK(Q145), Q145=""),"", MAX(P$2:P144)+1)</f>
        <v/>
      </c>
      <c r="S145" s="16"/>
      <c r="T145" s="53" t="str">
        <f>_xll.ESHistD($Q145,_xll.ESFldID(T$2,"D"),"D",$S145)</f>
        <v/>
      </c>
      <c r="U145" s="53" t="str">
        <f>_xll.ESHistD($Q145,_xll.ESFldID(U$2,"D"),"D",$S145)</f>
        <v/>
      </c>
      <c r="V145" s="53" t="str">
        <f>_xll.ESHistD($Q145,_xll.ESFldID(V$2,"D"),"D",$S145)</f>
        <v/>
      </c>
      <c r="W145" s="53" t="str">
        <f>_xll.ESHistD($Q145,_xll.ESFldID(W$2,"D"),"D",$S145)</f>
        <v/>
      </c>
      <c r="X145" s="22" t="str">
        <f>_xll.ESHistD($Q145,_xll.ESFldID(X$2,"D"),"D",$S145)</f>
        <v/>
      </c>
      <c r="Y145" s="55" t="str">
        <f t="shared" si="2"/>
        <v/>
      </c>
      <c r="Z145" s="53" t="str">
        <f ca="1">_xll.ESHistD($Q145,_xll.ESFldID(Z$2,"D"),"D",$AC$1)</f>
        <v/>
      </c>
      <c r="AA145" s="53" t="str">
        <f ca="1">_xll.ESHistD($Q145,_xll.ESFldID(AA$2,"D"),"D",$AC$1)</f>
        <v/>
      </c>
      <c r="AB145" s="53" t="str">
        <f ca="1">_xll.ESHistD($Q145,_xll.ESFldID(AB$2,"D"),"D",$AC$1)</f>
        <v/>
      </c>
      <c r="AC145" s="53" t="str">
        <f ca="1">_xll.ESHistD($Q145,_xll.ESFldID(AC$2,"D"),"D",$AC$1)</f>
        <v/>
      </c>
      <c r="AD145" s="22" t="str">
        <f ca="1">_xll.ESHistD($Q145,_xll.ESFldID(AD$2,"D"),"D",$AC$1)</f>
        <v/>
      </c>
    </row>
    <row r="146" spans="16:30" x14ac:dyDescent="0.25">
      <c r="P146" s="52" t="str">
        <f>IF(OR(ISBLANK(Q146), Q146=""),"", MAX(P$2:P145)+1)</f>
        <v/>
      </c>
      <c r="S146" s="16"/>
      <c r="T146" s="53" t="str">
        <f>_xll.ESHistD($Q146,_xll.ESFldID(T$2,"D"),"D",$S146)</f>
        <v/>
      </c>
      <c r="U146" s="53" t="str">
        <f>_xll.ESHistD($Q146,_xll.ESFldID(U$2,"D"),"D",$S146)</f>
        <v/>
      </c>
      <c r="V146" s="53" t="str">
        <f>_xll.ESHistD($Q146,_xll.ESFldID(V$2,"D"),"D",$S146)</f>
        <v/>
      </c>
      <c r="W146" s="53" t="str">
        <f>_xll.ESHistD($Q146,_xll.ESFldID(W$2,"D"),"D",$S146)</f>
        <v/>
      </c>
      <c r="X146" s="22" t="str">
        <f>_xll.ESHistD($Q146,_xll.ESFldID(X$2,"D"),"D",$S146)</f>
        <v/>
      </c>
      <c r="Y146" s="55" t="str">
        <f t="shared" si="2"/>
        <v/>
      </c>
      <c r="Z146" s="53" t="str">
        <f ca="1">_xll.ESHistD($Q146,_xll.ESFldID(Z$2,"D"),"D",$AC$1)</f>
        <v/>
      </c>
      <c r="AA146" s="53" t="str">
        <f ca="1">_xll.ESHistD($Q146,_xll.ESFldID(AA$2,"D"),"D",$AC$1)</f>
        <v/>
      </c>
      <c r="AB146" s="53" t="str">
        <f ca="1">_xll.ESHistD($Q146,_xll.ESFldID(AB$2,"D"),"D",$AC$1)</f>
        <v/>
      </c>
      <c r="AC146" s="53" t="str">
        <f ca="1">_xll.ESHistD($Q146,_xll.ESFldID(AC$2,"D"),"D",$AC$1)</f>
        <v/>
      </c>
      <c r="AD146" s="22" t="str">
        <f ca="1">_xll.ESHistD($Q146,_xll.ESFldID(AD$2,"D"),"D",$AC$1)</f>
        <v/>
      </c>
    </row>
    <row r="147" spans="16:30" x14ac:dyDescent="0.25">
      <c r="P147" s="52" t="str">
        <f>IF(OR(ISBLANK(Q147), Q147=""),"", MAX(P$2:P146)+1)</f>
        <v/>
      </c>
      <c r="S147" s="16"/>
      <c r="T147" s="53" t="str">
        <f>_xll.ESHistD($Q147,_xll.ESFldID(T$2,"D"),"D",$S147)</f>
        <v/>
      </c>
      <c r="U147" s="53" t="str">
        <f>_xll.ESHistD($Q147,_xll.ESFldID(U$2,"D"),"D",$S147)</f>
        <v/>
      </c>
      <c r="V147" s="53" t="str">
        <f>_xll.ESHistD($Q147,_xll.ESFldID(V$2,"D"),"D",$S147)</f>
        <v/>
      </c>
      <c r="W147" s="53" t="str">
        <f>_xll.ESHistD($Q147,_xll.ESFldID(W$2,"D"),"D",$S147)</f>
        <v/>
      </c>
      <c r="X147" s="22" t="str">
        <f>_xll.ESHistD($Q147,_xll.ESFldID(X$2,"D"),"D",$S147)</f>
        <v/>
      </c>
      <c r="Y147" s="55" t="str">
        <f t="shared" si="2"/>
        <v/>
      </c>
      <c r="Z147" s="53" t="str">
        <f ca="1">_xll.ESHistD($Q147,_xll.ESFldID(Z$2,"D"),"D",$AC$1)</f>
        <v/>
      </c>
      <c r="AA147" s="53" t="str">
        <f ca="1">_xll.ESHistD($Q147,_xll.ESFldID(AA$2,"D"),"D",$AC$1)</f>
        <v/>
      </c>
      <c r="AB147" s="53" t="str">
        <f ca="1">_xll.ESHistD($Q147,_xll.ESFldID(AB$2,"D"),"D",$AC$1)</f>
        <v/>
      </c>
      <c r="AC147" s="53" t="str">
        <f ca="1">_xll.ESHistD($Q147,_xll.ESFldID(AC$2,"D"),"D",$AC$1)</f>
        <v/>
      </c>
      <c r="AD147" s="22" t="str">
        <f ca="1">_xll.ESHistD($Q147,_xll.ESFldID(AD$2,"D"),"D",$AC$1)</f>
        <v/>
      </c>
    </row>
    <row r="148" spans="16:30" x14ac:dyDescent="0.25">
      <c r="P148" s="52" t="str">
        <f>IF(OR(ISBLANK(Q148), Q148=""),"", MAX(P$2:P147)+1)</f>
        <v/>
      </c>
      <c r="S148" s="16"/>
      <c r="T148" s="53" t="str">
        <f>_xll.ESHistD($Q148,_xll.ESFldID(T$2,"D"),"D",$S148)</f>
        <v/>
      </c>
      <c r="U148" s="53" t="str">
        <f>_xll.ESHistD($Q148,_xll.ESFldID(U$2,"D"),"D",$S148)</f>
        <v/>
      </c>
      <c r="V148" s="53" t="str">
        <f>_xll.ESHistD($Q148,_xll.ESFldID(V$2,"D"),"D",$S148)</f>
        <v/>
      </c>
      <c r="W148" s="53" t="str">
        <f>_xll.ESHistD($Q148,_xll.ESFldID(W$2,"D"),"D",$S148)</f>
        <v/>
      </c>
      <c r="X148" s="22" t="str">
        <f>_xll.ESHistD($Q148,_xll.ESFldID(X$2,"D"),"D",$S148)</f>
        <v/>
      </c>
      <c r="Y148" s="55" t="str">
        <f t="shared" si="2"/>
        <v/>
      </c>
      <c r="Z148" s="53" t="str">
        <f ca="1">_xll.ESHistD($Q148,_xll.ESFldID(Z$2,"D"),"D",$AC$1)</f>
        <v/>
      </c>
      <c r="AA148" s="53" t="str">
        <f ca="1">_xll.ESHistD($Q148,_xll.ESFldID(AA$2,"D"),"D",$AC$1)</f>
        <v/>
      </c>
      <c r="AB148" s="53" t="str">
        <f ca="1">_xll.ESHistD($Q148,_xll.ESFldID(AB$2,"D"),"D",$AC$1)</f>
        <v/>
      </c>
      <c r="AC148" s="53" t="str">
        <f ca="1">_xll.ESHistD($Q148,_xll.ESFldID(AC$2,"D"),"D",$AC$1)</f>
        <v/>
      </c>
      <c r="AD148" s="22" t="str">
        <f ca="1">_xll.ESHistD($Q148,_xll.ESFldID(AD$2,"D"),"D",$AC$1)</f>
        <v/>
      </c>
    </row>
    <row r="149" spans="16:30" x14ac:dyDescent="0.25">
      <c r="P149" s="52" t="str">
        <f>IF(OR(ISBLANK(Q149), Q149=""),"", MAX(P$2:P148)+1)</f>
        <v/>
      </c>
      <c r="S149" s="16"/>
      <c r="T149" s="53" t="str">
        <f>_xll.ESHistD($Q149,_xll.ESFldID(T$2,"D"),"D",$S149)</f>
        <v/>
      </c>
      <c r="U149" s="53" t="str">
        <f>_xll.ESHistD($Q149,_xll.ESFldID(U$2,"D"),"D",$S149)</f>
        <v/>
      </c>
      <c r="V149" s="53" t="str">
        <f>_xll.ESHistD($Q149,_xll.ESFldID(V$2,"D"),"D",$S149)</f>
        <v/>
      </c>
      <c r="W149" s="53" t="str">
        <f>_xll.ESHistD($Q149,_xll.ESFldID(W$2,"D"),"D",$S149)</f>
        <v/>
      </c>
      <c r="X149" s="22" t="str">
        <f>_xll.ESHistD($Q149,_xll.ESFldID(X$2,"D"),"D",$S149)</f>
        <v/>
      </c>
      <c r="Y149" s="55" t="str">
        <f t="shared" si="2"/>
        <v/>
      </c>
      <c r="Z149" s="53" t="str">
        <f ca="1">_xll.ESHistD($Q149,_xll.ESFldID(Z$2,"D"),"D",$AC$1)</f>
        <v/>
      </c>
      <c r="AA149" s="53" t="str">
        <f ca="1">_xll.ESHistD($Q149,_xll.ESFldID(AA$2,"D"),"D",$AC$1)</f>
        <v/>
      </c>
      <c r="AB149" s="53" t="str">
        <f ca="1">_xll.ESHistD($Q149,_xll.ESFldID(AB$2,"D"),"D",$AC$1)</f>
        <v/>
      </c>
      <c r="AC149" s="53" t="str">
        <f ca="1">_xll.ESHistD($Q149,_xll.ESFldID(AC$2,"D"),"D",$AC$1)</f>
        <v/>
      </c>
      <c r="AD149" s="22" t="str">
        <f ca="1">_xll.ESHistD($Q149,_xll.ESFldID(AD$2,"D"),"D",$AC$1)</f>
        <v/>
      </c>
    </row>
    <row r="150" spans="16:30" x14ac:dyDescent="0.25">
      <c r="P150" s="52" t="str">
        <f>IF(OR(ISBLANK(Q150), Q150=""),"", MAX(P$2:P149)+1)</f>
        <v/>
      </c>
      <c r="S150" s="16"/>
      <c r="T150" s="53" t="str">
        <f>_xll.ESHistD($Q150,_xll.ESFldID(T$2,"D"),"D",$S150)</f>
        <v/>
      </c>
      <c r="U150" s="53" t="str">
        <f>_xll.ESHistD($Q150,_xll.ESFldID(U$2,"D"),"D",$S150)</f>
        <v/>
      </c>
      <c r="V150" s="53" t="str">
        <f>_xll.ESHistD($Q150,_xll.ESFldID(V$2,"D"),"D",$S150)</f>
        <v/>
      </c>
      <c r="W150" s="53" t="str">
        <f>_xll.ESHistD($Q150,_xll.ESFldID(W$2,"D"),"D",$S150)</f>
        <v/>
      </c>
      <c r="X150" s="22" t="str">
        <f>_xll.ESHistD($Q150,_xll.ESFldID(X$2,"D"),"D",$S150)</f>
        <v/>
      </c>
      <c r="Y150" s="55" t="str">
        <f t="shared" si="2"/>
        <v/>
      </c>
      <c r="Z150" s="53" t="str">
        <f ca="1">_xll.ESHistD($Q150,_xll.ESFldID(Z$2,"D"),"D",$AC$1)</f>
        <v/>
      </c>
      <c r="AA150" s="53" t="str">
        <f ca="1">_xll.ESHistD($Q150,_xll.ESFldID(AA$2,"D"),"D",$AC$1)</f>
        <v/>
      </c>
      <c r="AB150" s="53" t="str">
        <f ca="1">_xll.ESHistD($Q150,_xll.ESFldID(AB$2,"D"),"D",$AC$1)</f>
        <v/>
      </c>
      <c r="AC150" s="53" t="str">
        <f ca="1">_xll.ESHistD($Q150,_xll.ESFldID(AC$2,"D"),"D",$AC$1)</f>
        <v/>
      </c>
      <c r="AD150" s="22" t="str">
        <f ca="1">_xll.ESHistD($Q150,_xll.ESFldID(AD$2,"D"),"D",$AC$1)</f>
        <v/>
      </c>
    </row>
    <row r="151" spans="16:30" x14ac:dyDescent="0.25">
      <c r="P151" s="52" t="str">
        <f>IF(OR(ISBLANK(Q151), Q151=""),"", MAX(P$2:P150)+1)</f>
        <v/>
      </c>
      <c r="S151" s="16"/>
      <c r="T151" s="53" t="str">
        <f>_xll.ESHistD($Q151,_xll.ESFldID(T$2,"D"),"D",$S151)</f>
        <v/>
      </c>
      <c r="U151" s="53" t="str">
        <f>_xll.ESHistD($Q151,_xll.ESFldID(U$2,"D"),"D",$S151)</f>
        <v/>
      </c>
      <c r="V151" s="53" t="str">
        <f>_xll.ESHistD($Q151,_xll.ESFldID(V$2,"D"),"D",$S151)</f>
        <v/>
      </c>
      <c r="W151" s="53" t="str">
        <f>_xll.ESHistD($Q151,_xll.ESFldID(W$2,"D"),"D",$S151)</f>
        <v/>
      </c>
      <c r="X151" s="22" t="str">
        <f>_xll.ESHistD($Q151,_xll.ESFldID(X$2,"D"),"D",$S151)</f>
        <v/>
      </c>
      <c r="Y151" s="55" t="str">
        <f t="shared" si="2"/>
        <v/>
      </c>
      <c r="Z151" s="53" t="str">
        <f ca="1">_xll.ESHistD($Q151,_xll.ESFldID(Z$2,"D"),"D",$AC$1)</f>
        <v/>
      </c>
      <c r="AA151" s="53" t="str">
        <f ca="1">_xll.ESHistD($Q151,_xll.ESFldID(AA$2,"D"),"D",$AC$1)</f>
        <v/>
      </c>
      <c r="AB151" s="53" t="str">
        <f ca="1">_xll.ESHistD($Q151,_xll.ESFldID(AB$2,"D"),"D",$AC$1)</f>
        <v/>
      </c>
      <c r="AC151" s="53" t="str">
        <f ca="1">_xll.ESHistD($Q151,_xll.ESFldID(AC$2,"D"),"D",$AC$1)</f>
        <v/>
      </c>
      <c r="AD151" s="22" t="str">
        <f ca="1">_xll.ESHistD($Q151,_xll.ESFldID(AD$2,"D"),"D",$AC$1)</f>
        <v/>
      </c>
    </row>
    <row r="152" spans="16:30" x14ac:dyDescent="0.25">
      <c r="P152" s="52" t="str">
        <f>IF(OR(ISBLANK(Q152), Q152=""),"", MAX(P$2:P151)+1)</f>
        <v/>
      </c>
      <c r="S152" s="16"/>
      <c r="T152" s="53" t="str">
        <f>_xll.ESHistD($Q152,_xll.ESFldID(T$2,"D"),"D",$S152)</f>
        <v/>
      </c>
      <c r="U152" s="53" t="str">
        <f>_xll.ESHistD($Q152,_xll.ESFldID(U$2,"D"),"D",$S152)</f>
        <v/>
      </c>
      <c r="V152" s="53" t="str">
        <f>_xll.ESHistD($Q152,_xll.ESFldID(V$2,"D"),"D",$S152)</f>
        <v/>
      </c>
      <c r="W152" s="53" t="str">
        <f>_xll.ESHistD($Q152,_xll.ESFldID(W$2,"D"),"D",$S152)</f>
        <v/>
      </c>
      <c r="X152" s="22" t="str">
        <f>_xll.ESHistD($Q152,_xll.ESFldID(X$2,"D"),"D",$S152)</f>
        <v/>
      </c>
      <c r="Y152" s="55" t="str">
        <f t="shared" si="2"/>
        <v/>
      </c>
      <c r="Z152" s="53" t="str">
        <f ca="1">_xll.ESHistD($Q152,_xll.ESFldID(Z$2,"D"),"D",$AC$1)</f>
        <v/>
      </c>
      <c r="AA152" s="53" t="str">
        <f ca="1">_xll.ESHistD($Q152,_xll.ESFldID(AA$2,"D"),"D",$AC$1)</f>
        <v/>
      </c>
      <c r="AB152" s="53" t="str">
        <f ca="1">_xll.ESHistD($Q152,_xll.ESFldID(AB$2,"D"),"D",$AC$1)</f>
        <v/>
      </c>
      <c r="AC152" s="53" t="str">
        <f ca="1">_xll.ESHistD($Q152,_xll.ESFldID(AC$2,"D"),"D",$AC$1)</f>
        <v/>
      </c>
      <c r="AD152" s="22" t="str">
        <f ca="1">_xll.ESHistD($Q152,_xll.ESFldID(AD$2,"D"),"D",$AC$1)</f>
        <v/>
      </c>
    </row>
    <row r="153" spans="16:30" x14ac:dyDescent="0.25">
      <c r="P153" s="52" t="str">
        <f>IF(OR(ISBLANK(Q153), Q153=""),"", MAX(P$2:P152)+1)</f>
        <v/>
      </c>
      <c r="S153" s="16"/>
      <c r="T153" s="53" t="str">
        <f>_xll.ESHistD($Q153,_xll.ESFldID(T$2,"D"),"D",$S153)</f>
        <v/>
      </c>
      <c r="U153" s="53" t="str">
        <f>_xll.ESHistD($Q153,_xll.ESFldID(U$2,"D"),"D",$S153)</f>
        <v/>
      </c>
      <c r="V153" s="53" t="str">
        <f>_xll.ESHistD($Q153,_xll.ESFldID(V$2,"D"),"D",$S153)</f>
        <v/>
      </c>
      <c r="W153" s="53" t="str">
        <f>_xll.ESHistD($Q153,_xll.ESFldID(W$2,"D"),"D",$S153)</f>
        <v/>
      </c>
      <c r="X153" s="22" t="str">
        <f>_xll.ESHistD($Q153,_xll.ESFldID(X$2,"D"),"D",$S153)</f>
        <v/>
      </c>
      <c r="Y153" s="55" t="str">
        <f t="shared" si="2"/>
        <v/>
      </c>
      <c r="Z153" s="53" t="str">
        <f ca="1">_xll.ESHistD($Q153,_xll.ESFldID(Z$2,"D"),"D",$AC$1)</f>
        <v/>
      </c>
      <c r="AA153" s="53" t="str">
        <f ca="1">_xll.ESHistD($Q153,_xll.ESFldID(AA$2,"D"),"D",$AC$1)</f>
        <v/>
      </c>
      <c r="AB153" s="53" t="str">
        <f ca="1">_xll.ESHistD($Q153,_xll.ESFldID(AB$2,"D"),"D",$AC$1)</f>
        <v/>
      </c>
      <c r="AC153" s="53" t="str">
        <f ca="1">_xll.ESHistD($Q153,_xll.ESFldID(AC$2,"D"),"D",$AC$1)</f>
        <v/>
      </c>
      <c r="AD153" s="22" t="str">
        <f ca="1">_xll.ESHistD($Q153,_xll.ESFldID(AD$2,"D"),"D",$AC$1)</f>
        <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sqref="A1:XFD2"/>
    </sheetView>
  </sheetViews>
  <sheetFormatPr defaultRowHeight="15.75" x14ac:dyDescent="0.25"/>
  <cols>
    <col min="1" max="1" width="20.75" style="58" customWidth="1"/>
    <col min="2" max="2" width="27" style="17" customWidth="1"/>
    <col min="3" max="3" width="118.625" style="17" customWidth="1"/>
    <col min="4" max="4" width="25.5" style="17" bestFit="1" customWidth="1"/>
    <col min="5" max="5" width="9" style="17"/>
    <col min="6" max="6" width="27.375" style="17" bestFit="1" customWidth="1"/>
    <col min="7" max="9" width="9" style="17"/>
    <col min="10" max="10" width="25.5" style="17" bestFit="1"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84" t="s">
        <v>32</v>
      </c>
      <c r="B1" s="84"/>
      <c r="C1" s="84"/>
      <c r="D1" s="45"/>
    </row>
    <row r="2" spans="1:16" ht="30.75" customHeight="1" x14ac:dyDescent="0.25">
      <c r="A2" s="2" t="s">
        <v>50</v>
      </c>
      <c r="B2" s="2" t="s">
        <v>51</v>
      </c>
      <c r="C2" s="67" t="s">
        <v>52</v>
      </c>
      <c r="D2" s="2"/>
      <c r="E2" s="2"/>
      <c r="F2" s="2"/>
      <c r="G2" s="2"/>
      <c r="H2" s="2"/>
      <c r="I2" s="2"/>
    </row>
    <row r="3" spans="1:16" ht="18.75" customHeight="1" x14ac:dyDescent="0.25">
      <c r="A3" s="66" t="s">
        <v>44</v>
      </c>
      <c r="B3" s="66" t="b">
        <v>1</v>
      </c>
      <c r="C3" s="68" t="s">
        <v>53</v>
      </c>
      <c r="D3" s="69"/>
    </row>
    <row r="4" spans="1:16" ht="18.75" customHeight="1" x14ac:dyDescent="0.25">
      <c r="A4" s="66" t="s">
        <v>49</v>
      </c>
      <c r="B4" s="66" t="b">
        <v>1</v>
      </c>
      <c r="C4" s="68" t="s">
        <v>54</v>
      </c>
      <c r="D4" s="69"/>
    </row>
    <row r="5" spans="1:16" ht="18.75" customHeight="1" x14ac:dyDescent="0.25">
      <c r="A5" s="66" t="s">
        <v>46</v>
      </c>
      <c r="B5" s="70">
        <v>6.9444444444444447E-4</v>
      </c>
      <c r="C5" s="66" t="s">
        <v>55</v>
      </c>
    </row>
    <row r="6" spans="1:16" ht="18.75" customHeight="1" x14ac:dyDescent="0.25">
      <c r="A6" s="66" t="s">
        <v>47</v>
      </c>
      <c r="B6" s="70">
        <v>0.97916666666666663</v>
      </c>
      <c r="C6" s="66" t="s">
        <v>55</v>
      </c>
    </row>
    <row r="7" spans="1:16" ht="18.75" customHeight="1" x14ac:dyDescent="0.25">
      <c r="A7" s="66" t="s">
        <v>72</v>
      </c>
      <c r="B7" s="66" t="s">
        <v>70</v>
      </c>
      <c r="C7" s="66" t="s">
        <v>71</v>
      </c>
    </row>
    <row r="8" spans="1:16" ht="18.75" customHeight="1" x14ac:dyDescent="0.25">
      <c r="A8" s="66" t="s">
        <v>73</v>
      </c>
      <c r="B8" s="66" t="b">
        <v>0</v>
      </c>
      <c r="C8" s="66" t="s">
        <v>74</v>
      </c>
      <c r="F8" s="71"/>
      <c r="G8" s="71"/>
      <c r="J8" s="72"/>
      <c r="K8" s="72"/>
      <c r="L8" s="72"/>
      <c r="M8" s="72"/>
      <c r="N8" s="72"/>
      <c r="O8" s="72"/>
      <c r="P8" s="72"/>
    </row>
    <row r="9" spans="1:16" ht="18.75" customHeight="1" x14ac:dyDescent="0.25">
      <c r="A9" s="66" t="s">
        <v>91</v>
      </c>
      <c r="B9" s="66">
        <v>6871055</v>
      </c>
      <c r="C9" s="66" t="s">
        <v>164</v>
      </c>
      <c r="I9" s="22"/>
      <c r="J9" s="22"/>
      <c r="K9" s="22"/>
      <c r="L9" s="22"/>
      <c r="M9" s="22"/>
      <c r="N9" s="22"/>
      <c r="O9" s="22"/>
      <c r="P9" s="22"/>
    </row>
    <row r="10" spans="1:16" ht="18.75" customHeight="1" x14ac:dyDescent="0.25">
      <c r="A10" s="66" t="s">
        <v>96</v>
      </c>
      <c r="B10" s="22" t="str">
        <f>_xll.OpenApiGetClientKey()</f>
        <v>45XQxxJtoz-bbnF8YyTl0Q==</v>
      </c>
      <c r="C10" s="66" t="s">
        <v>163</v>
      </c>
      <c r="E10" s="71"/>
      <c r="I10" s="22"/>
      <c r="J10" s="22"/>
      <c r="K10" s="22"/>
      <c r="L10" s="22"/>
      <c r="M10" s="22"/>
      <c r="N10" s="22"/>
      <c r="O10" s="22"/>
      <c r="P10" s="22"/>
    </row>
    <row r="11" spans="1:16" ht="18.75" customHeight="1" x14ac:dyDescent="0.25">
      <c r="A11" s="66" t="s">
        <v>92</v>
      </c>
      <c r="B11" s="22" t="str">
        <f>_xll.OpenApiGetAccountKey()</f>
        <v>9|9G7dMWchHftzbHmB-YaQ==</v>
      </c>
      <c r="C11" s="66" t="s">
        <v>162</v>
      </c>
      <c r="E11" s="71"/>
      <c r="I11" s="22"/>
      <c r="J11" s="22"/>
      <c r="K11" s="22"/>
      <c r="L11" s="22"/>
      <c r="M11" s="22"/>
      <c r="N11" s="22"/>
      <c r="O11" s="16"/>
      <c r="P11" s="43"/>
    </row>
    <row r="12" spans="1:16" ht="18.75" customHeight="1" x14ac:dyDescent="0.25">
      <c r="A12" s="66" t="s">
        <v>93</v>
      </c>
      <c r="B12" s="66" t="b">
        <v>1</v>
      </c>
      <c r="C12" s="66" t="s">
        <v>95</v>
      </c>
      <c r="E12" s="71"/>
      <c r="I12" s="22"/>
      <c r="J12" s="22"/>
      <c r="K12" s="22"/>
      <c r="L12" s="22"/>
      <c r="M12" s="22"/>
      <c r="N12" s="22"/>
      <c r="O12" s="16"/>
      <c r="P12" s="43"/>
    </row>
    <row r="13" spans="1:16" ht="18.75" customHeight="1" x14ac:dyDescent="0.25">
      <c r="A13" s="66" t="s">
        <v>114</v>
      </c>
      <c r="B13" s="73">
        <v>0</v>
      </c>
      <c r="C13" s="66" t="s">
        <v>115</v>
      </c>
      <c r="E13" s="71"/>
      <c r="I13" s="22"/>
      <c r="J13" s="22"/>
      <c r="K13" s="22"/>
      <c r="L13" s="22"/>
      <c r="M13" s="22"/>
      <c r="N13" s="22"/>
      <c r="O13" s="16"/>
      <c r="P13" s="43"/>
    </row>
    <row r="14" spans="1:16" ht="18.75" customHeight="1" x14ac:dyDescent="0.25">
      <c r="A14" s="66" t="s">
        <v>174</v>
      </c>
      <c r="B14" s="79" t="s">
        <v>175</v>
      </c>
      <c r="C14" s="66" t="s">
        <v>176</v>
      </c>
      <c r="E14" s="71"/>
      <c r="I14" s="22"/>
      <c r="J14" s="22"/>
      <c r="K14" s="22"/>
      <c r="L14" s="22"/>
      <c r="M14" s="22"/>
      <c r="N14" s="22"/>
      <c r="O14" s="16"/>
      <c r="P14" s="43"/>
    </row>
    <row r="15" spans="1:16" ht="18.75" customHeight="1" x14ac:dyDescent="0.25">
      <c r="A15" s="66"/>
      <c r="B15" s="79"/>
      <c r="C15" s="66"/>
      <c r="I15" s="22"/>
      <c r="J15" s="22"/>
      <c r="K15" s="22"/>
      <c r="L15" s="22"/>
      <c r="M15" s="22"/>
      <c r="N15" s="22"/>
      <c r="O15" s="16"/>
      <c r="P15" s="43"/>
    </row>
    <row r="16" spans="1:16" ht="18.75" customHeight="1" x14ac:dyDescent="0.25">
      <c r="A16" s="66"/>
      <c r="B16" s="79"/>
      <c r="C16" s="66"/>
      <c r="I16" s="22"/>
      <c r="J16" s="22"/>
      <c r="K16" s="22"/>
      <c r="L16" s="22"/>
      <c r="M16" s="22"/>
      <c r="N16" s="22"/>
      <c r="O16" s="16"/>
      <c r="P16" s="43"/>
    </row>
    <row r="17" spans="1:16" ht="18.75" customHeight="1" x14ac:dyDescent="0.25">
      <c r="A17" s="66"/>
      <c r="B17" s="79"/>
      <c r="C17" s="66"/>
      <c r="I17" s="22"/>
      <c r="J17" s="22"/>
      <c r="K17" s="22"/>
      <c r="L17" s="22"/>
      <c r="M17" s="22"/>
      <c r="N17" s="22"/>
      <c r="O17" s="16"/>
      <c r="P17" s="43"/>
    </row>
    <row r="18" spans="1:16" ht="18.75" customHeight="1" x14ac:dyDescent="0.25">
      <c r="A18" s="66"/>
      <c r="B18" s="79"/>
      <c r="C18" s="66"/>
      <c r="I18" s="22"/>
      <c r="J18" s="22"/>
      <c r="K18" s="22"/>
      <c r="L18" s="22"/>
      <c r="M18" s="22"/>
      <c r="N18" s="22"/>
      <c r="O18" s="16"/>
      <c r="P18" s="43"/>
    </row>
    <row r="19" spans="1:16" ht="18.75" customHeight="1" x14ac:dyDescent="0.25">
      <c r="A19" s="66"/>
      <c r="B19" s="79"/>
      <c r="C19" s="66"/>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sqref="A1:C1"/>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80" t="s">
        <v>67</v>
      </c>
      <c r="B1" s="80"/>
      <c r="C1" s="80"/>
    </row>
    <row r="2" spans="1:14" ht="276.75" customHeight="1" x14ac:dyDescent="0.25">
      <c r="A2" s="75">
        <f>IF(ISBLANK(B2),"", MAX(A$1:A1)+1)</f>
        <v>1</v>
      </c>
      <c r="B2" s="86" t="s">
        <v>68</v>
      </c>
      <c r="C2" s="85"/>
      <c r="D2" s="85"/>
      <c r="E2" s="12"/>
      <c r="F2" s="12"/>
      <c r="G2" s="12"/>
      <c r="H2" s="12"/>
      <c r="I2" s="12"/>
      <c r="J2" s="12"/>
      <c r="K2" s="12"/>
      <c r="L2" s="12"/>
      <c r="M2" s="12"/>
      <c r="N2" s="12"/>
    </row>
    <row r="3" spans="1:14" x14ac:dyDescent="0.25">
      <c r="A3" s="75" t="str">
        <f>IF(ISBLANK(B3),"", MAX(A$2:A2)+1)</f>
        <v/>
      </c>
      <c r="B3" s="85"/>
      <c r="C3" s="85"/>
      <c r="D3" s="85"/>
      <c r="E3" s="12"/>
      <c r="F3" s="41"/>
      <c r="G3" s="41"/>
      <c r="H3" s="41"/>
      <c r="I3" s="41"/>
      <c r="J3" s="41"/>
      <c r="K3" s="41" t="s">
        <v>94</v>
      </c>
      <c r="L3" s="41" t="s">
        <v>94</v>
      </c>
      <c r="M3" s="12"/>
      <c r="N3" s="12"/>
    </row>
    <row r="4" spans="1:14" x14ac:dyDescent="0.25">
      <c r="A4" s="75" t="str">
        <f>IF(ISBLANK(B4),"", MAX(A$2:A3)+1)</f>
        <v/>
      </c>
      <c r="B4" s="85"/>
      <c r="C4" s="85"/>
      <c r="D4" s="85"/>
      <c r="E4" s="19"/>
      <c r="F4" s="19"/>
      <c r="G4" s="19"/>
      <c r="H4" s="19"/>
      <c r="I4" s="19"/>
      <c r="J4" s="19"/>
      <c r="K4" s="19"/>
      <c r="L4" s="19"/>
      <c r="M4" s="12"/>
      <c r="N4" s="12"/>
    </row>
    <row r="5" spans="1:14" x14ac:dyDescent="0.25">
      <c r="A5" s="75" t="str">
        <f>IF(ISBLANK(B5),"", MAX(A$2:A4)+1)</f>
        <v/>
      </c>
      <c r="B5" s="85"/>
      <c r="C5" s="85"/>
      <c r="D5" s="85"/>
      <c r="E5" s="19"/>
      <c r="F5" s="19"/>
      <c r="G5" s="19"/>
      <c r="H5" s="19"/>
      <c r="I5" s="19"/>
      <c r="J5" s="19"/>
      <c r="K5" s="19"/>
      <c r="L5" s="19"/>
      <c r="M5" s="12"/>
      <c r="N5" s="12"/>
    </row>
    <row r="6" spans="1:14" x14ac:dyDescent="0.25">
      <c r="A6" s="75" t="str">
        <f>IF(ISBLANK(B6),"", MAX(A$2:A5)+1)</f>
        <v/>
      </c>
      <c r="B6" s="85"/>
      <c r="C6" s="85"/>
      <c r="D6" s="85"/>
      <c r="E6" s="19"/>
      <c r="F6" s="19"/>
      <c r="G6" s="19"/>
      <c r="H6" s="19"/>
      <c r="I6" s="19"/>
      <c r="J6" s="19"/>
      <c r="K6" s="19"/>
      <c r="L6" s="19"/>
      <c r="M6" s="12"/>
      <c r="N6" s="12"/>
    </row>
    <row r="7" spans="1:14" x14ac:dyDescent="0.25">
      <c r="A7" s="75" t="str">
        <f>IF(ISBLANK(B7),"", MAX(A$2:A6)+1)</f>
        <v/>
      </c>
      <c r="B7" s="85"/>
      <c r="C7" s="85"/>
      <c r="D7" s="85"/>
      <c r="E7" s="19"/>
      <c r="F7" s="19"/>
      <c r="G7" s="19"/>
      <c r="H7" s="19"/>
      <c r="I7" s="19"/>
      <c r="J7" s="19"/>
      <c r="K7" s="19"/>
      <c r="L7" s="19"/>
      <c r="M7" s="12"/>
      <c r="N7" s="12"/>
    </row>
    <row r="8" spans="1:14" x14ac:dyDescent="0.25">
      <c r="A8" s="75" t="str">
        <f>IF(ISBLANK(B8),"", MAX(A$2:A7)+1)</f>
        <v/>
      </c>
      <c r="B8" s="85"/>
      <c r="C8" s="85"/>
      <c r="D8" s="85"/>
      <c r="E8" s="19"/>
      <c r="F8" s="19"/>
      <c r="G8" s="19"/>
      <c r="H8" s="19"/>
      <c r="I8" s="19"/>
      <c r="J8" s="19"/>
      <c r="K8" s="19"/>
      <c r="L8" s="19"/>
      <c r="M8" s="12"/>
      <c r="N8" s="12"/>
    </row>
    <row r="9" spans="1:14" x14ac:dyDescent="0.25">
      <c r="A9" s="75" t="str">
        <f>IF(ISBLANK(B9),"", MAX(A$2:A8)+1)</f>
        <v/>
      </c>
      <c r="B9" s="85"/>
      <c r="C9" s="85"/>
      <c r="D9" s="85"/>
      <c r="E9" s="19"/>
      <c r="F9" s="19"/>
      <c r="G9" s="19"/>
      <c r="H9" s="19"/>
      <c r="I9" s="19"/>
      <c r="J9" s="19"/>
      <c r="K9" s="19"/>
      <c r="L9" s="19"/>
      <c r="M9" s="12"/>
      <c r="N9" s="12"/>
    </row>
    <row r="10" spans="1:14" x14ac:dyDescent="0.25">
      <c r="A10" s="75" t="str">
        <f>IF(ISBLANK(B10),"", MAX(A$2:A9)+1)</f>
        <v/>
      </c>
      <c r="B10" s="85"/>
      <c r="C10" s="85"/>
      <c r="D10" s="85"/>
      <c r="E10" s="19"/>
      <c r="F10" s="19"/>
      <c r="G10" s="19"/>
      <c r="H10" s="19"/>
      <c r="I10" s="19"/>
      <c r="J10" s="19"/>
      <c r="K10" s="12"/>
      <c r="L10" s="12"/>
      <c r="M10" s="12"/>
      <c r="N10" s="12"/>
    </row>
    <row r="11" spans="1:14" x14ac:dyDescent="0.25">
      <c r="A11" s="75" t="str">
        <f>IF(ISBLANK(B11),"", MAX(A$2:A10)+1)</f>
        <v/>
      </c>
      <c r="B11" s="85"/>
      <c r="C11" s="85"/>
      <c r="D11" s="85"/>
      <c r="E11" s="19"/>
      <c r="F11" s="19"/>
      <c r="G11" s="19"/>
      <c r="H11" s="19"/>
      <c r="I11" s="19"/>
      <c r="J11" s="19"/>
      <c r="K11" s="12"/>
      <c r="L11" s="12"/>
      <c r="M11" s="12"/>
      <c r="N11" s="12"/>
    </row>
    <row r="12" spans="1:14" x14ac:dyDescent="0.25">
      <c r="A12" s="75" t="str">
        <f>IF(ISBLANK(B12),"", MAX(A$2:A11)+1)</f>
        <v/>
      </c>
      <c r="B12" s="85"/>
      <c r="C12" s="85"/>
      <c r="D12" s="85"/>
      <c r="E12" s="19"/>
      <c r="F12" s="19"/>
      <c r="G12" s="19"/>
      <c r="H12" s="19"/>
      <c r="I12" s="19"/>
      <c r="J12" s="19"/>
      <c r="K12" s="12"/>
      <c r="L12" s="12"/>
      <c r="M12" s="12"/>
      <c r="N12" s="12"/>
    </row>
    <row r="13" spans="1:14" x14ac:dyDescent="0.25">
      <c r="A13" s="75" t="str">
        <f>IF(ISBLANK(B13),"", MAX(A$2:A12)+1)</f>
        <v/>
      </c>
      <c r="B13" s="85"/>
      <c r="C13" s="85"/>
      <c r="D13" s="85"/>
      <c r="E13" s="19"/>
      <c r="F13" s="19"/>
      <c r="G13" s="19"/>
      <c r="H13" s="19"/>
      <c r="I13" s="19"/>
      <c r="J13" s="19"/>
      <c r="K13" s="12"/>
      <c r="L13" s="12"/>
      <c r="M13" s="12"/>
      <c r="N13" s="12"/>
    </row>
    <row r="14" spans="1:14" x14ac:dyDescent="0.25">
      <c r="A14" s="75" t="str">
        <f>IF(ISBLANK(B14),"", MAX(A$2:A13)+1)</f>
        <v/>
      </c>
      <c r="B14" s="85"/>
      <c r="C14" s="85"/>
      <c r="D14" s="85"/>
      <c r="E14" s="19"/>
      <c r="F14" s="19"/>
      <c r="G14" s="19"/>
      <c r="H14" s="19"/>
      <c r="I14" s="19"/>
      <c r="J14" s="19"/>
      <c r="K14" s="12"/>
      <c r="L14" s="12"/>
      <c r="M14" s="12"/>
      <c r="N14" s="12"/>
    </row>
    <row r="15" spans="1:14" x14ac:dyDescent="0.25">
      <c r="A15" s="75" t="str">
        <f>IF(ISBLANK(B15),"", MAX(A$2:A14)+1)</f>
        <v/>
      </c>
      <c r="B15" s="85"/>
      <c r="C15" s="85"/>
      <c r="D15" s="85"/>
      <c r="E15" s="12"/>
      <c r="F15" s="12"/>
      <c r="G15" s="12"/>
      <c r="H15" s="12"/>
      <c r="I15" s="12"/>
      <c r="J15" s="12"/>
      <c r="K15" s="12"/>
      <c r="L15" s="12"/>
      <c r="M15" s="12"/>
      <c r="N15" s="12"/>
    </row>
    <row r="16" spans="1:14" x14ac:dyDescent="0.25">
      <c r="A16" s="75" t="str">
        <f>IF(ISBLANK(B16),"", MAX(A$2:A15)+1)</f>
        <v/>
      </c>
      <c r="B16" s="85"/>
      <c r="C16" s="85"/>
      <c r="D16" s="85"/>
      <c r="E16" s="12"/>
      <c r="F16" s="12"/>
      <c r="G16" s="12"/>
      <c r="H16" s="12"/>
      <c r="I16" s="12"/>
      <c r="J16" s="12"/>
      <c r="K16" s="12"/>
      <c r="L16" s="12"/>
      <c r="M16" s="12"/>
      <c r="N16" s="12"/>
    </row>
    <row r="17" spans="1:14" x14ac:dyDescent="0.25">
      <c r="A17" s="75" t="str">
        <f>IF(ISBLANK(B17),"", MAX(A$2:A16)+1)</f>
        <v/>
      </c>
      <c r="B17" s="85"/>
      <c r="C17" s="85"/>
      <c r="D17" s="85"/>
      <c r="E17" s="12"/>
      <c r="F17" s="12"/>
      <c r="G17" s="12"/>
      <c r="H17" s="12"/>
      <c r="I17" s="12"/>
      <c r="J17" s="12"/>
      <c r="K17" s="12"/>
      <c r="L17" s="12"/>
      <c r="M17" s="12"/>
      <c r="N17" s="12"/>
    </row>
    <row r="18" spans="1:14" x14ac:dyDescent="0.25">
      <c r="A18" s="75" t="str">
        <f>IF(ISBLANK(B18),"", MAX(A$2:A17)+1)</f>
        <v/>
      </c>
      <c r="B18" s="85"/>
      <c r="C18" s="85"/>
      <c r="D18" s="85"/>
      <c r="E18" s="12"/>
      <c r="F18" s="12"/>
      <c r="G18" s="12"/>
      <c r="H18" s="12"/>
      <c r="I18" s="12"/>
      <c r="J18" s="12"/>
      <c r="K18" s="12"/>
      <c r="L18" s="12"/>
      <c r="M18" s="12"/>
      <c r="N18" s="12"/>
    </row>
    <row r="19" spans="1:14" x14ac:dyDescent="0.25">
      <c r="A19" s="75" t="str">
        <f>IF(ISBLANK(B19),"", MAX(A$2:A18)+1)</f>
        <v/>
      </c>
      <c r="B19" s="85"/>
      <c r="C19" s="85"/>
      <c r="D19" s="85"/>
      <c r="E19" s="12"/>
      <c r="F19" s="12"/>
      <c r="G19" s="12"/>
      <c r="H19" s="12"/>
      <c r="I19" s="12"/>
      <c r="J19" s="12"/>
      <c r="K19" s="12"/>
      <c r="L19" s="12"/>
      <c r="M19" s="12"/>
      <c r="N19" s="12"/>
    </row>
    <row r="20" spans="1:14" x14ac:dyDescent="0.25">
      <c r="A20" s="75" t="str">
        <f>IF(ISBLANK(B20),"", MAX(A$2:A19)+1)</f>
        <v/>
      </c>
      <c r="B20" s="85"/>
      <c r="C20" s="85"/>
      <c r="D20" s="85"/>
      <c r="E20" s="12"/>
      <c r="F20" s="12"/>
      <c r="G20" s="12"/>
      <c r="H20" s="12"/>
      <c r="I20" s="12"/>
      <c r="J20" s="12"/>
      <c r="K20" s="12"/>
      <c r="L20" s="12"/>
      <c r="M20" s="12"/>
      <c r="N20" s="12"/>
    </row>
    <row r="21" spans="1:14" x14ac:dyDescent="0.25">
      <c r="A21" s="75" t="str">
        <f>IF(ISBLANK(B21),"", MAX(A$2:A20)+1)</f>
        <v/>
      </c>
      <c r="B21" s="85"/>
      <c r="C21" s="85"/>
      <c r="D21" s="85"/>
      <c r="E21" s="12"/>
      <c r="F21" s="12"/>
      <c r="G21" s="12"/>
      <c r="H21" s="12"/>
      <c r="I21" s="12"/>
      <c r="J21" s="12"/>
      <c r="K21" s="12"/>
      <c r="L21" s="12"/>
      <c r="M21" s="12"/>
      <c r="N21" s="12"/>
    </row>
    <row r="22" spans="1:14" x14ac:dyDescent="0.25">
      <c r="A22" s="75" t="str">
        <f>IF(ISBLANK(B22),"", MAX(A$2:A21)+1)</f>
        <v/>
      </c>
      <c r="B22" s="85"/>
      <c r="C22" s="85"/>
      <c r="D22" s="85"/>
      <c r="E22" s="12"/>
      <c r="F22" s="12"/>
      <c r="G22" s="12"/>
      <c r="H22" s="12"/>
      <c r="I22" s="12"/>
      <c r="J22" s="12"/>
      <c r="K22" s="12"/>
      <c r="L22" s="12"/>
      <c r="M22" s="12"/>
      <c r="N22" s="12"/>
    </row>
    <row r="23" spans="1:14" x14ac:dyDescent="0.25">
      <c r="A23" s="75" t="str">
        <f>IF(ISBLANK(B23),"", MAX(A$2:A22)+1)</f>
        <v/>
      </c>
      <c r="B23" s="85"/>
      <c r="C23" s="85"/>
      <c r="D23" s="85"/>
      <c r="E23" s="12"/>
      <c r="F23" s="12"/>
      <c r="G23" s="12"/>
      <c r="H23" s="12"/>
      <c r="I23" s="12"/>
      <c r="J23" s="12"/>
      <c r="K23" s="12"/>
      <c r="L23" s="12"/>
      <c r="M23" s="12"/>
      <c r="N23" s="12"/>
    </row>
    <row r="24" spans="1:14" x14ac:dyDescent="0.25">
      <c r="A24" s="75" t="str">
        <f>IF(ISBLANK(B24),"", MAX(A$2:A23)+1)</f>
        <v/>
      </c>
      <c r="B24" s="85"/>
      <c r="C24" s="85"/>
      <c r="D24" s="85"/>
      <c r="E24" s="12"/>
      <c r="F24" s="12"/>
      <c r="G24" s="12"/>
      <c r="H24" s="12"/>
      <c r="I24" s="12"/>
      <c r="J24" s="12"/>
      <c r="K24" s="12"/>
      <c r="L24" s="12"/>
      <c r="M24" s="12"/>
      <c r="N24" s="12"/>
    </row>
    <row r="25" spans="1:14" x14ac:dyDescent="0.25">
      <c r="A25" s="75" t="str">
        <f>IF(ISBLANK(B25),"", MAX(A$2:A24)+1)</f>
        <v/>
      </c>
      <c r="B25" s="85"/>
      <c r="C25" s="85"/>
      <c r="D25" s="85"/>
      <c r="E25" s="12"/>
      <c r="F25" s="12"/>
      <c r="G25" s="12"/>
      <c r="H25" s="12"/>
      <c r="I25" s="12"/>
      <c r="J25" s="12"/>
      <c r="K25" s="12"/>
      <c r="L25" s="12"/>
      <c r="M25" s="12"/>
      <c r="N25" s="12"/>
    </row>
    <row r="26" spans="1:14" x14ac:dyDescent="0.25">
      <c r="A26" s="75" t="str">
        <f>IF(ISBLANK(B26),"", MAX(A$2:A25)+1)</f>
        <v/>
      </c>
      <c r="B26" s="85"/>
      <c r="C26" s="85"/>
      <c r="D26" s="85"/>
      <c r="E26" s="12"/>
      <c r="F26" s="12"/>
      <c r="G26" s="12"/>
      <c r="H26" s="12"/>
      <c r="I26" s="12"/>
      <c r="J26" s="12"/>
      <c r="K26" s="12"/>
      <c r="L26" s="12"/>
      <c r="M26" s="12"/>
      <c r="N26" s="12"/>
    </row>
    <row r="27" spans="1:14" x14ac:dyDescent="0.25">
      <c r="A27" s="75" t="str">
        <f>IF(ISBLANK(B27),"", MAX(A$2:A26)+1)</f>
        <v/>
      </c>
      <c r="B27" s="85"/>
      <c r="C27" s="85"/>
      <c r="D27" s="85"/>
      <c r="E27" s="12"/>
      <c r="F27" s="12"/>
      <c r="G27" s="12"/>
      <c r="H27" s="12"/>
      <c r="I27" s="12"/>
      <c r="J27" s="12"/>
      <c r="K27" s="12"/>
      <c r="L27" s="12"/>
      <c r="M27" s="12"/>
      <c r="N27" s="12"/>
    </row>
    <row r="28" spans="1:14" x14ac:dyDescent="0.25">
      <c r="A28" s="75" t="str">
        <f>IF(ISBLANK(B28),"", MAX(A$2:A27)+1)</f>
        <v/>
      </c>
      <c r="B28" s="85"/>
      <c r="C28" s="85"/>
      <c r="D28" s="85"/>
      <c r="E28" s="12"/>
      <c r="F28" s="12"/>
      <c r="G28" s="12"/>
      <c r="H28" s="12"/>
      <c r="I28" s="12"/>
      <c r="J28" s="12"/>
      <c r="K28" s="12"/>
      <c r="L28" s="12"/>
      <c r="M28" s="12"/>
      <c r="N28" s="12"/>
    </row>
    <row r="29" spans="1:14" x14ac:dyDescent="0.25">
      <c r="A29" s="75" t="str">
        <f>IF(ISBLANK(B29),"", MAX(A$2:A28)+1)</f>
        <v/>
      </c>
      <c r="B29" s="85"/>
      <c r="C29" s="85"/>
      <c r="D29" s="85"/>
      <c r="E29" s="12"/>
      <c r="F29" s="12"/>
      <c r="G29" s="12"/>
      <c r="H29" s="12"/>
      <c r="I29" s="12"/>
      <c r="J29" s="12"/>
      <c r="K29" s="12"/>
      <c r="L29" s="12"/>
      <c r="M29" s="12"/>
      <c r="N29" s="12"/>
    </row>
    <row r="30" spans="1:14" x14ac:dyDescent="0.25">
      <c r="A30" s="75" t="str">
        <f>IF(ISBLANK(B30),"", MAX(A$2:A29)+1)</f>
        <v/>
      </c>
      <c r="B30" s="85"/>
      <c r="C30" s="85"/>
      <c r="D30" s="85"/>
      <c r="E30" s="12"/>
      <c r="F30" s="12"/>
      <c r="G30" s="12"/>
      <c r="H30" s="12"/>
      <c r="I30" s="12"/>
      <c r="J30" s="12"/>
      <c r="K30" s="12"/>
      <c r="L30" s="12"/>
      <c r="M30" s="12"/>
      <c r="N30" s="12"/>
    </row>
    <row r="31" spans="1:14" x14ac:dyDescent="0.25">
      <c r="A31" s="75" t="str">
        <f>IF(ISBLANK(B31),"", MAX(A$2:A30)+1)</f>
        <v/>
      </c>
      <c r="B31" s="85"/>
      <c r="C31" s="85"/>
      <c r="D31" s="85"/>
      <c r="E31" s="12"/>
      <c r="F31" s="12"/>
      <c r="G31" s="12"/>
      <c r="H31" s="12"/>
      <c r="I31" s="12"/>
      <c r="J31" s="12"/>
      <c r="K31" s="12"/>
      <c r="L31" s="12"/>
      <c r="M31" s="12"/>
      <c r="N31" s="12"/>
    </row>
    <row r="32" spans="1:14" x14ac:dyDescent="0.25">
      <c r="A32" s="75" t="str">
        <f>IF(ISBLANK(B32),"", MAX(A$2:A31)+1)</f>
        <v/>
      </c>
      <c r="B32" s="85"/>
      <c r="C32" s="85"/>
      <c r="D32" s="85"/>
      <c r="E32" s="12"/>
      <c r="F32" s="12"/>
      <c r="G32" s="12"/>
      <c r="H32" s="12"/>
      <c r="I32" s="12"/>
      <c r="J32" s="12"/>
      <c r="K32" s="12"/>
      <c r="L32" s="12"/>
      <c r="M32" s="12"/>
      <c r="N32" s="12"/>
    </row>
    <row r="33" spans="1:14" x14ac:dyDescent="0.25">
      <c r="A33" s="75" t="str">
        <f>IF(ISBLANK(B33),"", MAX(A$2:A32)+1)</f>
        <v/>
      </c>
      <c r="B33" s="85"/>
      <c r="C33" s="85"/>
      <c r="D33" s="85"/>
      <c r="E33" s="12"/>
      <c r="F33" s="12"/>
      <c r="G33" s="12"/>
      <c r="H33" s="12"/>
      <c r="I33" s="12"/>
      <c r="J33" s="12"/>
      <c r="K33" s="12"/>
      <c r="L33" s="12"/>
      <c r="M33" s="12"/>
      <c r="N33" s="12"/>
    </row>
    <row r="34" spans="1:14" x14ac:dyDescent="0.25">
      <c r="A34" s="75" t="str">
        <f>IF(ISBLANK(B34),"", MAX(A$2:A33)+1)</f>
        <v/>
      </c>
      <c r="B34" s="85"/>
      <c r="C34" s="85"/>
      <c r="D34" s="85"/>
      <c r="E34" s="12"/>
      <c r="F34" s="12"/>
      <c r="G34" s="12"/>
      <c r="H34" s="12"/>
      <c r="I34" s="12"/>
      <c r="J34" s="12"/>
      <c r="K34" s="12"/>
      <c r="L34" s="12"/>
      <c r="M34" s="12"/>
      <c r="N34" s="12"/>
    </row>
    <row r="35" spans="1:14" x14ac:dyDescent="0.25">
      <c r="A35" s="75" t="str">
        <f>IF(ISBLANK(B35),"", MAX(A$2:A34)+1)</f>
        <v/>
      </c>
      <c r="B35" s="85"/>
      <c r="C35" s="85"/>
      <c r="D35" s="85"/>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3"/>
  <sheetViews>
    <sheetView workbookViewId="0">
      <selection sqref="A1:XFD1048576"/>
    </sheetView>
  </sheetViews>
  <sheetFormatPr defaultRowHeight="15.75" x14ac:dyDescent="0.25"/>
  <cols>
    <col min="1" max="16384" width="9" style="17"/>
  </cols>
  <sheetData>
    <row r="1" spans="1:12" x14ac:dyDescent="0.25">
      <c r="A1" s="12" t="s">
        <v>6</v>
      </c>
      <c r="C1" s="17" t="s">
        <v>11</v>
      </c>
      <c r="E1" s="17" t="s">
        <v>16</v>
      </c>
      <c r="I1" s="92"/>
      <c r="J1" s="92"/>
      <c r="K1" s="92"/>
      <c r="L1" s="92"/>
    </row>
    <row r="2" spans="1:12" x14ac:dyDescent="0.25">
      <c r="A2" s="12" t="s">
        <v>8</v>
      </c>
      <c r="C2" s="17" t="s">
        <v>12</v>
      </c>
      <c r="E2" s="17" t="s">
        <v>17</v>
      </c>
      <c r="H2" s="92"/>
      <c r="I2" s="93"/>
      <c r="J2" s="93"/>
      <c r="K2" s="93"/>
      <c r="L2" s="93"/>
    </row>
    <row r="3" spans="1:12" x14ac:dyDescent="0.25">
      <c r="A3" s="12" t="s">
        <v>10</v>
      </c>
      <c r="C3" s="17" t="s">
        <v>13</v>
      </c>
      <c r="E3" s="17" t="s">
        <v>18</v>
      </c>
      <c r="H3" s="92"/>
      <c r="I3" s="93"/>
      <c r="J3" s="93"/>
      <c r="K3" s="93"/>
      <c r="L3" s="93"/>
    </row>
    <row r="4" spans="1:12" x14ac:dyDescent="0.25">
      <c r="A4" s="12" t="s">
        <v>5</v>
      </c>
      <c r="C4" s="17" t="s">
        <v>14</v>
      </c>
      <c r="E4" s="17" t="s">
        <v>19</v>
      </c>
    </row>
    <row r="5" spans="1:12" x14ac:dyDescent="0.25">
      <c r="A5" s="12" t="s">
        <v>4</v>
      </c>
      <c r="C5" s="17" t="s">
        <v>15</v>
      </c>
      <c r="E5" s="17" t="s">
        <v>20</v>
      </c>
    </row>
    <row r="6" spans="1:12" x14ac:dyDescent="0.25">
      <c r="A6" s="12" t="s">
        <v>7</v>
      </c>
      <c r="E6" s="17" t="s">
        <v>1</v>
      </c>
    </row>
    <row r="7" spans="1:12" x14ac:dyDescent="0.25">
      <c r="A7" s="12" t="s">
        <v>9</v>
      </c>
      <c r="E7" s="17" t="s">
        <v>21</v>
      </c>
    </row>
    <row r="8" spans="1:12" x14ac:dyDescent="0.25">
      <c r="A8" s="12" t="s">
        <v>0</v>
      </c>
      <c r="E8" s="17" t="s">
        <v>22</v>
      </c>
    </row>
    <row r="9" spans="1:12" x14ac:dyDescent="0.25">
      <c r="E9" s="17" t="s">
        <v>23</v>
      </c>
    </row>
    <row r="10" spans="1:12" x14ac:dyDescent="0.25">
      <c r="E10" s="17" t="s">
        <v>24</v>
      </c>
    </row>
    <row r="11" spans="1:12" x14ac:dyDescent="0.25">
      <c r="E11" s="17" t="s">
        <v>25</v>
      </c>
    </row>
    <row r="12" spans="1:12" x14ac:dyDescent="0.25">
      <c r="E12" s="17" t="s">
        <v>26</v>
      </c>
    </row>
    <row r="13" spans="1:12" x14ac:dyDescent="0.25">
      <c r="E13" s="17" t="s">
        <v>27</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11"/>
  <sheetViews>
    <sheetView workbookViewId="0">
      <selection activeCell="J10" sqref="J10"/>
    </sheetView>
  </sheetViews>
  <sheetFormatPr defaultRowHeight="15.75" x14ac:dyDescent="0.25"/>
  <cols>
    <col min="1" max="1" width="12.875" style="17" customWidth="1"/>
    <col min="2" max="2" width="11.375" style="17" customWidth="1"/>
    <col min="3" max="5" width="9" style="17"/>
    <col min="6" max="6" width="12.375" style="17" customWidth="1"/>
    <col min="7" max="7" width="9" style="17"/>
    <col min="8" max="8" width="12.375" style="17" bestFit="1" customWidth="1"/>
    <col min="9" max="9" width="12.5" style="17" bestFit="1" customWidth="1"/>
    <col min="10" max="16384" width="9" style="17"/>
  </cols>
  <sheetData>
    <row r="1" spans="1:12" ht="41.25" customHeight="1" x14ac:dyDescent="0.25">
      <c r="A1" s="84" t="s">
        <v>188</v>
      </c>
      <c r="B1" s="84"/>
      <c r="C1" s="84"/>
      <c r="D1" s="45"/>
    </row>
    <row r="2" spans="1:12" ht="37.5" x14ac:dyDescent="0.25">
      <c r="A2" s="6" t="s">
        <v>120</v>
      </c>
      <c r="B2" s="2" t="s">
        <v>189</v>
      </c>
      <c r="C2" s="2" t="s">
        <v>190</v>
      </c>
      <c r="D2" s="2" t="s">
        <v>191</v>
      </c>
      <c r="E2" s="2"/>
      <c r="F2" s="2"/>
      <c r="G2" s="2"/>
      <c r="H2" s="2"/>
      <c r="I2" s="2"/>
    </row>
    <row r="3" spans="1:12" x14ac:dyDescent="0.25">
      <c r="A3" s="12" t="s">
        <v>0</v>
      </c>
      <c r="B3" s="17" t="s">
        <v>195</v>
      </c>
      <c r="H3" s="92"/>
      <c r="I3" s="93"/>
      <c r="J3" s="93"/>
      <c r="K3" s="93"/>
      <c r="L3" s="93"/>
    </row>
    <row r="4" spans="1:12" x14ac:dyDescent="0.25">
      <c r="A4" s="12"/>
    </row>
    <row r="5" spans="1:12" x14ac:dyDescent="0.25">
      <c r="A5" s="94"/>
      <c r="B5" s="96" t="s">
        <v>35</v>
      </c>
      <c r="C5" s="96" t="s">
        <v>33</v>
      </c>
      <c r="D5" s="96" t="s">
        <v>36</v>
      </c>
      <c r="E5" s="96" t="s">
        <v>37</v>
      </c>
      <c r="F5" s="96" t="s">
        <v>34</v>
      </c>
      <c r="G5" s="96" t="s">
        <v>192</v>
      </c>
      <c r="H5" s="96" t="s">
        <v>193</v>
      </c>
      <c r="I5" s="96" t="s">
        <v>194</v>
      </c>
    </row>
    <row r="6" spans="1:12" x14ac:dyDescent="0.25">
      <c r="A6" s="94">
        <v>1000</v>
      </c>
      <c r="B6" s="95">
        <f>RTD("esrtd",,"*H",$A$3,_xll.ESFldID(B$5,$B$3),$B$3,,$A6)</f>
        <v>217.85</v>
      </c>
      <c r="C6" s="95">
        <f>RTD("esrtd",,"*H",$A$3,_xll.ESFldID(C$5,$B$3),$B$3,,$A6)</f>
        <v>217.75</v>
      </c>
      <c r="D6" s="95">
        <f>RTD("esrtd",,"*H",$A$3,_xll.ESFldID(D$5,$B$3),$B$3,,$A6)</f>
        <v>217.75</v>
      </c>
      <c r="E6" s="95">
        <f>RTD("esrtd",,"*H",$A$3,_xll.ESFldID(E$5,$B$3),$B$3,,$A6)</f>
        <v>217.85</v>
      </c>
      <c r="F6" s="95">
        <f>RTD("esrtd",,"*H",$A$3,_xll.ESFldID(F$5,$B$3),$B$3,,$A6)</f>
        <v>89222</v>
      </c>
      <c r="G6" s="97">
        <f>RTD("esrtd",,"*H",$A$3,_xll.ESFldID(G$5,$B$3),$B$3,,$A6)</f>
        <v>42927.669444444444</v>
      </c>
      <c r="H6" s="98">
        <f>RTD("esrtd",,"*H",$A$3,_xll.ESFldID(H$5,$B$3),$B$3,,$A6)</f>
        <v>42927.541666666664</v>
      </c>
      <c r="I6" s="97">
        <f>RTD("esrtd",,"*H",$A$3,_xll.ESFldID(I$5,$B$3),$B$3,,$A6)</f>
        <v>42927.669444444444</v>
      </c>
    </row>
    <row r="7" spans="1:12" x14ac:dyDescent="0.25">
      <c r="A7" s="94">
        <v>2000</v>
      </c>
      <c r="B7" s="95">
        <f>RTD("esrtd",,"*H",$A$3,_xll.ESFldID(B$5,$B$3),$B$3,,$A7)</f>
        <v>218.45</v>
      </c>
      <c r="C7" s="95">
        <f>RTD("esrtd",,"*H",$A$3,_xll.ESFldID(C$5,$B$3),$B$3,,$A7)</f>
        <v>218.45</v>
      </c>
      <c r="D7" s="95">
        <f>RTD("esrtd",,"*H",$A$3,_xll.ESFldID(D$5,$B$3),$B$3,,$A7)</f>
        <v>218.45</v>
      </c>
      <c r="E7" s="95">
        <f>RTD("esrtd",,"*H",$A$3,_xll.ESFldID(E$5,$B$3),$B$3,,$A7)</f>
        <v>218.45</v>
      </c>
      <c r="F7" s="95">
        <f>RTD("esrtd",,"*H",$A$3,_xll.ESFldID(F$5,$B$3),$B$3,,$A7)</f>
        <v>704</v>
      </c>
      <c r="G7" s="97">
        <f>RTD("esrtd",,"*H",$A$3,_xll.ESFldID(G$5,$B$3),$B$3,,$A7)</f>
        <v>42923.603472222225</v>
      </c>
      <c r="H7" s="98">
        <f>RTD("esrtd",,"*H",$A$3,_xll.ESFldID(H$5,$B$3),$B$3,,$A7)</f>
        <v>42923.541666666664</v>
      </c>
      <c r="I7" s="97">
        <f>RTD("esrtd",,"*H",$A$3,_xll.ESFldID(I$5,$B$3),$B$3,,$A7)</f>
        <v>42923.603472222225</v>
      </c>
    </row>
    <row r="8" spans="1:12" x14ac:dyDescent="0.25">
      <c r="A8" s="94">
        <v>3000</v>
      </c>
      <c r="B8" s="95">
        <f>RTD("esrtd",,"*H",$A$3,_xll.ESFldID(B$5,$B$3),$B$3,,$A8)</f>
        <v>218.35</v>
      </c>
      <c r="C8" s="95">
        <f>RTD("esrtd",,"*H",$A$3,_xll.ESFldID(C$5,$B$3),$B$3,,$A8)</f>
        <v>218.35</v>
      </c>
      <c r="D8" s="95">
        <f>RTD("esrtd",,"*H",$A$3,_xll.ESFldID(D$5,$B$3),$B$3,,$A8)</f>
        <v>218.25</v>
      </c>
      <c r="E8" s="95">
        <f>RTD("esrtd",,"*H",$A$3,_xll.ESFldID(E$5,$B$3),$B$3,,$A8)</f>
        <v>218.3</v>
      </c>
      <c r="F8" s="95">
        <f>RTD("esrtd",,"*H",$A$3,_xll.ESFldID(F$5,$B$3),$B$3,,$A8)</f>
        <v>20637</v>
      </c>
      <c r="G8" s="97">
        <f>RTD("esrtd",,"*H",$A$3,_xll.ESFldID(G$5,$B$3),$B$3,,$A8)</f>
        <v>42921.582638888889</v>
      </c>
      <c r="H8" s="98">
        <f>RTD("esrtd",,"*H",$A$3,_xll.ESFldID(H$5,$B$3),$B$3,,$A8)</f>
        <v>42921.541666666664</v>
      </c>
      <c r="I8" s="97">
        <f>RTD("esrtd",,"*H",$A$3,_xll.ESFldID(I$5,$B$3),$B$3,,$A8)</f>
        <v>42921.582638888889</v>
      </c>
    </row>
    <row r="9" spans="1:12" x14ac:dyDescent="0.25">
      <c r="A9" s="94">
        <v>4000</v>
      </c>
      <c r="B9" s="95">
        <f>RTD("esrtd",,"*H",$A$3,_xll.ESFldID(B$5,$B$3),$B$3,,$A9)</f>
        <v>216.95</v>
      </c>
      <c r="C9" s="95">
        <f>RTD("esrtd",,"*H",$A$3,_xll.ESFldID(C$5,$B$3),$B$3,,$A9)</f>
        <v>216.95</v>
      </c>
      <c r="D9" s="95">
        <f>RTD("esrtd",,"*H",$A$3,_xll.ESFldID(D$5,$B$3),$B$3,,$A9)</f>
        <v>216.9</v>
      </c>
      <c r="E9" s="95">
        <f>RTD("esrtd",,"*H",$A$3,_xll.ESFldID(E$5,$B$3),$B$3,,$A9)</f>
        <v>216.9</v>
      </c>
      <c r="F9" s="95">
        <f>RTD("esrtd",,"*H",$A$3,_xll.ESFldID(F$5,$B$3),$B$3,,$A9)</f>
        <v>20279</v>
      </c>
      <c r="G9" s="97">
        <f>RTD("esrtd",,"*H",$A$3,_xll.ESFldID(G$5,$B$3),$B$3,,$A9)</f>
        <v>42919.534722222219</v>
      </c>
      <c r="H9" s="98">
        <f>RTD("esrtd",,"*H",$A$3,_xll.ESFldID(H$5,$B$3),$B$3,,$A9)</f>
        <v>42919.541666666664</v>
      </c>
      <c r="I9" s="97">
        <f>RTD("esrtd",,"*H",$A$3,_xll.ESFldID(I$5,$B$3),$B$3,,$A9)</f>
        <v>42919.534722222219</v>
      </c>
    </row>
    <row r="10" spans="1:12" x14ac:dyDescent="0.25">
      <c r="A10" s="94">
        <v>5000</v>
      </c>
      <c r="B10" s="95">
        <f>RTD("esrtd",,"*H",$A$3,_xll.ESFldID(B$5,$B$3),$B$3,,$A10)</f>
        <v>219.95</v>
      </c>
      <c r="C10" s="95">
        <f>RTD("esrtd",,"*H",$A$3,_xll.ESFldID(C$5,$B$3),$B$3,,$A10)</f>
        <v>219.95</v>
      </c>
      <c r="D10" s="95">
        <f>RTD("esrtd",,"*H",$A$3,_xll.ESFldID(D$5,$B$3),$B$3,,$A10)</f>
        <v>219.95</v>
      </c>
      <c r="E10" s="95">
        <f>RTD("esrtd",,"*H",$A$3,_xll.ESFldID(E$5,$B$3),$B$3,,$A10)</f>
        <v>219.95</v>
      </c>
      <c r="F10" s="95">
        <f>RTD("esrtd",,"*H",$A$3,_xll.ESFldID(F$5,$B$3),$B$3,,$A10)</f>
        <v>11901</v>
      </c>
      <c r="G10" s="97">
        <f>RTD("esrtd",,"*H",$A$3,_xll.ESFldID(G$5,$B$3),$B$3,,$A10)</f>
        <v>42915.490972222222</v>
      </c>
      <c r="H10" s="98">
        <f>RTD("esrtd",,"*H",$A$3,_xll.ESFldID(H$5,$B$3),$B$3,,$A10)</f>
        <v>42915.541666666664</v>
      </c>
      <c r="I10" s="97">
        <f>RTD("esrtd",,"*H",$A$3,_xll.ESFldID(I$5,$B$3),$B$3,,$A10)</f>
        <v>42915.490972222222</v>
      </c>
    </row>
    <row r="11" spans="1:12" x14ac:dyDescent="0.25">
      <c r="A11" s="94">
        <v>6000</v>
      </c>
      <c r="B11" s="95">
        <f>RTD("esrtd",,"*H",$A$3,_xll.ESFldID(B$5,$B$3),$B$3,,$A11)</f>
        <v>222.35</v>
      </c>
      <c r="C11" s="95">
        <f>RTD("esrtd",,"*H",$A$3,_xll.ESFldID(C$5,$B$3),$B$3,,$A11)</f>
        <v>222.3</v>
      </c>
      <c r="D11" s="95">
        <f>RTD("esrtd",,"*H",$A$3,_xll.ESFldID(D$5,$B$3),$B$3,,$A11)</f>
        <v>222.2</v>
      </c>
      <c r="E11" s="95">
        <f>RTD("esrtd",,"*H",$A$3,_xll.ESFldID(E$5,$B$3),$B$3,,$A11)</f>
        <v>222.35</v>
      </c>
      <c r="F11" s="95">
        <f>RTD("esrtd",,"*H",$A$3,_xll.ESFldID(F$5,$B$3),$B$3,,$A11)</f>
        <v>122753</v>
      </c>
      <c r="G11" s="97">
        <f>RTD("esrtd",,"*H",$A$3,_xll.ESFldID(G$5,$B$3),$B$3,,$A11)</f>
        <v>42913.472222222219</v>
      </c>
      <c r="H11" s="98">
        <f>RTD("esrtd",,"*H",$A$3,_xll.ESFldID(H$5,$B$3),$B$3,,$A11)</f>
        <v>42913.541666666664</v>
      </c>
      <c r="I11" s="97">
        <f>RTD("esrtd",,"*H",$A$3,_xll.ESFldID(I$5,$B$3),$B$3,,$A11)</f>
        <v>42913.472222222219</v>
      </c>
    </row>
    <row r="12" spans="1:12" x14ac:dyDescent="0.25">
      <c r="A12" s="94">
        <v>7000</v>
      </c>
      <c r="B12" s="95">
        <f>RTD("esrtd",,"*H",$A$3,_xll.ESFldID(B$5,$B$3),$B$3,,$A12)</f>
        <v>223.9</v>
      </c>
      <c r="C12" s="95">
        <f>RTD("esrtd",,"*H",$A$3,_xll.ESFldID(C$5,$B$3),$B$3,,$A12)</f>
        <v>223.9</v>
      </c>
      <c r="D12" s="95">
        <f>RTD("esrtd",,"*H",$A$3,_xll.ESFldID(D$5,$B$3),$B$3,,$A12)</f>
        <v>223.9</v>
      </c>
      <c r="E12" s="95">
        <f>RTD("esrtd",,"*H",$A$3,_xll.ESFldID(E$5,$B$3),$B$3,,$A12)</f>
        <v>223.9</v>
      </c>
      <c r="F12" s="95">
        <f>RTD("esrtd",,"*H",$A$3,_xll.ESFldID(F$5,$B$3),$B$3,,$A12)</f>
        <v>22262</v>
      </c>
      <c r="G12" s="97">
        <f>RTD("esrtd",,"*H",$A$3,_xll.ESFldID(G$5,$B$3),$B$3,,$A12)</f>
        <v>42909.45</v>
      </c>
      <c r="H12" s="98">
        <f>RTD("esrtd",,"*H",$A$3,_xll.ESFldID(H$5,$B$3),$B$3,,$A12)</f>
        <v>42909.541666666664</v>
      </c>
      <c r="I12" s="97">
        <f>RTD("esrtd",,"*H",$A$3,_xll.ESFldID(I$5,$B$3),$B$3,,$A12)</f>
        <v>42909.45</v>
      </c>
    </row>
    <row r="13" spans="1:12" x14ac:dyDescent="0.25">
      <c r="A13" s="94">
        <v>8000</v>
      </c>
      <c r="B13" s="95">
        <f>RTD("esrtd",,"*H",$A$3,_xll.ESFldID(B$5,$B$3),$B$3,,$A13)</f>
        <v>222.45</v>
      </c>
      <c r="C13" s="95">
        <f>RTD("esrtd",,"*H",$A$3,_xll.ESFldID(C$5,$B$3),$B$3,,$A13)</f>
        <v>222.45</v>
      </c>
      <c r="D13" s="95">
        <f>RTD("esrtd",,"*H",$A$3,_xll.ESFldID(D$5,$B$3),$B$3,,$A13)</f>
        <v>222.4</v>
      </c>
      <c r="E13" s="95">
        <f>RTD("esrtd",,"*H",$A$3,_xll.ESFldID(E$5,$B$3),$B$3,,$A13)</f>
        <v>222.4</v>
      </c>
      <c r="F13" s="95">
        <f>RTD("esrtd",,"*H",$A$3,_xll.ESFldID(F$5,$B$3),$B$3,,$A13)</f>
        <v>26295</v>
      </c>
      <c r="G13" s="97">
        <f>RTD("esrtd",,"*H",$A$3,_xll.ESFldID(G$5,$B$3),$B$3,,$A13)</f>
        <v>42907.415277777778</v>
      </c>
      <c r="H13" s="98">
        <f>RTD("esrtd",,"*H",$A$3,_xll.ESFldID(H$5,$B$3),$B$3,,$A13)</f>
        <v>42907.541666666664</v>
      </c>
      <c r="I13" s="97">
        <f>RTD("esrtd",,"*H",$A$3,_xll.ESFldID(I$5,$B$3),$B$3,,$A13)</f>
        <v>42907.415277777778</v>
      </c>
    </row>
    <row r="14" spans="1:12" x14ac:dyDescent="0.25">
      <c r="A14" s="94">
        <v>9000</v>
      </c>
      <c r="B14" s="95">
        <f>RTD("esrtd",,"*H",$A$3,_xll.ESFldID(B$5,$B$3),$B$3,,$A14)</f>
        <v>223.15</v>
      </c>
      <c r="C14" s="95">
        <f>RTD("esrtd",,"*H",$A$3,_xll.ESFldID(C$5,$B$3),$B$3,,$A14)</f>
        <v>223.15</v>
      </c>
      <c r="D14" s="95">
        <f>RTD("esrtd",,"*H",$A$3,_xll.ESFldID(D$5,$B$3),$B$3,,$A14)</f>
        <v>223.1</v>
      </c>
      <c r="E14" s="95">
        <f>RTD("esrtd",,"*H",$A$3,_xll.ESFldID(E$5,$B$3),$B$3,,$A14)</f>
        <v>223.1</v>
      </c>
      <c r="F14" s="95">
        <f>RTD("esrtd",,"*H",$A$3,_xll.ESFldID(F$5,$B$3),$B$3,,$A14)</f>
        <v>22964</v>
      </c>
      <c r="G14" s="97">
        <f>RTD("esrtd",,"*H",$A$3,_xll.ESFldID(G$5,$B$3),$B$3,,$A14)</f>
        <v>42905.385416666664</v>
      </c>
      <c r="H14" s="98">
        <f>RTD("esrtd",,"*H",$A$3,_xll.ESFldID(H$5,$B$3),$B$3,,$A14)</f>
        <v>42905.541666666664</v>
      </c>
      <c r="I14" s="97">
        <f>RTD("esrtd",,"*H",$A$3,_xll.ESFldID(I$5,$B$3),$B$3,,$A14)</f>
        <v>42905.385416666664</v>
      </c>
    </row>
    <row r="15" spans="1:12" x14ac:dyDescent="0.25">
      <c r="A15" s="94">
        <v>95</v>
      </c>
      <c r="B15" s="95">
        <f>RTD("esrtd",,"*H",$A$3,_xll.ESFldID(B$5,$B$3),$B$3,,$A15)</f>
        <v>222.1</v>
      </c>
      <c r="C15" s="95">
        <f>RTD("esrtd",,"*H",$A$3,_xll.ESFldID(C$5,$B$3),$B$3,,$A15)</f>
        <v>222.1</v>
      </c>
      <c r="D15" s="95">
        <f>RTD("esrtd",,"*H",$A$3,_xll.ESFldID(D$5,$B$3),$B$3,,$A15)</f>
        <v>222.05</v>
      </c>
      <c r="E15" s="95">
        <f>RTD("esrtd",,"*H",$A$3,_xll.ESFldID(E$5,$B$3),$B$3,,$A15)</f>
        <v>222.05</v>
      </c>
      <c r="F15" s="95">
        <f>RTD("esrtd",,"*H",$A$3,_xll.ESFldID(F$5,$B$3),$B$3,,$A15)</f>
        <v>13169</v>
      </c>
      <c r="G15" s="97">
        <f>RTD("esrtd",,"*H",$A$3,_xll.ESFldID(G$5,$B$3),$B$3,,$A15)</f>
        <v>42929.57916666667</v>
      </c>
      <c r="H15" s="98">
        <f>RTD("esrtd",,"*H",$A$3,_xll.ESFldID(H$5,$B$3),$B$3,,$A15)</f>
        <v>42929.541666666664</v>
      </c>
      <c r="I15" s="97">
        <f>RTD("esrtd",,"*H",$A$3,_xll.ESFldID(I$5,$B$3),$B$3,,$A15)</f>
        <v>42929.57916666667</v>
      </c>
    </row>
    <row r="16" spans="1:12" x14ac:dyDescent="0.25">
      <c r="A16" s="94">
        <v>94</v>
      </c>
      <c r="B16" s="95">
        <f>RTD("esrtd",,"*H",$A$3,_xll.ESFldID(B$5,$B$3),$B$3,,$A16)</f>
        <v>222.1</v>
      </c>
      <c r="C16" s="95">
        <f>RTD("esrtd",,"*H",$A$3,_xll.ESFldID(C$5,$B$3),$B$3,,$A16)</f>
        <v>222.1</v>
      </c>
      <c r="D16" s="95">
        <f>RTD("esrtd",,"*H",$A$3,_xll.ESFldID(D$5,$B$3),$B$3,,$A16)</f>
        <v>222.1</v>
      </c>
      <c r="E16" s="95">
        <f>RTD("esrtd",,"*H",$A$3,_xll.ESFldID(E$5,$B$3),$B$3,,$A16)</f>
        <v>222.1</v>
      </c>
      <c r="F16" s="95">
        <f>RTD("esrtd",,"*H",$A$3,_xll.ESFldID(F$5,$B$3),$B$3,,$A16)</f>
        <v>15895</v>
      </c>
      <c r="G16" s="97">
        <f>RTD("esrtd",,"*H",$A$3,_xll.ESFldID(G$5,$B$3),$B$3,,$A16)</f>
        <v>42929.579861111109</v>
      </c>
      <c r="H16" s="98">
        <f>RTD("esrtd",,"*H",$A$3,_xll.ESFldID(H$5,$B$3),$B$3,,$A16)</f>
        <v>42929.541666666664</v>
      </c>
      <c r="I16" s="97">
        <f>RTD("esrtd",,"*H",$A$3,_xll.ESFldID(I$5,$B$3),$B$3,,$A16)</f>
        <v>42929.579861111109</v>
      </c>
    </row>
    <row r="17" spans="1:9" x14ac:dyDescent="0.25">
      <c r="A17" s="94">
        <v>93</v>
      </c>
      <c r="B17" s="95">
        <f>RTD("esrtd",,"*H",$A$3,_xll.ESFldID(B$5,$B$3),$B$3,,$A17)</f>
        <v>222.1</v>
      </c>
      <c r="C17" s="95">
        <f>RTD("esrtd",,"*H",$A$3,_xll.ESFldID(C$5,$B$3),$B$3,,$A17)</f>
        <v>222.1</v>
      </c>
      <c r="D17" s="95">
        <f>RTD("esrtd",,"*H",$A$3,_xll.ESFldID(D$5,$B$3),$B$3,,$A17)</f>
        <v>222.1</v>
      </c>
      <c r="E17" s="95">
        <f>RTD("esrtd",,"*H",$A$3,_xll.ESFldID(E$5,$B$3),$B$3,,$A17)</f>
        <v>222.1</v>
      </c>
      <c r="F17" s="95">
        <f>RTD("esrtd",,"*H",$A$3,_xll.ESFldID(F$5,$B$3),$B$3,,$A17)</f>
        <v>16002</v>
      </c>
      <c r="G17" s="97">
        <f>RTD("esrtd",,"*H",$A$3,_xll.ESFldID(G$5,$B$3),$B$3,,$A17)</f>
        <v>42929.580555555556</v>
      </c>
      <c r="H17" s="98">
        <f>RTD("esrtd",,"*H",$A$3,_xll.ESFldID(H$5,$B$3),$B$3,,$A17)</f>
        <v>42929.541666666664</v>
      </c>
      <c r="I17" s="97">
        <f>RTD("esrtd",,"*H",$A$3,_xll.ESFldID(I$5,$B$3),$B$3,,$A17)</f>
        <v>42929.580555555556</v>
      </c>
    </row>
    <row r="18" spans="1:9" x14ac:dyDescent="0.25">
      <c r="A18" s="94">
        <v>92</v>
      </c>
      <c r="B18" s="95">
        <f>RTD("esrtd",,"*H",$A$3,_xll.ESFldID(B$5,$B$3),$B$3,,$A18)</f>
        <v>222.15</v>
      </c>
      <c r="C18" s="95">
        <f>RTD("esrtd",,"*H",$A$3,_xll.ESFldID(C$5,$B$3),$B$3,,$A18)</f>
        <v>222.15</v>
      </c>
      <c r="D18" s="95">
        <f>RTD("esrtd",,"*H",$A$3,_xll.ESFldID(D$5,$B$3),$B$3,,$A18)</f>
        <v>222.15</v>
      </c>
      <c r="E18" s="95">
        <f>RTD("esrtd",,"*H",$A$3,_xll.ESFldID(E$5,$B$3),$B$3,,$A18)</f>
        <v>222.15</v>
      </c>
      <c r="F18" s="95">
        <f>RTD("esrtd",,"*H",$A$3,_xll.ESFldID(F$5,$B$3),$B$3,,$A18)</f>
        <v>593</v>
      </c>
      <c r="G18" s="97">
        <f>RTD("esrtd",,"*H",$A$3,_xll.ESFldID(G$5,$B$3),$B$3,,$A18)</f>
        <v>42929.581250000003</v>
      </c>
      <c r="H18" s="98">
        <f>RTD("esrtd",,"*H",$A$3,_xll.ESFldID(H$5,$B$3),$B$3,,$A18)</f>
        <v>42929.541666666664</v>
      </c>
      <c r="I18" s="97">
        <f>RTD("esrtd",,"*H",$A$3,_xll.ESFldID(I$5,$B$3),$B$3,,$A18)</f>
        <v>42929.581250000003</v>
      </c>
    </row>
    <row r="19" spans="1:9" x14ac:dyDescent="0.25">
      <c r="A19" s="94">
        <v>91</v>
      </c>
      <c r="B19" s="95">
        <f>RTD("esrtd",,"*H",$A$3,_xll.ESFldID(B$5,$B$3),$B$3,,$A19)</f>
        <v>222.15</v>
      </c>
      <c r="C19" s="95">
        <f>RTD("esrtd",,"*H",$A$3,_xll.ESFldID(C$5,$B$3),$B$3,,$A19)</f>
        <v>222.15</v>
      </c>
      <c r="D19" s="95">
        <f>RTD("esrtd",,"*H",$A$3,_xll.ESFldID(D$5,$B$3),$B$3,,$A19)</f>
        <v>222.15</v>
      </c>
      <c r="E19" s="95">
        <f>RTD("esrtd",,"*H",$A$3,_xll.ESFldID(E$5,$B$3),$B$3,,$A19)</f>
        <v>222.15</v>
      </c>
      <c r="F19" s="95">
        <f>RTD("esrtd",,"*H",$A$3,_xll.ESFldID(F$5,$B$3),$B$3,,$A19)</f>
        <v>17671</v>
      </c>
      <c r="G19" s="97">
        <f>RTD("esrtd",,"*H",$A$3,_xll.ESFldID(G$5,$B$3),$B$3,,$A19)</f>
        <v>42929.581944444442</v>
      </c>
      <c r="H19" s="98">
        <f>RTD("esrtd",,"*H",$A$3,_xll.ESFldID(H$5,$B$3),$B$3,,$A19)</f>
        <v>42929.541666666664</v>
      </c>
      <c r="I19" s="97">
        <f>RTD("esrtd",,"*H",$A$3,_xll.ESFldID(I$5,$B$3),$B$3,,$A19)</f>
        <v>42929.581944444442</v>
      </c>
    </row>
    <row r="20" spans="1:9" x14ac:dyDescent="0.25">
      <c r="A20" s="94">
        <v>90</v>
      </c>
      <c r="B20" s="95">
        <f>RTD("esrtd",,"*H",$A$3,_xll.ESFldID(B$5,$B$3),$B$3,,$A20)</f>
        <v>222.2</v>
      </c>
      <c r="C20" s="95">
        <f>RTD("esrtd",,"*H",$A$3,_xll.ESFldID(C$5,$B$3),$B$3,,$A20)</f>
        <v>222.2</v>
      </c>
      <c r="D20" s="95">
        <f>RTD("esrtd",,"*H",$A$3,_xll.ESFldID(D$5,$B$3),$B$3,,$A20)</f>
        <v>222.2</v>
      </c>
      <c r="E20" s="95">
        <f>RTD("esrtd",,"*H",$A$3,_xll.ESFldID(E$5,$B$3),$B$3,,$A20)</f>
        <v>222.2</v>
      </c>
      <c r="F20" s="95">
        <f>RTD("esrtd",,"*H",$A$3,_xll.ESFldID(F$5,$B$3),$B$3,,$A20)</f>
        <v>16335</v>
      </c>
      <c r="G20" s="97">
        <f>RTD("esrtd",,"*H",$A$3,_xll.ESFldID(G$5,$B$3),$B$3,,$A20)</f>
        <v>42929.582638888889</v>
      </c>
      <c r="H20" s="98">
        <f>RTD("esrtd",,"*H",$A$3,_xll.ESFldID(H$5,$B$3),$B$3,,$A20)</f>
        <v>42929.541666666664</v>
      </c>
      <c r="I20" s="97">
        <f>RTD("esrtd",,"*H",$A$3,_xll.ESFldID(I$5,$B$3),$B$3,,$A20)</f>
        <v>42929.582638888889</v>
      </c>
    </row>
    <row r="21" spans="1:9" x14ac:dyDescent="0.25">
      <c r="A21" s="94">
        <v>89</v>
      </c>
      <c r="B21" s="95">
        <f>RTD("esrtd",,"*H",$A$3,_xll.ESFldID(B$5,$B$3),$B$3,,$A21)</f>
        <v>222.2</v>
      </c>
      <c r="C21" s="95">
        <f>RTD("esrtd",,"*H",$A$3,_xll.ESFldID(C$5,$B$3),$B$3,,$A21)</f>
        <v>222.2</v>
      </c>
      <c r="D21" s="95">
        <f>RTD("esrtd",,"*H",$A$3,_xll.ESFldID(D$5,$B$3),$B$3,,$A21)</f>
        <v>222.2</v>
      </c>
      <c r="E21" s="95">
        <f>RTD("esrtd",,"*H",$A$3,_xll.ESFldID(E$5,$B$3),$B$3,,$A21)</f>
        <v>222.2</v>
      </c>
      <c r="F21" s="95">
        <f>RTD("esrtd",,"*H",$A$3,_xll.ESFldID(F$5,$B$3),$B$3,,$A21)</f>
        <v>11520</v>
      </c>
      <c r="G21" s="97">
        <f>RTD("esrtd",,"*H",$A$3,_xll.ESFldID(G$5,$B$3),$B$3,,$A21)</f>
        <v>42929.583333333336</v>
      </c>
      <c r="H21" s="98">
        <f>RTD("esrtd",,"*H",$A$3,_xll.ESFldID(H$5,$B$3),$B$3,,$A21)</f>
        <v>42929.541666666664</v>
      </c>
      <c r="I21" s="97">
        <f>RTD("esrtd",,"*H",$A$3,_xll.ESFldID(I$5,$B$3),$B$3,,$A21)</f>
        <v>42929.583333333336</v>
      </c>
    </row>
    <row r="22" spans="1:9" x14ac:dyDescent="0.25">
      <c r="A22" s="94">
        <v>88</v>
      </c>
      <c r="B22" s="95">
        <f>RTD("esrtd",,"*H",$A$3,_xll.ESFldID(B$5,$B$3),$B$3,,$A22)</f>
        <v>222.15</v>
      </c>
      <c r="C22" s="95">
        <f>RTD("esrtd",,"*H",$A$3,_xll.ESFldID(C$5,$B$3),$B$3,,$A22)</f>
        <v>222.1</v>
      </c>
      <c r="D22" s="95">
        <f>RTD("esrtd",,"*H",$A$3,_xll.ESFldID(D$5,$B$3),$B$3,,$A22)</f>
        <v>222.1</v>
      </c>
      <c r="E22" s="95">
        <f>RTD("esrtd",,"*H",$A$3,_xll.ESFldID(E$5,$B$3),$B$3,,$A22)</f>
        <v>222.15</v>
      </c>
      <c r="F22" s="95">
        <f>RTD("esrtd",,"*H",$A$3,_xll.ESFldID(F$5,$B$3),$B$3,,$A22)</f>
        <v>11388</v>
      </c>
      <c r="G22" s="97">
        <f>RTD("esrtd",,"*H",$A$3,_xll.ESFldID(G$5,$B$3),$B$3,,$A22)</f>
        <v>42929.584027777775</v>
      </c>
      <c r="H22" s="98">
        <f>RTD("esrtd",,"*H",$A$3,_xll.ESFldID(H$5,$B$3),$B$3,,$A22)</f>
        <v>42929.541666666664</v>
      </c>
      <c r="I22" s="97">
        <f>RTD("esrtd",,"*H",$A$3,_xll.ESFldID(I$5,$B$3),$B$3,,$A22)</f>
        <v>42929.584027777775</v>
      </c>
    </row>
    <row r="23" spans="1:9" x14ac:dyDescent="0.25">
      <c r="A23" s="94">
        <v>87</v>
      </c>
      <c r="B23" s="95">
        <f>RTD("esrtd",,"*H",$A$3,_xll.ESFldID(B$5,$B$3),$B$3,,$A23)</f>
        <v>222.15</v>
      </c>
      <c r="C23" s="95">
        <f>RTD("esrtd",,"*H",$A$3,_xll.ESFldID(C$5,$B$3),$B$3,,$A23)</f>
        <v>222.15</v>
      </c>
      <c r="D23" s="95">
        <f>RTD("esrtd",,"*H",$A$3,_xll.ESFldID(D$5,$B$3),$B$3,,$A23)</f>
        <v>222.15</v>
      </c>
      <c r="E23" s="95">
        <f>RTD("esrtd",,"*H",$A$3,_xll.ESFldID(E$5,$B$3),$B$3,,$A23)</f>
        <v>222.15</v>
      </c>
      <c r="F23" s="95">
        <f>RTD("esrtd",,"*H",$A$3,_xll.ESFldID(F$5,$B$3),$B$3,,$A23)</f>
        <v>29369</v>
      </c>
      <c r="G23" s="97">
        <f>RTD("esrtd",,"*H",$A$3,_xll.ESFldID(G$5,$B$3),$B$3,,$A23)</f>
        <v>42929.584722222222</v>
      </c>
      <c r="H23" s="98">
        <f>RTD("esrtd",,"*H",$A$3,_xll.ESFldID(H$5,$B$3),$B$3,,$A23)</f>
        <v>42929.541666666664</v>
      </c>
      <c r="I23" s="97">
        <f>RTD("esrtd",,"*H",$A$3,_xll.ESFldID(I$5,$B$3),$B$3,,$A23)</f>
        <v>42929.584722222222</v>
      </c>
    </row>
    <row r="24" spans="1:9" x14ac:dyDescent="0.25">
      <c r="A24" s="94">
        <v>86</v>
      </c>
      <c r="B24" s="95">
        <f>RTD("esrtd",,"*H",$A$3,_xll.ESFldID(B$5,$B$3),$B$3,,$A24)</f>
        <v>222.25</v>
      </c>
      <c r="C24" s="95">
        <f>RTD("esrtd",,"*H",$A$3,_xll.ESFldID(C$5,$B$3),$B$3,,$A24)</f>
        <v>222.25</v>
      </c>
      <c r="D24" s="95">
        <f>RTD("esrtd",,"*H",$A$3,_xll.ESFldID(D$5,$B$3),$B$3,,$A24)</f>
        <v>222.2</v>
      </c>
      <c r="E24" s="95">
        <f>RTD("esrtd",,"*H",$A$3,_xll.ESFldID(E$5,$B$3),$B$3,,$A24)</f>
        <v>222.2</v>
      </c>
      <c r="F24" s="95">
        <f>RTD("esrtd",,"*H",$A$3,_xll.ESFldID(F$5,$B$3),$B$3,,$A24)</f>
        <v>29347</v>
      </c>
      <c r="G24" s="97">
        <f>RTD("esrtd",,"*H",$A$3,_xll.ESFldID(G$5,$B$3),$B$3,,$A24)</f>
        <v>42929.585416666669</v>
      </c>
      <c r="H24" s="98">
        <f>RTD("esrtd",,"*H",$A$3,_xll.ESFldID(H$5,$B$3),$B$3,,$A24)</f>
        <v>42929.541666666664</v>
      </c>
      <c r="I24" s="97">
        <f>RTD("esrtd",,"*H",$A$3,_xll.ESFldID(I$5,$B$3),$B$3,,$A24)</f>
        <v>42929.585416666669</v>
      </c>
    </row>
    <row r="25" spans="1:9" x14ac:dyDescent="0.25">
      <c r="A25" s="94">
        <v>85</v>
      </c>
      <c r="B25" s="95">
        <f>RTD("esrtd",,"*H",$A$3,_xll.ESFldID(B$5,$B$3),$B$3,,$A25)</f>
        <v>222.25</v>
      </c>
      <c r="C25" s="95">
        <f>RTD("esrtd",,"*H",$A$3,_xll.ESFldID(C$5,$B$3),$B$3,,$A25)</f>
        <v>222.25</v>
      </c>
      <c r="D25" s="95">
        <f>RTD("esrtd",,"*H",$A$3,_xll.ESFldID(D$5,$B$3),$B$3,,$A25)</f>
        <v>222.25</v>
      </c>
      <c r="E25" s="95">
        <f>RTD("esrtd",,"*H",$A$3,_xll.ESFldID(E$5,$B$3),$B$3,,$A25)</f>
        <v>222.25</v>
      </c>
      <c r="F25" s="95">
        <f>RTD("esrtd",,"*H",$A$3,_xll.ESFldID(F$5,$B$3),$B$3,,$A25)</f>
        <v>1000</v>
      </c>
      <c r="G25" s="97">
        <f>RTD("esrtd",,"*H",$A$3,_xll.ESFldID(G$5,$B$3),$B$3,,$A25)</f>
        <v>42929.586111111108</v>
      </c>
      <c r="H25" s="98">
        <f>RTD("esrtd",,"*H",$A$3,_xll.ESFldID(H$5,$B$3),$B$3,,$A25)</f>
        <v>42929.541666666664</v>
      </c>
      <c r="I25" s="97">
        <f>RTD("esrtd",,"*H",$A$3,_xll.ESFldID(I$5,$B$3),$B$3,,$A25)</f>
        <v>42929.586111111108</v>
      </c>
    </row>
    <row r="26" spans="1:9" x14ac:dyDescent="0.25">
      <c r="A26" s="94">
        <v>84</v>
      </c>
      <c r="B26" s="95">
        <f>RTD("esrtd",,"*H",$A$3,_xll.ESFldID(B$5,$B$3),$B$3,,$A26)</f>
        <v>222.3</v>
      </c>
      <c r="C26" s="95">
        <f>RTD("esrtd",,"*H",$A$3,_xll.ESFldID(C$5,$B$3),$B$3,,$A26)</f>
        <v>222.3</v>
      </c>
      <c r="D26" s="95">
        <f>RTD("esrtd",,"*H",$A$3,_xll.ESFldID(D$5,$B$3),$B$3,,$A26)</f>
        <v>222.3</v>
      </c>
      <c r="E26" s="95">
        <f>RTD("esrtd",,"*H",$A$3,_xll.ESFldID(E$5,$B$3),$B$3,,$A26)</f>
        <v>222.3</v>
      </c>
      <c r="F26" s="95">
        <f>RTD("esrtd",,"*H",$A$3,_xll.ESFldID(F$5,$B$3),$B$3,,$A26)</f>
        <v>13645</v>
      </c>
      <c r="G26" s="97">
        <f>RTD("esrtd",,"*H",$A$3,_xll.ESFldID(G$5,$B$3),$B$3,,$A26)</f>
        <v>42929.586805555555</v>
      </c>
      <c r="H26" s="98">
        <f>RTD("esrtd",,"*H",$A$3,_xll.ESFldID(H$5,$B$3),$B$3,,$A26)</f>
        <v>42929.541666666664</v>
      </c>
      <c r="I26" s="97">
        <f>RTD("esrtd",,"*H",$A$3,_xll.ESFldID(I$5,$B$3),$B$3,,$A26)</f>
        <v>42929.586805555555</v>
      </c>
    </row>
    <row r="27" spans="1:9" x14ac:dyDescent="0.25">
      <c r="A27" s="94">
        <v>83</v>
      </c>
      <c r="B27" s="95">
        <f>RTD("esrtd",,"*H",$A$3,_xll.ESFldID(B$5,$B$3),$B$3,,$A27)</f>
        <v>222.3</v>
      </c>
      <c r="C27" s="95">
        <f>RTD("esrtd",,"*H",$A$3,_xll.ESFldID(C$5,$B$3),$B$3,,$A27)</f>
        <v>222.3</v>
      </c>
      <c r="D27" s="95">
        <f>RTD("esrtd",,"*H",$A$3,_xll.ESFldID(D$5,$B$3),$B$3,,$A27)</f>
        <v>222.3</v>
      </c>
      <c r="E27" s="95">
        <f>RTD("esrtd",,"*H",$A$3,_xll.ESFldID(E$5,$B$3),$B$3,,$A27)</f>
        <v>222.3</v>
      </c>
      <c r="F27" s="95">
        <f>RTD("esrtd",,"*H",$A$3,_xll.ESFldID(F$5,$B$3),$B$3,,$A27)</f>
        <v>111132</v>
      </c>
      <c r="G27" s="97">
        <f>RTD("esrtd",,"*H",$A$3,_xll.ESFldID(G$5,$B$3),$B$3,,$A27)</f>
        <v>42929.587500000001</v>
      </c>
      <c r="H27" s="98">
        <f>RTD("esrtd",,"*H",$A$3,_xll.ESFldID(H$5,$B$3),$B$3,,$A27)</f>
        <v>42929.541666666664</v>
      </c>
      <c r="I27" s="97">
        <f>RTD("esrtd",,"*H",$A$3,_xll.ESFldID(I$5,$B$3),$B$3,,$A27)</f>
        <v>42929.587500000001</v>
      </c>
    </row>
    <row r="28" spans="1:9" x14ac:dyDescent="0.25">
      <c r="A28" s="94">
        <v>82</v>
      </c>
      <c r="B28" s="95">
        <f>RTD("esrtd",,"*H",$A$3,_xll.ESFldID(B$5,$B$3),$B$3,,$A28)</f>
        <v>222.35</v>
      </c>
      <c r="C28" s="95">
        <f>RTD("esrtd",,"*H",$A$3,_xll.ESFldID(C$5,$B$3),$B$3,,$A28)</f>
        <v>222.35</v>
      </c>
      <c r="D28" s="95">
        <f>RTD("esrtd",,"*H",$A$3,_xll.ESFldID(D$5,$B$3),$B$3,,$A28)</f>
        <v>222.35</v>
      </c>
      <c r="E28" s="95">
        <f>RTD("esrtd",,"*H",$A$3,_xll.ESFldID(E$5,$B$3),$B$3,,$A28)</f>
        <v>222.35</v>
      </c>
      <c r="F28" s="95">
        <f>RTD("esrtd",,"*H",$A$3,_xll.ESFldID(F$5,$B$3),$B$3,,$A28)</f>
        <v>19011</v>
      </c>
      <c r="G28" s="97">
        <f>RTD("esrtd",,"*H",$A$3,_xll.ESFldID(G$5,$B$3),$B$3,,$A28)</f>
        <v>42929.588194444441</v>
      </c>
      <c r="H28" s="98">
        <f>RTD("esrtd",,"*H",$A$3,_xll.ESFldID(H$5,$B$3),$B$3,,$A28)</f>
        <v>42929.541666666664</v>
      </c>
      <c r="I28" s="97">
        <f>RTD("esrtd",,"*H",$A$3,_xll.ESFldID(I$5,$B$3),$B$3,,$A28)</f>
        <v>42929.588194444441</v>
      </c>
    </row>
    <row r="29" spans="1:9" x14ac:dyDescent="0.25">
      <c r="A29" s="94">
        <v>81</v>
      </c>
      <c r="B29" s="95">
        <f>RTD("esrtd",,"*H",$A$3,_xll.ESFldID(B$5,$B$3),$B$3,,$A29)</f>
        <v>222.35</v>
      </c>
      <c r="C29" s="95">
        <f>RTD("esrtd",,"*H",$A$3,_xll.ESFldID(C$5,$B$3),$B$3,,$A29)</f>
        <v>222.35</v>
      </c>
      <c r="D29" s="95">
        <f>RTD("esrtd",,"*H",$A$3,_xll.ESFldID(D$5,$B$3),$B$3,,$A29)</f>
        <v>222.35</v>
      </c>
      <c r="E29" s="95">
        <f>RTD("esrtd",,"*H",$A$3,_xll.ESFldID(E$5,$B$3),$B$3,,$A29)</f>
        <v>222.35</v>
      </c>
      <c r="F29" s="95">
        <f>RTD("esrtd",,"*H",$A$3,_xll.ESFldID(F$5,$B$3),$B$3,,$A29)</f>
        <v>4389</v>
      </c>
      <c r="G29" s="97">
        <f>RTD("esrtd",,"*H",$A$3,_xll.ESFldID(G$5,$B$3),$B$3,,$A29)</f>
        <v>42929.588888888888</v>
      </c>
      <c r="H29" s="98">
        <f>RTD("esrtd",,"*H",$A$3,_xll.ESFldID(H$5,$B$3),$B$3,,$A29)</f>
        <v>42929.541666666664</v>
      </c>
      <c r="I29" s="97">
        <f>RTD("esrtd",,"*H",$A$3,_xll.ESFldID(I$5,$B$3),$B$3,,$A29)</f>
        <v>42929.588888888888</v>
      </c>
    </row>
    <row r="30" spans="1:9" x14ac:dyDescent="0.25">
      <c r="A30" s="94">
        <v>80</v>
      </c>
      <c r="B30" s="95">
        <f>RTD("esrtd",,"*H",$A$3,_xll.ESFldID(B$5,$B$3),$B$3,,$A30)</f>
        <v>222.4</v>
      </c>
      <c r="C30" s="95">
        <f>RTD("esrtd",,"*H",$A$3,_xll.ESFldID(C$5,$B$3),$B$3,,$A30)</f>
        <v>222.35</v>
      </c>
      <c r="D30" s="95">
        <f>RTD("esrtd",,"*H",$A$3,_xll.ESFldID(D$5,$B$3),$B$3,,$A30)</f>
        <v>222.35</v>
      </c>
      <c r="E30" s="95">
        <f>RTD("esrtd",,"*H",$A$3,_xll.ESFldID(E$5,$B$3),$B$3,,$A30)</f>
        <v>222.4</v>
      </c>
      <c r="F30" s="95">
        <f>RTD("esrtd",,"*H",$A$3,_xll.ESFldID(F$5,$B$3),$B$3,,$A30)</f>
        <v>34656</v>
      </c>
      <c r="G30" s="97">
        <f>RTD("esrtd",,"*H",$A$3,_xll.ESFldID(G$5,$B$3),$B$3,,$A30)</f>
        <v>42929.589583333334</v>
      </c>
      <c r="H30" s="98">
        <f>RTD("esrtd",,"*H",$A$3,_xll.ESFldID(H$5,$B$3),$B$3,,$A30)</f>
        <v>42929.541666666664</v>
      </c>
      <c r="I30" s="97">
        <f>RTD("esrtd",,"*H",$A$3,_xll.ESFldID(I$5,$B$3),$B$3,,$A30)</f>
        <v>42929.589583333334</v>
      </c>
    </row>
    <row r="31" spans="1:9" x14ac:dyDescent="0.25">
      <c r="A31" s="94">
        <v>79</v>
      </c>
      <c r="B31" s="95">
        <f>RTD("esrtd",,"*H",$A$3,_xll.ESFldID(B$5,$B$3),$B$3,,$A31)</f>
        <v>222.35</v>
      </c>
      <c r="C31" s="95">
        <f>RTD("esrtd",,"*H",$A$3,_xll.ESFldID(C$5,$B$3),$B$3,,$A31)</f>
        <v>222.35</v>
      </c>
      <c r="D31" s="95">
        <f>RTD("esrtd",,"*H",$A$3,_xll.ESFldID(D$5,$B$3),$B$3,,$A31)</f>
        <v>222.35</v>
      </c>
      <c r="E31" s="95">
        <f>RTD("esrtd",,"*H",$A$3,_xll.ESFldID(E$5,$B$3),$B$3,,$A31)</f>
        <v>222.35</v>
      </c>
      <c r="F31" s="95">
        <f>RTD("esrtd",,"*H",$A$3,_xll.ESFldID(F$5,$B$3),$B$3,,$A31)</f>
        <v>3698</v>
      </c>
      <c r="G31" s="97">
        <f>RTD("esrtd",,"*H",$A$3,_xll.ESFldID(G$5,$B$3),$B$3,,$A31)</f>
        <v>42929.590277777781</v>
      </c>
      <c r="H31" s="98">
        <f>RTD("esrtd",,"*H",$A$3,_xll.ESFldID(H$5,$B$3),$B$3,,$A31)</f>
        <v>42929.541666666664</v>
      </c>
      <c r="I31" s="97">
        <f>RTD("esrtd",,"*H",$A$3,_xll.ESFldID(I$5,$B$3),$B$3,,$A31)</f>
        <v>42929.590277777781</v>
      </c>
    </row>
    <row r="32" spans="1:9" x14ac:dyDescent="0.25">
      <c r="A32" s="94">
        <v>78</v>
      </c>
      <c r="B32" s="95">
        <f>RTD("esrtd",,"*H",$A$3,_xll.ESFldID(B$5,$B$3),$B$3,,$A32)</f>
        <v>222.35</v>
      </c>
      <c r="C32" s="95">
        <f>RTD("esrtd",,"*H",$A$3,_xll.ESFldID(C$5,$B$3),$B$3,,$A32)</f>
        <v>222.35</v>
      </c>
      <c r="D32" s="95">
        <f>RTD("esrtd",,"*H",$A$3,_xll.ESFldID(D$5,$B$3),$B$3,,$A32)</f>
        <v>222.35</v>
      </c>
      <c r="E32" s="95">
        <f>RTD("esrtd",,"*H",$A$3,_xll.ESFldID(E$5,$B$3),$B$3,,$A32)</f>
        <v>222.35</v>
      </c>
      <c r="F32" s="95">
        <f>RTD("esrtd",,"*H",$A$3,_xll.ESFldID(F$5,$B$3),$B$3,,$A32)</f>
        <v>25092</v>
      </c>
      <c r="G32" s="97">
        <f>RTD("esrtd",,"*H",$A$3,_xll.ESFldID(G$5,$B$3),$B$3,,$A32)</f>
        <v>42929.59097222222</v>
      </c>
      <c r="H32" s="98">
        <f>RTD("esrtd",,"*H",$A$3,_xll.ESFldID(H$5,$B$3),$B$3,,$A32)</f>
        <v>42929.541666666664</v>
      </c>
      <c r="I32" s="97">
        <f>RTD("esrtd",,"*H",$A$3,_xll.ESFldID(I$5,$B$3),$B$3,,$A32)</f>
        <v>42929.59097222222</v>
      </c>
    </row>
    <row r="33" spans="1:9" x14ac:dyDescent="0.25">
      <c r="A33" s="94">
        <v>77</v>
      </c>
      <c r="B33" s="95">
        <f>RTD("esrtd",,"*H",$A$3,_xll.ESFldID(B$5,$B$3),$B$3,,$A33)</f>
        <v>222.3</v>
      </c>
      <c r="C33" s="95">
        <f>RTD("esrtd",,"*H",$A$3,_xll.ESFldID(C$5,$B$3),$B$3,,$A33)</f>
        <v>222.2</v>
      </c>
      <c r="D33" s="95">
        <f>RTD("esrtd",,"*H",$A$3,_xll.ESFldID(D$5,$B$3),$B$3,,$A33)</f>
        <v>222.2</v>
      </c>
      <c r="E33" s="95">
        <f>RTD("esrtd",,"*H",$A$3,_xll.ESFldID(E$5,$B$3),$B$3,,$A33)</f>
        <v>222.3</v>
      </c>
      <c r="F33" s="95">
        <f>RTD("esrtd",,"*H",$A$3,_xll.ESFldID(F$5,$B$3),$B$3,,$A33)</f>
        <v>21591</v>
      </c>
      <c r="G33" s="97">
        <f>RTD("esrtd",,"*H",$A$3,_xll.ESFldID(G$5,$B$3),$B$3,,$A33)</f>
        <v>42929.591666666667</v>
      </c>
      <c r="H33" s="98">
        <f>RTD("esrtd",,"*H",$A$3,_xll.ESFldID(H$5,$B$3),$B$3,,$A33)</f>
        <v>42929.541666666664</v>
      </c>
      <c r="I33" s="97">
        <f>RTD("esrtd",,"*H",$A$3,_xll.ESFldID(I$5,$B$3),$B$3,,$A33)</f>
        <v>42929.591666666667</v>
      </c>
    </row>
    <row r="34" spans="1:9" x14ac:dyDescent="0.25">
      <c r="A34" s="94">
        <v>76</v>
      </c>
      <c r="B34" s="95">
        <f>RTD("esrtd",,"*H",$A$3,_xll.ESFldID(B$5,$B$3),$B$3,,$A34)</f>
        <v>222.15</v>
      </c>
      <c r="C34" s="95">
        <f>RTD("esrtd",,"*H",$A$3,_xll.ESFldID(C$5,$B$3),$B$3,,$A34)</f>
        <v>222.1</v>
      </c>
      <c r="D34" s="95">
        <f>RTD("esrtd",,"*H",$A$3,_xll.ESFldID(D$5,$B$3),$B$3,,$A34)</f>
        <v>222.1</v>
      </c>
      <c r="E34" s="95">
        <f>RTD("esrtd",,"*H",$A$3,_xll.ESFldID(E$5,$B$3),$B$3,,$A34)</f>
        <v>222.15</v>
      </c>
      <c r="F34" s="95">
        <f>RTD("esrtd",,"*H",$A$3,_xll.ESFldID(F$5,$B$3),$B$3,,$A34)</f>
        <v>26381</v>
      </c>
      <c r="G34" s="97">
        <f>RTD("esrtd",,"*H",$A$3,_xll.ESFldID(G$5,$B$3),$B$3,,$A34)</f>
        <v>42929.592361111114</v>
      </c>
      <c r="H34" s="98">
        <f>RTD("esrtd",,"*H",$A$3,_xll.ESFldID(H$5,$B$3),$B$3,,$A34)</f>
        <v>42929.541666666664</v>
      </c>
      <c r="I34" s="97">
        <f>RTD("esrtd",,"*H",$A$3,_xll.ESFldID(I$5,$B$3),$B$3,,$A34)</f>
        <v>42929.592361111114</v>
      </c>
    </row>
    <row r="35" spans="1:9" x14ac:dyDescent="0.25">
      <c r="A35" s="94">
        <v>75</v>
      </c>
      <c r="B35" s="95">
        <f>RTD("esrtd",,"*H",$A$3,_xll.ESFldID(B$5,$B$3),$B$3,,$A35)</f>
        <v>222.15</v>
      </c>
      <c r="C35" s="95">
        <f>RTD("esrtd",,"*H",$A$3,_xll.ESFldID(C$5,$B$3),$B$3,,$A35)</f>
        <v>222.15</v>
      </c>
      <c r="D35" s="95">
        <f>RTD("esrtd",,"*H",$A$3,_xll.ESFldID(D$5,$B$3),$B$3,,$A35)</f>
        <v>222.1</v>
      </c>
      <c r="E35" s="95">
        <f>RTD("esrtd",,"*H",$A$3,_xll.ESFldID(E$5,$B$3),$B$3,,$A35)</f>
        <v>222.15</v>
      </c>
      <c r="F35" s="95">
        <f>RTD("esrtd",,"*H",$A$3,_xll.ESFldID(F$5,$B$3),$B$3,,$A35)</f>
        <v>29719</v>
      </c>
      <c r="G35" s="97">
        <f>RTD("esrtd",,"*H",$A$3,_xll.ESFldID(G$5,$B$3),$B$3,,$A35)</f>
        <v>42929.593055555553</v>
      </c>
      <c r="H35" s="98">
        <f>RTD("esrtd",,"*H",$A$3,_xll.ESFldID(H$5,$B$3),$B$3,,$A35)</f>
        <v>42929.541666666664</v>
      </c>
      <c r="I35" s="97">
        <f>RTD("esrtd",,"*H",$A$3,_xll.ESFldID(I$5,$B$3),$B$3,,$A35)</f>
        <v>42929.593055555553</v>
      </c>
    </row>
    <row r="36" spans="1:9" x14ac:dyDescent="0.25">
      <c r="A36" s="94">
        <v>74</v>
      </c>
      <c r="B36" s="95">
        <f>RTD("esrtd",,"*H",$A$3,_xll.ESFldID(B$5,$B$3),$B$3,,$A36)</f>
        <v>222.15</v>
      </c>
      <c r="C36" s="95">
        <f>RTD("esrtd",,"*H",$A$3,_xll.ESFldID(C$5,$B$3),$B$3,,$A36)</f>
        <v>222.15</v>
      </c>
      <c r="D36" s="95">
        <f>RTD("esrtd",,"*H",$A$3,_xll.ESFldID(D$5,$B$3),$B$3,,$A36)</f>
        <v>222.15</v>
      </c>
      <c r="E36" s="95">
        <f>RTD("esrtd",,"*H",$A$3,_xll.ESFldID(E$5,$B$3),$B$3,,$A36)</f>
        <v>222.15</v>
      </c>
      <c r="F36" s="95">
        <f>RTD("esrtd",,"*H",$A$3,_xll.ESFldID(F$5,$B$3),$B$3,,$A36)</f>
        <v>20538</v>
      </c>
      <c r="G36" s="97">
        <f>RTD("esrtd",,"*H",$A$3,_xll.ESFldID(G$5,$B$3),$B$3,,$A36)</f>
        <v>42929.59375</v>
      </c>
      <c r="H36" s="98">
        <f>RTD("esrtd",,"*H",$A$3,_xll.ESFldID(H$5,$B$3),$B$3,,$A36)</f>
        <v>42929.541666666664</v>
      </c>
      <c r="I36" s="97">
        <f>RTD("esrtd",,"*H",$A$3,_xll.ESFldID(I$5,$B$3),$B$3,,$A36)</f>
        <v>42929.59375</v>
      </c>
    </row>
    <row r="37" spans="1:9" x14ac:dyDescent="0.25">
      <c r="A37" s="94">
        <v>73</v>
      </c>
      <c r="B37" s="95">
        <f>RTD("esrtd",,"*H",$A$3,_xll.ESFldID(B$5,$B$3),$B$3,,$A37)</f>
        <v>222.15</v>
      </c>
      <c r="C37" s="95">
        <f>RTD("esrtd",,"*H",$A$3,_xll.ESFldID(C$5,$B$3),$B$3,,$A37)</f>
        <v>222.15</v>
      </c>
      <c r="D37" s="95">
        <f>RTD("esrtd",,"*H",$A$3,_xll.ESFldID(D$5,$B$3),$B$3,,$A37)</f>
        <v>222.15</v>
      </c>
      <c r="E37" s="95">
        <f>RTD("esrtd",,"*H",$A$3,_xll.ESFldID(E$5,$B$3),$B$3,,$A37)</f>
        <v>222.15</v>
      </c>
      <c r="F37" s="95">
        <f>RTD("esrtd",,"*H",$A$3,_xll.ESFldID(F$5,$B$3),$B$3,,$A37)</f>
        <v>100</v>
      </c>
      <c r="G37" s="97">
        <f>RTD("esrtd",,"*H",$A$3,_xll.ESFldID(G$5,$B$3),$B$3,,$A37)</f>
        <v>42929.594444444447</v>
      </c>
      <c r="H37" s="98">
        <f>RTD("esrtd",,"*H",$A$3,_xll.ESFldID(H$5,$B$3),$B$3,,$A37)</f>
        <v>42929.541666666664</v>
      </c>
      <c r="I37" s="97">
        <f>RTD("esrtd",,"*H",$A$3,_xll.ESFldID(I$5,$B$3),$B$3,,$A37)</f>
        <v>42929.594444444447</v>
      </c>
    </row>
    <row r="38" spans="1:9" x14ac:dyDescent="0.25">
      <c r="A38" s="94">
        <v>72</v>
      </c>
      <c r="B38" s="95">
        <f>RTD("esrtd",,"*H",$A$3,_xll.ESFldID(B$5,$B$3),$B$3,,$A38)</f>
        <v>222.1</v>
      </c>
      <c r="C38" s="95">
        <f>RTD("esrtd",,"*H",$A$3,_xll.ESFldID(C$5,$B$3),$B$3,,$A38)</f>
        <v>222.1</v>
      </c>
      <c r="D38" s="95">
        <f>RTD("esrtd",,"*H",$A$3,_xll.ESFldID(D$5,$B$3),$B$3,,$A38)</f>
        <v>222.1</v>
      </c>
      <c r="E38" s="95">
        <f>RTD("esrtd",,"*H",$A$3,_xll.ESFldID(E$5,$B$3),$B$3,,$A38)</f>
        <v>222.1</v>
      </c>
      <c r="F38" s="95">
        <f>RTD("esrtd",,"*H",$A$3,_xll.ESFldID(F$5,$B$3),$B$3,,$A38)</f>
        <v>4646</v>
      </c>
      <c r="G38" s="97">
        <f>RTD("esrtd",,"*H",$A$3,_xll.ESFldID(G$5,$B$3),$B$3,,$A38)</f>
        <v>42929.595138888886</v>
      </c>
      <c r="H38" s="98">
        <f>RTD("esrtd",,"*H",$A$3,_xll.ESFldID(H$5,$B$3),$B$3,,$A38)</f>
        <v>42929.541666666664</v>
      </c>
      <c r="I38" s="97">
        <f>RTD("esrtd",,"*H",$A$3,_xll.ESFldID(I$5,$B$3),$B$3,,$A38)</f>
        <v>42929.595138888886</v>
      </c>
    </row>
    <row r="39" spans="1:9" x14ac:dyDescent="0.25">
      <c r="A39" s="94">
        <v>71</v>
      </c>
      <c r="B39" s="95">
        <f>RTD("esrtd",,"*H",$A$3,_xll.ESFldID(B$5,$B$3),$B$3,,$A39)</f>
        <v>222.1</v>
      </c>
      <c r="C39" s="95">
        <f>RTD("esrtd",,"*H",$A$3,_xll.ESFldID(C$5,$B$3),$B$3,,$A39)</f>
        <v>222.05</v>
      </c>
      <c r="D39" s="95">
        <f>RTD("esrtd",,"*H",$A$3,_xll.ESFldID(D$5,$B$3),$B$3,,$A39)</f>
        <v>222.05</v>
      </c>
      <c r="E39" s="95">
        <f>RTD("esrtd",,"*H",$A$3,_xll.ESFldID(E$5,$B$3),$B$3,,$A39)</f>
        <v>222.1</v>
      </c>
      <c r="F39" s="95">
        <f>RTD("esrtd",,"*H",$A$3,_xll.ESFldID(F$5,$B$3),$B$3,,$A39)</f>
        <v>33757</v>
      </c>
      <c r="G39" s="97">
        <f>RTD("esrtd",,"*H",$A$3,_xll.ESFldID(G$5,$B$3),$B$3,,$A39)</f>
        <v>42929.595833333333</v>
      </c>
      <c r="H39" s="98">
        <f>RTD("esrtd",,"*H",$A$3,_xll.ESFldID(H$5,$B$3),$B$3,,$A39)</f>
        <v>42929.541666666664</v>
      </c>
      <c r="I39" s="97">
        <f>RTD("esrtd",,"*H",$A$3,_xll.ESFldID(I$5,$B$3),$B$3,,$A39)</f>
        <v>42929.595833333333</v>
      </c>
    </row>
    <row r="40" spans="1:9" x14ac:dyDescent="0.25">
      <c r="A40" s="94">
        <v>70</v>
      </c>
      <c r="B40" s="95">
        <f>RTD("esrtd",,"*H",$A$3,_xll.ESFldID(B$5,$B$3),$B$3,,$A40)</f>
        <v>222</v>
      </c>
      <c r="C40" s="95">
        <f>RTD("esrtd",,"*H",$A$3,_xll.ESFldID(C$5,$B$3),$B$3,,$A40)</f>
        <v>221.9</v>
      </c>
      <c r="D40" s="95">
        <f>RTD("esrtd",,"*H",$A$3,_xll.ESFldID(D$5,$B$3),$B$3,,$A40)</f>
        <v>221.9</v>
      </c>
      <c r="E40" s="95">
        <f>RTD("esrtd",,"*H",$A$3,_xll.ESFldID(E$5,$B$3),$B$3,,$A40)</f>
        <v>222</v>
      </c>
      <c r="F40" s="95">
        <f>RTD("esrtd",,"*H",$A$3,_xll.ESFldID(F$5,$B$3),$B$3,,$A40)</f>
        <v>100227</v>
      </c>
      <c r="G40" s="97">
        <f>RTD("esrtd",,"*H",$A$3,_xll.ESFldID(G$5,$B$3),$B$3,,$A40)</f>
        <v>42929.59652777778</v>
      </c>
      <c r="H40" s="98">
        <f>RTD("esrtd",,"*H",$A$3,_xll.ESFldID(H$5,$B$3),$B$3,,$A40)</f>
        <v>42929.541666666664</v>
      </c>
      <c r="I40" s="97">
        <f>RTD("esrtd",,"*H",$A$3,_xll.ESFldID(I$5,$B$3),$B$3,,$A40)</f>
        <v>42929.59652777778</v>
      </c>
    </row>
    <row r="41" spans="1:9" x14ac:dyDescent="0.25">
      <c r="A41" s="94">
        <v>69</v>
      </c>
      <c r="B41" s="95">
        <f>RTD("esrtd",,"*H",$A$3,_xll.ESFldID(B$5,$B$3),$B$3,,$A41)</f>
        <v>221.9</v>
      </c>
      <c r="C41" s="95">
        <f>RTD("esrtd",,"*H",$A$3,_xll.ESFldID(C$5,$B$3),$B$3,,$A41)</f>
        <v>221.9</v>
      </c>
      <c r="D41" s="95">
        <f>RTD("esrtd",,"*H",$A$3,_xll.ESFldID(D$5,$B$3),$B$3,,$A41)</f>
        <v>221.85</v>
      </c>
      <c r="E41" s="95">
        <f>RTD("esrtd",,"*H",$A$3,_xll.ESFldID(E$5,$B$3),$B$3,,$A41)</f>
        <v>221.9</v>
      </c>
      <c r="F41" s="95">
        <f>RTD("esrtd",,"*H",$A$3,_xll.ESFldID(F$5,$B$3),$B$3,,$A41)</f>
        <v>40741</v>
      </c>
      <c r="G41" s="97">
        <f>RTD("esrtd",,"*H",$A$3,_xll.ESFldID(G$5,$B$3),$B$3,,$A41)</f>
        <v>42929.597222222219</v>
      </c>
      <c r="H41" s="98">
        <f>RTD("esrtd",,"*H",$A$3,_xll.ESFldID(H$5,$B$3),$B$3,,$A41)</f>
        <v>42929.541666666664</v>
      </c>
      <c r="I41" s="97">
        <f>RTD("esrtd",,"*H",$A$3,_xll.ESFldID(I$5,$B$3),$B$3,,$A41)</f>
        <v>42929.597222222219</v>
      </c>
    </row>
    <row r="42" spans="1:9" x14ac:dyDescent="0.25">
      <c r="A42" s="94">
        <v>68</v>
      </c>
      <c r="B42" s="95">
        <f>RTD("esrtd",,"*H",$A$3,_xll.ESFldID(B$5,$B$3),$B$3,,$A42)</f>
        <v>222</v>
      </c>
      <c r="C42" s="95">
        <f>RTD("esrtd",,"*H",$A$3,_xll.ESFldID(C$5,$B$3),$B$3,,$A42)</f>
        <v>222</v>
      </c>
      <c r="D42" s="95">
        <f>RTD("esrtd",,"*H",$A$3,_xll.ESFldID(D$5,$B$3),$B$3,,$A42)</f>
        <v>221.95</v>
      </c>
      <c r="E42" s="95">
        <f>RTD("esrtd",,"*H",$A$3,_xll.ESFldID(E$5,$B$3),$B$3,,$A42)</f>
        <v>221.95</v>
      </c>
      <c r="F42" s="95">
        <f>RTD("esrtd",,"*H",$A$3,_xll.ESFldID(F$5,$B$3),$B$3,,$A42)</f>
        <v>40856</v>
      </c>
      <c r="G42" s="97">
        <f>RTD("esrtd",,"*H",$A$3,_xll.ESFldID(G$5,$B$3),$B$3,,$A42)</f>
        <v>42929.597916666666</v>
      </c>
      <c r="H42" s="98">
        <f>RTD("esrtd",,"*H",$A$3,_xll.ESFldID(H$5,$B$3),$B$3,,$A42)</f>
        <v>42929.541666666664</v>
      </c>
      <c r="I42" s="97">
        <f>RTD("esrtd",,"*H",$A$3,_xll.ESFldID(I$5,$B$3),$B$3,,$A42)</f>
        <v>42929.597916666666</v>
      </c>
    </row>
    <row r="43" spans="1:9" x14ac:dyDescent="0.25">
      <c r="A43" s="94">
        <v>67</v>
      </c>
      <c r="B43" s="95">
        <f>RTD("esrtd",,"*H",$A$3,_xll.ESFldID(B$5,$B$3),$B$3,,$A43)</f>
        <v>222</v>
      </c>
      <c r="C43" s="95">
        <f>RTD("esrtd",,"*H",$A$3,_xll.ESFldID(C$5,$B$3),$B$3,,$A43)</f>
        <v>222</v>
      </c>
      <c r="D43" s="95">
        <f>RTD("esrtd",,"*H",$A$3,_xll.ESFldID(D$5,$B$3),$B$3,,$A43)</f>
        <v>222</v>
      </c>
      <c r="E43" s="95">
        <f>RTD("esrtd",,"*H",$A$3,_xll.ESFldID(E$5,$B$3),$B$3,,$A43)</f>
        <v>222</v>
      </c>
      <c r="F43" s="95">
        <f>RTD("esrtd",,"*H",$A$3,_xll.ESFldID(F$5,$B$3),$B$3,,$A43)</f>
        <v>4101</v>
      </c>
      <c r="G43" s="97">
        <f>RTD("esrtd",,"*H",$A$3,_xll.ESFldID(G$5,$B$3),$B$3,,$A43)</f>
        <v>42929.598611111112</v>
      </c>
      <c r="H43" s="98">
        <f>RTD("esrtd",,"*H",$A$3,_xll.ESFldID(H$5,$B$3),$B$3,,$A43)</f>
        <v>42929.541666666664</v>
      </c>
      <c r="I43" s="97">
        <f>RTD("esrtd",,"*H",$A$3,_xll.ESFldID(I$5,$B$3),$B$3,,$A43)</f>
        <v>42929.598611111112</v>
      </c>
    </row>
    <row r="44" spans="1:9" x14ac:dyDescent="0.25">
      <c r="A44" s="94">
        <v>66</v>
      </c>
      <c r="B44" s="95">
        <f>RTD("esrtd",,"*H",$A$3,_xll.ESFldID(B$5,$B$3),$B$3,,$A44)</f>
        <v>221.95</v>
      </c>
      <c r="C44" s="95">
        <f>RTD("esrtd",,"*H",$A$3,_xll.ESFldID(C$5,$B$3),$B$3,,$A44)</f>
        <v>221.95</v>
      </c>
      <c r="D44" s="95">
        <f>RTD("esrtd",,"*H",$A$3,_xll.ESFldID(D$5,$B$3),$B$3,,$A44)</f>
        <v>221.9</v>
      </c>
      <c r="E44" s="95">
        <f>RTD("esrtd",,"*H",$A$3,_xll.ESFldID(E$5,$B$3),$B$3,,$A44)</f>
        <v>221.95</v>
      </c>
      <c r="F44" s="95">
        <f>RTD("esrtd",,"*H",$A$3,_xll.ESFldID(F$5,$B$3),$B$3,,$A44)</f>
        <v>10998</v>
      </c>
      <c r="G44" s="97">
        <f>RTD("esrtd",,"*H",$A$3,_xll.ESFldID(G$5,$B$3),$B$3,,$A44)</f>
        <v>42929.599305555559</v>
      </c>
      <c r="H44" s="98">
        <f>RTD("esrtd",,"*H",$A$3,_xll.ESFldID(H$5,$B$3),$B$3,,$A44)</f>
        <v>42929.541666666664</v>
      </c>
      <c r="I44" s="97">
        <f>RTD("esrtd",,"*H",$A$3,_xll.ESFldID(I$5,$B$3),$B$3,,$A44)</f>
        <v>42929.599305555559</v>
      </c>
    </row>
    <row r="45" spans="1:9" x14ac:dyDescent="0.25">
      <c r="A45" s="94">
        <v>65</v>
      </c>
      <c r="B45" s="95">
        <f>RTD("esrtd",,"*H",$A$3,_xll.ESFldID(B$5,$B$3),$B$3,,$A45)</f>
        <v>221.95</v>
      </c>
      <c r="C45" s="95">
        <f>RTD("esrtd",,"*H",$A$3,_xll.ESFldID(C$5,$B$3),$B$3,,$A45)</f>
        <v>221.9</v>
      </c>
      <c r="D45" s="95">
        <f>RTD("esrtd",,"*H",$A$3,_xll.ESFldID(D$5,$B$3),$B$3,,$A45)</f>
        <v>221.9</v>
      </c>
      <c r="E45" s="95">
        <f>RTD("esrtd",,"*H",$A$3,_xll.ESFldID(E$5,$B$3),$B$3,,$A45)</f>
        <v>221.95</v>
      </c>
      <c r="F45" s="95">
        <f>RTD("esrtd",,"*H",$A$3,_xll.ESFldID(F$5,$B$3),$B$3,,$A45)</f>
        <v>39819</v>
      </c>
      <c r="G45" s="97">
        <f>RTD("esrtd",,"*H",$A$3,_xll.ESFldID(G$5,$B$3),$B$3,,$A45)</f>
        <v>42929.599999999999</v>
      </c>
      <c r="H45" s="98">
        <f>RTD("esrtd",,"*H",$A$3,_xll.ESFldID(H$5,$B$3),$B$3,,$A45)</f>
        <v>42929.541666666664</v>
      </c>
      <c r="I45" s="97">
        <f>RTD("esrtd",,"*H",$A$3,_xll.ESFldID(I$5,$B$3),$B$3,,$A45)</f>
        <v>42929.599999999999</v>
      </c>
    </row>
    <row r="46" spans="1:9" x14ac:dyDescent="0.25">
      <c r="A46" s="94">
        <v>64</v>
      </c>
      <c r="B46" s="95">
        <f>RTD("esrtd",,"*H",$A$3,_xll.ESFldID(B$5,$B$3),$B$3,,$A46)</f>
        <v>222</v>
      </c>
      <c r="C46" s="95">
        <f>RTD("esrtd",,"*H",$A$3,_xll.ESFldID(C$5,$B$3),$B$3,,$A46)</f>
        <v>222</v>
      </c>
      <c r="D46" s="95">
        <f>RTD("esrtd",,"*H",$A$3,_xll.ESFldID(D$5,$B$3),$B$3,,$A46)</f>
        <v>221.95</v>
      </c>
      <c r="E46" s="95">
        <f>RTD("esrtd",,"*H",$A$3,_xll.ESFldID(E$5,$B$3),$B$3,,$A46)</f>
        <v>221.95</v>
      </c>
      <c r="F46" s="95">
        <f>RTD("esrtd",,"*H",$A$3,_xll.ESFldID(F$5,$B$3),$B$3,,$A46)</f>
        <v>74825</v>
      </c>
      <c r="G46" s="97">
        <f>RTD("esrtd",,"*H",$A$3,_xll.ESFldID(G$5,$B$3),$B$3,,$A46)</f>
        <v>42929.600694444445</v>
      </c>
      <c r="H46" s="98">
        <f>RTD("esrtd",,"*H",$A$3,_xll.ESFldID(H$5,$B$3),$B$3,,$A46)</f>
        <v>42929.541666666664</v>
      </c>
      <c r="I46" s="97">
        <f>RTD("esrtd",,"*H",$A$3,_xll.ESFldID(I$5,$B$3),$B$3,,$A46)</f>
        <v>42929.600694444445</v>
      </c>
    </row>
    <row r="47" spans="1:9" x14ac:dyDescent="0.25">
      <c r="A47" s="94">
        <v>63</v>
      </c>
      <c r="B47" s="95">
        <f>RTD("esrtd",,"*H",$A$3,_xll.ESFldID(B$5,$B$3),$B$3,,$A47)</f>
        <v>222</v>
      </c>
      <c r="C47" s="95">
        <f>RTD("esrtd",,"*H",$A$3,_xll.ESFldID(C$5,$B$3),$B$3,,$A47)</f>
        <v>222</v>
      </c>
      <c r="D47" s="95">
        <f>RTD("esrtd",,"*H",$A$3,_xll.ESFldID(D$5,$B$3),$B$3,,$A47)</f>
        <v>222</v>
      </c>
      <c r="E47" s="95">
        <f>RTD("esrtd",,"*H",$A$3,_xll.ESFldID(E$5,$B$3),$B$3,,$A47)</f>
        <v>222</v>
      </c>
      <c r="F47" s="95">
        <f>RTD("esrtd",,"*H",$A$3,_xll.ESFldID(F$5,$B$3),$B$3,,$A47)</f>
        <v>26960</v>
      </c>
      <c r="G47" s="97">
        <f>RTD("esrtd",,"*H",$A$3,_xll.ESFldID(G$5,$B$3),$B$3,,$A47)</f>
        <v>42929.601388888892</v>
      </c>
      <c r="H47" s="98">
        <f>RTD("esrtd",,"*H",$A$3,_xll.ESFldID(H$5,$B$3),$B$3,,$A47)</f>
        <v>42929.541666666664</v>
      </c>
      <c r="I47" s="97">
        <f>RTD("esrtd",,"*H",$A$3,_xll.ESFldID(I$5,$B$3),$B$3,,$A47)</f>
        <v>42929.601388888892</v>
      </c>
    </row>
    <row r="48" spans="1:9" x14ac:dyDescent="0.25">
      <c r="A48" s="94">
        <v>62</v>
      </c>
      <c r="B48" s="95">
        <f>RTD("esrtd",,"*H",$A$3,_xll.ESFldID(B$5,$B$3),$B$3,,$A48)</f>
        <v>222.05</v>
      </c>
      <c r="C48" s="95">
        <f>RTD("esrtd",,"*H",$A$3,_xll.ESFldID(C$5,$B$3),$B$3,,$A48)</f>
        <v>222.05</v>
      </c>
      <c r="D48" s="95">
        <f>RTD("esrtd",,"*H",$A$3,_xll.ESFldID(D$5,$B$3),$B$3,,$A48)</f>
        <v>222.05</v>
      </c>
      <c r="E48" s="95">
        <f>RTD("esrtd",,"*H",$A$3,_xll.ESFldID(E$5,$B$3),$B$3,,$A48)</f>
        <v>222.05</v>
      </c>
      <c r="F48" s="95">
        <f>RTD("esrtd",,"*H",$A$3,_xll.ESFldID(F$5,$B$3),$B$3,,$A48)</f>
        <v>45182</v>
      </c>
      <c r="G48" s="97">
        <f>RTD("esrtd",,"*H",$A$3,_xll.ESFldID(G$5,$B$3),$B$3,,$A48)</f>
        <v>42929.602083333331</v>
      </c>
      <c r="H48" s="98">
        <f>RTD("esrtd",,"*H",$A$3,_xll.ESFldID(H$5,$B$3),$B$3,,$A48)</f>
        <v>42929.541666666664</v>
      </c>
      <c r="I48" s="97">
        <f>RTD("esrtd",,"*H",$A$3,_xll.ESFldID(I$5,$B$3),$B$3,,$A48)</f>
        <v>42929.602083333331</v>
      </c>
    </row>
    <row r="49" spans="1:9" x14ac:dyDescent="0.25">
      <c r="A49" s="94">
        <v>61</v>
      </c>
      <c r="B49" s="95">
        <f>RTD("esrtd",,"*H",$A$3,_xll.ESFldID(B$5,$B$3),$B$3,,$A49)</f>
        <v>222.1</v>
      </c>
      <c r="C49" s="95">
        <f>RTD("esrtd",,"*H",$A$3,_xll.ESFldID(C$5,$B$3),$B$3,,$A49)</f>
        <v>221.95</v>
      </c>
      <c r="D49" s="95">
        <f>RTD("esrtd",,"*H",$A$3,_xll.ESFldID(D$5,$B$3),$B$3,,$A49)</f>
        <v>221.95</v>
      </c>
      <c r="E49" s="95">
        <f>RTD("esrtd",,"*H",$A$3,_xll.ESFldID(E$5,$B$3),$B$3,,$A49)</f>
        <v>222.1</v>
      </c>
      <c r="F49" s="95">
        <f>RTD("esrtd",,"*H",$A$3,_xll.ESFldID(F$5,$B$3),$B$3,,$A49)</f>
        <v>166419</v>
      </c>
      <c r="G49" s="97">
        <f>RTD("esrtd",,"*H",$A$3,_xll.ESFldID(G$5,$B$3),$B$3,,$A49)</f>
        <v>42929.602777777778</v>
      </c>
      <c r="H49" s="98">
        <f>RTD("esrtd",,"*H",$A$3,_xll.ESFldID(H$5,$B$3),$B$3,,$A49)</f>
        <v>42929.541666666664</v>
      </c>
      <c r="I49" s="97">
        <f>RTD("esrtd",,"*H",$A$3,_xll.ESFldID(I$5,$B$3),$B$3,,$A49)</f>
        <v>42929.602777777778</v>
      </c>
    </row>
    <row r="50" spans="1:9" x14ac:dyDescent="0.25">
      <c r="A50" s="94">
        <v>60</v>
      </c>
      <c r="B50" s="95">
        <f>RTD("esrtd",,"*H",$A$3,_xll.ESFldID(B$5,$B$3),$B$3,,$A50)</f>
        <v>221.95</v>
      </c>
      <c r="C50" s="95">
        <f>RTD("esrtd",,"*H",$A$3,_xll.ESFldID(C$5,$B$3),$B$3,,$A50)</f>
        <v>221.85</v>
      </c>
      <c r="D50" s="95">
        <f>RTD("esrtd",,"*H",$A$3,_xll.ESFldID(D$5,$B$3),$B$3,,$A50)</f>
        <v>221.85</v>
      </c>
      <c r="E50" s="95">
        <f>RTD("esrtd",,"*H",$A$3,_xll.ESFldID(E$5,$B$3),$B$3,,$A50)</f>
        <v>221.95</v>
      </c>
      <c r="F50" s="95">
        <f>RTD("esrtd",,"*H",$A$3,_xll.ESFldID(F$5,$B$3),$B$3,,$A50)</f>
        <v>111624</v>
      </c>
      <c r="G50" s="97">
        <f>RTD("esrtd",,"*H",$A$3,_xll.ESFldID(G$5,$B$3),$B$3,,$A50)</f>
        <v>42929.603472222225</v>
      </c>
      <c r="H50" s="98">
        <f>RTD("esrtd",,"*H",$A$3,_xll.ESFldID(H$5,$B$3),$B$3,,$A50)</f>
        <v>42929.541666666664</v>
      </c>
      <c r="I50" s="97">
        <f>RTD("esrtd",,"*H",$A$3,_xll.ESFldID(I$5,$B$3),$B$3,,$A50)</f>
        <v>42929.603472222225</v>
      </c>
    </row>
    <row r="51" spans="1:9" x14ac:dyDescent="0.25">
      <c r="A51" s="94">
        <v>59</v>
      </c>
      <c r="B51" s="95">
        <f>RTD("esrtd",,"*H",$A$3,_xll.ESFldID(B$5,$B$3),$B$3,,$A51)</f>
        <v>221.95</v>
      </c>
      <c r="C51" s="95">
        <f>RTD("esrtd",,"*H",$A$3,_xll.ESFldID(C$5,$B$3),$B$3,,$A51)</f>
        <v>221.75</v>
      </c>
      <c r="D51" s="95">
        <f>RTD("esrtd",,"*H",$A$3,_xll.ESFldID(D$5,$B$3),$B$3,,$A51)</f>
        <v>221.65</v>
      </c>
      <c r="E51" s="95">
        <f>RTD("esrtd",,"*H",$A$3,_xll.ESFldID(E$5,$B$3),$B$3,,$A51)</f>
        <v>221.85</v>
      </c>
      <c r="F51" s="95">
        <f>RTD("esrtd",,"*H",$A$3,_xll.ESFldID(F$5,$B$3),$B$3,,$A51)</f>
        <v>226658</v>
      </c>
      <c r="G51" s="97">
        <f>RTD("esrtd",,"*H",$A$3,_xll.ESFldID(G$5,$B$3),$B$3,,$A51)</f>
        <v>42929.604166666664</v>
      </c>
      <c r="H51" s="98">
        <f>RTD("esrtd",,"*H",$A$3,_xll.ESFldID(H$5,$B$3),$B$3,,$A51)</f>
        <v>42929.541666666664</v>
      </c>
      <c r="I51" s="97">
        <f>RTD("esrtd",,"*H",$A$3,_xll.ESFldID(I$5,$B$3),$B$3,,$A51)</f>
        <v>42929.604166666664</v>
      </c>
    </row>
    <row r="52" spans="1:9" x14ac:dyDescent="0.25">
      <c r="A52" s="94">
        <v>58</v>
      </c>
      <c r="B52" s="95">
        <f>RTD("esrtd",,"*H",$A$3,_xll.ESFldID(B$5,$B$3),$B$3,,$A52)</f>
        <v>221.85</v>
      </c>
      <c r="C52" s="95">
        <f>RTD("esrtd",,"*H",$A$3,_xll.ESFldID(C$5,$B$3),$B$3,,$A52)</f>
        <v>221.85</v>
      </c>
      <c r="D52" s="95">
        <f>RTD("esrtd",,"*H",$A$3,_xll.ESFldID(D$5,$B$3),$B$3,,$A52)</f>
        <v>221.75</v>
      </c>
      <c r="E52" s="95">
        <f>RTD("esrtd",,"*H",$A$3,_xll.ESFldID(E$5,$B$3),$B$3,,$A52)</f>
        <v>221.75</v>
      </c>
      <c r="F52" s="95">
        <f>RTD("esrtd",,"*H",$A$3,_xll.ESFldID(F$5,$B$3),$B$3,,$A52)</f>
        <v>13725</v>
      </c>
      <c r="G52" s="97">
        <f>RTD("esrtd",,"*H",$A$3,_xll.ESFldID(G$5,$B$3),$B$3,,$A52)</f>
        <v>42929.604861111111</v>
      </c>
      <c r="H52" s="98">
        <f>RTD("esrtd",,"*H",$A$3,_xll.ESFldID(H$5,$B$3),$B$3,,$A52)</f>
        <v>42929.541666666664</v>
      </c>
      <c r="I52" s="97">
        <f>RTD("esrtd",,"*H",$A$3,_xll.ESFldID(I$5,$B$3),$B$3,,$A52)</f>
        <v>42929.604861111111</v>
      </c>
    </row>
    <row r="53" spans="1:9" x14ac:dyDescent="0.25">
      <c r="A53" s="94">
        <v>57</v>
      </c>
      <c r="B53" s="95">
        <f>RTD("esrtd",,"*H",$A$3,_xll.ESFldID(B$5,$B$3),$B$3,,$A53)</f>
        <v>221.95</v>
      </c>
      <c r="C53" s="95">
        <f>RTD("esrtd",,"*H",$A$3,_xll.ESFldID(C$5,$B$3),$B$3,,$A53)</f>
        <v>221.95</v>
      </c>
      <c r="D53" s="95">
        <f>RTD("esrtd",,"*H",$A$3,_xll.ESFldID(D$5,$B$3),$B$3,,$A53)</f>
        <v>221.9</v>
      </c>
      <c r="E53" s="95">
        <f>RTD("esrtd",,"*H",$A$3,_xll.ESFldID(E$5,$B$3),$B$3,,$A53)</f>
        <v>221.9</v>
      </c>
      <c r="F53" s="95">
        <f>RTD("esrtd",,"*H",$A$3,_xll.ESFldID(F$5,$B$3),$B$3,,$A53)</f>
        <v>36657</v>
      </c>
      <c r="G53" s="97">
        <f>RTD("esrtd",,"*H",$A$3,_xll.ESFldID(G$5,$B$3),$B$3,,$A53)</f>
        <v>42929.605555555558</v>
      </c>
      <c r="H53" s="98">
        <f>RTD("esrtd",,"*H",$A$3,_xll.ESFldID(H$5,$B$3),$B$3,,$A53)</f>
        <v>42929.541666666664</v>
      </c>
      <c r="I53" s="97">
        <f>RTD("esrtd",,"*H",$A$3,_xll.ESFldID(I$5,$B$3),$B$3,,$A53)</f>
        <v>42929.605555555558</v>
      </c>
    </row>
    <row r="54" spans="1:9" x14ac:dyDescent="0.25">
      <c r="A54" s="94">
        <v>56</v>
      </c>
      <c r="B54" s="95">
        <f>RTD("esrtd",,"*H",$A$3,_xll.ESFldID(B$5,$B$3),$B$3,,$A54)</f>
        <v>221.9</v>
      </c>
      <c r="C54" s="95">
        <f>RTD("esrtd",,"*H",$A$3,_xll.ESFldID(C$5,$B$3),$B$3,,$A54)</f>
        <v>221.8</v>
      </c>
      <c r="D54" s="95">
        <f>RTD("esrtd",,"*H",$A$3,_xll.ESFldID(D$5,$B$3),$B$3,,$A54)</f>
        <v>221.75</v>
      </c>
      <c r="E54" s="95">
        <f>RTD("esrtd",,"*H",$A$3,_xll.ESFldID(E$5,$B$3),$B$3,,$A54)</f>
        <v>221.9</v>
      </c>
      <c r="F54" s="95">
        <f>RTD("esrtd",,"*H",$A$3,_xll.ESFldID(F$5,$B$3),$B$3,,$A54)</f>
        <v>147558</v>
      </c>
      <c r="G54" s="97">
        <f>RTD("esrtd",,"*H",$A$3,_xll.ESFldID(G$5,$B$3),$B$3,,$A54)</f>
        <v>42929.606249999997</v>
      </c>
      <c r="H54" s="98">
        <f>RTD("esrtd",,"*H",$A$3,_xll.ESFldID(H$5,$B$3),$B$3,,$A54)</f>
        <v>42929.541666666664</v>
      </c>
      <c r="I54" s="97">
        <f>RTD("esrtd",,"*H",$A$3,_xll.ESFldID(I$5,$B$3),$B$3,,$A54)</f>
        <v>42929.606249999997</v>
      </c>
    </row>
    <row r="55" spans="1:9" x14ac:dyDescent="0.25">
      <c r="A55" s="94">
        <v>55</v>
      </c>
      <c r="B55" s="95">
        <f>RTD("esrtd",,"*H",$A$3,_xll.ESFldID(B$5,$B$3),$B$3,,$A55)</f>
        <v>221.9</v>
      </c>
      <c r="C55" s="95">
        <f>RTD("esrtd",,"*H",$A$3,_xll.ESFldID(C$5,$B$3),$B$3,,$A55)</f>
        <v>221.9</v>
      </c>
      <c r="D55" s="95">
        <f>RTD("esrtd",,"*H",$A$3,_xll.ESFldID(D$5,$B$3),$B$3,,$A55)</f>
        <v>221.85</v>
      </c>
      <c r="E55" s="95">
        <f>RTD("esrtd",,"*H",$A$3,_xll.ESFldID(E$5,$B$3),$B$3,,$A55)</f>
        <v>221.85</v>
      </c>
      <c r="F55" s="95">
        <f>RTD("esrtd",,"*H",$A$3,_xll.ESFldID(F$5,$B$3),$B$3,,$A55)</f>
        <v>33666</v>
      </c>
      <c r="G55" s="97">
        <f>RTD("esrtd",,"*H",$A$3,_xll.ESFldID(G$5,$B$3),$B$3,,$A55)</f>
        <v>42929.606944444444</v>
      </c>
      <c r="H55" s="98">
        <f>RTD("esrtd",,"*H",$A$3,_xll.ESFldID(H$5,$B$3),$B$3,,$A55)</f>
        <v>42929.541666666664</v>
      </c>
      <c r="I55" s="97">
        <f>RTD("esrtd",,"*H",$A$3,_xll.ESFldID(I$5,$B$3),$B$3,,$A55)</f>
        <v>42929.606944444444</v>
      </c>
    </row>
    <row r="56" spans="1:9" x14ac:dyDescent="0.25">
      <c r="A56" s="94">
        <v>54</v>
      </c>
      <c r="B56" s="95">
        <f>RTD("esrtd",,"*H",$A$3,_xll.ESFldID(B$5,$B$3),$B$3,,$A56)</f>
        <v>222</v>
      </c>
      <c r="C56" s="95">
        <f>RTD("esrtd",,"*H",$A$3,_xll.ESFldID(C$5,$B$3),$B$3,,$A56)</f>
        <v>222</v>
      </c>
      <c r="D56" s="95">
        <f>RTD("esrtd",,"*H",$A$3,_xll.ESFldID(D$5,$B$3),$B$3,,$A56)</f>
        <v>221.95</v>
      </c>
      <c r="E56" s="95">
        <f>RTD("esrtd",,"*H",$A$3,_xll.ESFldID(E$5,$B$3),$B$3,,$A56)</f>
        <v>221.95</v>
      </c>
      <c r="F56" s="95">
        <f>RTD("esrtd",,"*H",$A$3,_xll.ESFldID(F$5,$B$3),$B$3,,$A56)</f>
        <v>30143</v>
      </c>
      <c r="G56" s="97">
        <f>RTD("esrtd",,"*H",$A$3,_xll.ESFldID(G$5,$B$3),$B$3,,$A56)</f>
        <v>42929.607638888891</v>
      </c>
      <c r="H56" s="98">
        <f>RTD("esrtd",,"*H",$A$3,_xll.ESFldID(H$5,$B$3),$B$3,,$A56)</f>
        <v>42929.541666666664</v>
      </c>
      <c r="I56" s="97">
        <f>RTD("esrtd",,"*H",$A$3,_xll.ESFldID(I$5,$B$3),$B$3,,$A56)</f>
        <v>42929.607638888891</v>
      </c>
    </row>
    <row r="57" spans="1:9" x14ac:dyDescent="0.25">
      <c r="A57" s="94">
        <v>53</v>
      </c>
      <c r="B57" s="95">
        <f>RTD("esrtd",,"*H",$A$3,_xll.ESFldID(B$5,$B$3),$B$3,,$A57)</f>
        <v>222</v>
      </c>
      <c r="C57" s="95">
        <f>RTD("esrtd",,"*H",$A$3,_xll.ESFldID(C$5,$B$3),$B$3,,$A57)</f>
        <v>222</v>
      </c>
      <c r="D57" s="95">
        <f>RTD("esrtd",,"*H",$A$3,_xll.ESFldID(D$5,$B$3),$B$3,,$A57)</f>
        <v>222</v>
      </c>
      <c r="E57" s="95">
        <f>RTD("esrtd",,"*H",$A$3,_xll.ESFldID(E$5,$B$3),$B$3,,$A57)</f>
        <v>222</v>
      </c>
      <c r="F57" s="95">
        <f>RTD("esrtd",,"*H",$A$3,_xll.ESFldID(F$5,$B$3),$B$3,,$A57)</f>
        <v>38498</v>
      </c>
      <c r="G57" s="97">
        <f>RTD("esrtd",,"*H",$A$3,_xll.ESFldID(G$5,$B$3),$B$3,,$A57)</f>
        <v>42929.60833333333</v>
      </c>
      <c r="H57" s="98">
        <f>RTD("esrtd",,"*H",$A$3,_xll.ESFldID(H$5,$B$3),$B$3,,$A57)</f>
        <v>42929.541666666664</v>
      </c>
      <c r="I57" s="97">
        <f>RTD("esrtd",,"*H",$A$3,_xll.ESFldID(I$5,$B$3),$B$3,,$A57)</f>
        <v>42929.60833333333</v>
      </c>
    </row>
    <row r="58" spans="1:9" x14ac:dyDescent="0.25">
      <c r="A58" s="94">
        <v>52</v>
      </c>
      <c r="B58" s="95">
        <f>RTD("esrtd",,"*H",$A$3,_xll.ESFldID(B$5,$B$3),$B$3,,$A58)</f>
        <v>221.95</v>
      </c>
      <c r="C58" s="95">
        <f>RTD("esrtd",,"*H",$A$3,_xll.ESFldID(C$5,$B$3),$B$3,,$A58)</f>
        <v>221.95</v>
      </c>
      <c r="D58" s="95">
        <f>RTD("esrtd",,"*H",$A$3,_xll.ESFldID(D$5,$B$3),$B$3,,$A58)</f>
        <v>221.95</v>
      </c>
      <c r="E58" s="95">
        <f>RTD("esrtd",,"*H",$A$3,_xll.ESFldID(E$5,$B$3),$B$3,,$A58)</f>
        <v>221.95</v>
      </c>
      <c r="F58" s="95">
        <f>RTD("esrtd",,"*H",$A$3,_xll.ESFldID(F$5,$B$3),$B$3,,$A58)</f>
        <v>16663</v>
      </c>
      <c r="G58" s="97">
        <f>RTD("esrtd",,"*H",$A$3,_xll.ESFldID(G$5,$B$3),$B$3,,$A58)</f>
        <v>42929.609027777777</v>
      </c>
      <c r="H58" s="98">
        <f>RTD("esrtd",,"*H",$A$3,_xll.ESFldID(H$5,$B$3),$B$3,,$A58)</f>
        <v>42929.541666666664</v>
      </c>
      <c r="I58" s="97">
        <f>RTD("esrtd",,"*H",$A$3,_xll.ESFldID(I$5,$B$3),$B$3,,$A58)</f>
        <v>42929.609027777777</v>
      </c>
    </row>
    <row r="59" spans="1:9" x14ac:dyDescent="0.25">
      <c r="A59" s="94">
        <v>51</v>
      </c>
      <c r="B59" s="95">
        <f>RTD("esrtd",,"*H",$A$3,_xll.ESFldID(B$5,$B$3),$B$3,,$A59)</f>
        <v>221.95</v>
      </c>
      <c r="C59" s="95">
        <f>RTD("esrtd",,"*H",$A$3,_xll.ESFldID(C$5,$B$3),$B$3,,$A59)</f>
        <v>221.95</v>
      </c>
      <c r="D59" s="95">
        <f>RTD("esrtd",,"*H",$A$3,_xll.ESFldID(D$5,$B$3),$B$3,,$A59)</f>
        <v>221.95</v>
      </c>
      <c r="E59" s="95">
        <f>RTD("esrtd",,"*H",$A$3,_xll.ESFldID(E$5,$B$3),$B$3,,$A59)</f>
        <v>221.95</v>
      </c>
      <c r="F59" s="95">
        <f>RTD("esrtd",,"*H",$A$3,_xll.ESFldID(F$5,$B$3),$B$3,,$A59)</f>
        <v>24114</v>
      </c>
      <c r="G59" s="97">
        <f>RTD("esrtd",,"*H",$A$3,_xll.ESFldID(G$5,$B$3),$B$3,,$A59)</f>
        <v>42929.609722222223</v>
      </c>
      <c r="H59" s="98">
        <f>RTD("esrtd",,"*H",$A$3,_xll.ESFldID(H$5,$B$3),$B$3,,$A59)</f>
        <v>42929.541666666664</v>
      </c>
      <c r="I59" s="97">
        <f>RTD("esrtd",,"*H",$A$3,_xll.ESFldID(I$5,$B$3),$B$3,,$A59)</f>
        <v>42929.609722222223</v>
      </c>
    </row>
    <row r="60" spans="1:9" x14ac:dyDescent="0.25">
      <c r="A60" s="94">
        <v>50</v>
      </c>
      <c r="B60" s="95">
        <f>RTD("esrtd",,"*H",$A$3,_xll.ESFldID(B$5,$B$3),$B$3,,$A60)</f>
        <v>221.9</v>
      </c>
      <c r="C60" s="95">
        <f>RTD("esrtd",,"*H",$A$3,_xll.ESFldID(C$5,$B$3),$B$3,,$A60)</f>
        <v>221.8</v>
      </c>
      <c r="D60" s="95">
        <f>RTD("esrtd",,"*H",$A$3,_xll.ESFldID(D$5,$B$3),$B$3,,$A60)</f>
        <v>221.75</v>
      </c>
      <c r="E60" s="95">
        <f>RTD("esrtd",,"*H",$A$3,_xll.ESFldID(E$5,$B$3),$B$3,,$A60)</f>
        <v>221.9</v>
      </c>
      <c r="F60" s="95">
        <f>RTD("esrtd",,"*H",$A$3,_xll.ESFldID(F$5,$B$3),$B$3,,$A60)</f>
        <v>155739</v>
      </c>
      <c r="G60" s="97">
        <f>RTD("esrtd",,"*H",$A$3,_xll.ESFldID(G$5,$B$3),$B$3,,$A60)</f>
        <v>42929.61041666667</v>
      </c>
      <c r="H60" s="98">
        <f>RTD("esrtd",,"*H",$A$3,_xll.ESFldID(H$5,$B$3),$B$3,,$A60)</f>
        <v>42929.541666666664</v>
      </c>
      <c r="I60" s="97">
        <f>RTD("esrtd",,"*H",$A$3,_xll.ESFldID(I$5,$B$3),$B$3,,$A60)</f>
        <v>42929.61041666667</v>
      </c>
    </row>
    <row r="61" spans="1:9" x14ac:dyDescent="0.25">
      <c r="A61" s="94">
        <v>49</v>
      </c>
      <c r="B61" s="95">
        <f>RTD("esrtd",,"*H",$A$3,_xll.ESFldID(B$5,$B$3),$B$3,,$A61)</f>
        <v>222</v>
      </c>
      <c r="C61" s="95">
        <f>RTD("esrtd",,"*H",$A$3,_xll.ESFldID(C$5,$B$3),$B$3,,$A61)</f>
        <v>221.95</v>
      </c>
      <c r="D61" s="95">
        <f>RTD("esrtd",,"*H",$A$3,_xll.ESFldID(D$5,$B$3),$B$3,,$A61)</f>
        <v>221.85</v>
      </c>
      <c r="E61" s="95">
        <f>RTD("esrtd",,"*H",$A$3,_xll.ESFldID(E$5,$B$3),$B$3,,$A61)</f>
        <v>221.85</v>
      </c>
      <c r="F61" s="95">
        <f>RTD("esrtd",,"*H",$A$3,_xll.ESFldID(F$5,$B$3),$B$3,,$A61)</f>
        <v>49352</v>
      </c>
      <c r="G61" s="97">
        <f>RTD("esrtd",,"*H",$A$3,_xll.ESFldID(G$5,$B$3),$B$3,,$A61)</f>
        <v>42929.611111111109</v>
      </c>
      <c r="H61" s="98">
        <f>RTD("esrtd",,"*H",$A$3,_xll.ESFldID(H$5,$B$3),$B$3,,$A61)</f>
        <v>42929.541666666664</v>
      </c>
      <c r="I61" s="97">
        <f>RTD("esrtd",,"*H",$A$3,_xll.ESFldID(I$5,$B$3),$B$3,,$A61)</f>
        <v>42929.611111111109</v>
      </c>
    </row>
    <row r="62" spans="1:9" x14ac:dyDescent="0.25">
      <c r="A62" s="94">
        <v>48</v>
      </c>
      <c r="B62" s="95">
        <f>RTD("esrtd",,"*H",$A$3,_xll.ESFldID(B$5,$B$3),$B$3,,$A62)</f>
        <v>222.1</v>
      </c>
      <c r="C62" s="95">
        <f>RTD("esrtd",,"*H",$A$3,_xll.ESFldID(C$5,$B$3),$B$3,,$A62)</f>
        <v>222.1</v>
      </c>
      <c r="D62" s="95">
        <f>RTD("esrtd",,"*H",$A$3,_xll.ESFldID(D$5,$B$3),$B$3,,$A62)</f>
        <v>222</v>
      </c>
      <c r="E62" s="95">
        <f>RTD("esrtd",,"*H",$A$3,_xll.ESFldID(E$5,$B$3),$B$3,,$A62)</f>
        <v>222</v>
      </c>
      <c r="F62" s="95">
        <f>RTD("esrtd",,"*H",$A$3,_xll.ESFldID(F$5,$B$3),$B$3,,$A62)</f>
        <v>62371</v>
      </c>
      <c r="G62" s="97">
        <f>RTD("esrtd",,"*H",$A$3,_xll.ESFldID(G$5,$B$3),$B$3,,$A62)</f>
        <v>42929.611805555556</v>
      </c>
      <c r="H62" s="98">
        <f>RTD("esrtd",,"*H",$A$3,_xll.ESFldID(H$5,$B$3),$B$3,,$A62)</f>
        <v>42929.541666666664</v>
      </c>
      <c r="I62" s="97">
        <f>RTD("esrtd",,"*H",$A$3,_xll.ESFldID(I$5,$B$3),$B$3,,$A62)</f>
        <v>42929.611805555556</v>
      </c>
    </row>
    <row r="63" spans="1:9" x14ac:dyDescent="0.25">
      <c r="A63" s="94">
        <v>47</v>
      </c>
      <c r="B63" s="95">
        <f>RTD("esrtd",,"*H",$A$3,_xll.ESFldID(B$5,$B$3),$B$3,,$A63)</f>
        <v>222.1</v>
      </c>
      <c r="C63" s="95">
        <f>RTD("esrtd",,"*H",$A$3,_xll.ESFldID(C$5,$B$3),$B$3,,$A63)</f>
        <v>222.1</v>
      </c>
      <c r="D63" s="95">
        <f>RTD("esrtd",,"*H",$A$3,_xll.ESFldID(D$5,$B$3),$B$3,,$A63)</f>
        <v>222.1</v>
      </c>
      <c r="E63" s="95">
        <f>RTD("esrtd",,"*H",$A$3,_xll.ESFldID(E$5,$B$3),$B$3,,$A63)</f>
        <v>222.1</v>
      </c>
      <c r="F63" s="95">
        <f>RTD("esrtd",,"*H",$A$3,_xll.ESFldID(F$5,$B$3),$B$3,,$A63)</f>
        <v>41804</v>
      </c>
      <c r="G63" s="97">
        <f>RTD("esrtd",,"*H",$A$3,_xll.ESFldID(G$5,$B$3),$B$3,,$A63)</f>
        <v>42929.612500000003</v>
      </c>
      <c r="H63" s="98">
        <f>RTD("esrtd",,"*H",$A$3,_xll.ESFldID(H$5,$B$3),$B$3,,$A63)</f>
        <v>42929.541666666664</v>
      </c>
      <c r="I63" s="97">
        <f>RTD("esrtd",,"*H",$A$3,_xll.ESFldID(I$5,$B$3),$B$3,,$A63)</f>
        <v>42929.612500000003</v>
      </c>
    </row>
    <row r="64" spans="1:9" x14ac:dyDescent="0.25">
      <c r="A64" s="94">
        <v>46</v>
      </c>
      <c r="B64" s="95">
        <f>RTD("esrtd",,"*H",$A$3,_xll.ESFldID(B$5,$B$3),$B$3,,$A64)</f>
        <v>222.2</v>
      </c>
      <c r="C64" s="95">
        <f>RTD("esrtd",,"*H",$A$3,_xll.ESFldID(C$5,$B$3),$B$3,,$A64)</f>
        <v>222.2</v>
      </c>
      <c r="D64" s="95">
        <f>RTD("esrtd",,"*H",$A$3,_xll.ESFldID(D$5,$B$3),$B$3,,$A64)</f>
        <v>222.1</v>
      </c>
      <c r="E64" s="95">
        <f>RTD("esrtd",,"*H",$A$3,_xll.ESFldID(E$5,$B$3),$B$3,,$A64)</f>
        <v>222.1</v>
      </c>
      <c r="F64" s="95">
        <f>RTD("esrtd",,"*H",$A$3,_xll.ESFldID(F$5,$B$3),$B$3,,$A64)</f>
        <v>43083</v>
      </c>
      <c r="G64" s="97">
        <f>RTD("esrtd",,"*H",$A$3,_xll.ESFldID(G$5,$B$3),$B$3,,$A64)</f>
        <v>42929.613194444442</v>
      </c>
      <c r="H64" s="98">
        <f>RTD("esrtd",,"*H",$A$3,_xll.ESFldID(H$5,$B$3),$B$3,,$A64)</f>
        <v>42929.541666666664</v>
      </c>
      <c r="I64" s="97">
        <f>RTD("esrtd",,"*H",$A$3,_xll.ESFldID(I$5,$B$3),$B$3,,$A64)</f>
        <v>42929.613194444442</v>
      </c>
    </row>
    <row r="65" spans="1:9" x14ac:dyDescent="0.25">
      <c r="A65" s="94">
        <v>45</v>
      </c>
      <c r="B65" s="95">
        <f>RTD("esrtd",,"*H",$A$3,_xll.ESFldID(B$5,$B$3),$B$3,,$A65)</f>
        <v>222.15</v>
      </c>
      <c r="C65" s="95">
        <f>RTD("esrtd",,"*H",$A$3,_xll.ESFldID(C$5,$B$3),$B$3,,$A65)</f>
        <v>222.15</v>
      </c>
      <c r="D65" s="95">
        <f>RTD("esrtd",,"*H",$A$3,_xll.ESFldID(D$5,$B$3),$B$3,,$A65)</f>
        <v>222.1</v>
      </c>
      <c r="E65" s="95">
        <f>RTD("esrtd",,"*H",$A$3,_xll.ESFldID(E$5,$B$3),$B$3,,$A65)</f>
        <v>222.15</v>
      </c>
      <c r="F65" s="95">
        <f>RTD("esrtd",,"*H",$A$3,_xll.ESFldID(F$5,$B$3),$B$3,,$A65)</f>
        <v>32117</v>
      </c>
      <c r="G65" s="97">
        <f>RTD("esrtd",,"*H",$A$3,_xll.ESFldID(G$5,$B$3),$B$3,,$A65)</f>
        <v>42929.613888888889</v>
      </c>
      <c r="H65" s="98">
        <f>RTD("esrtd",,"*H",$A$3,_xll.ESFldID(H$5,$B$3),$B$3,,$A65)</f>
        <v>42929.541666666664</v>
      </c>
      <c r="I65" s="97">
        <f>RTD("esrtd",,"*H",$A$3,_xll.ESFldID(I$5,$B$3),$B$3,,$A65)</f>
        <v>42929.613888888889</v>
      </c>
    </row>
    <row r="66" spans="1:9" x14ac:dyDescent="0.25">
      <c r="A66" s="94">
        <v>44</v>
      </c>
      <c r="B66" s="95">
        <f>RTD("esrtd",,"*H",$A$3,_xll.ESFldID(B$5,$B$3),$B$3,,$A66)</f>
        <v>222.15</v>
      </c>
      <c r="C66" s="95">
        <f>RTD("esrtd",,"*H",$A$3,_xll.ESFldID(C$5,$B$3),$B$3,,$A66)</f>
        <v>222</v>
      </c>
      <c r="D66" s="95">
        <f>RTD("esrtd",,"*H",$A$3,_xll.ESFldID(D$5,$B$3),$B$3,,$A66)</f>
        <v>222</v>
      </c>
      <c r="E66" s="95">
        <f>RTD("esrtd",,"*H",$A$3,_xll.ESFldID(E$5,$B$3),$B$3,,$A66)</f>
        <v>222.15</v>
      </c>
      <c r="F66" s="95">
        <f>RTD("esrtd",,"*H",$A$3,_xll.ESFldID(F$5,$B$3),$B$3,,$A66)</f>
        <v>89071</v>
      </c>
      <c r="G66" s="97">
        <f>RTD("esrtd",,"*H",$A$3,_xll.ESFldID(G$5,$B$3),$B$3,,$A66)</f>
        <v>42929.614583333336</v>
      </c>
      <c r="H66" s="98">
        <f>RTD("esrtd",,"*H",$A$3,_xll.ESFldID(H$5,$B$3),$B$3,,$A66)</f>
        <v>42929.541666666664</v>
      </c>
      <c r="I66" s="97">
        <f>RTD("esrtd",,"*H",$A$3,_xll.ESFldID(I$5,$B$3),$B$3,,$A66)</f>
        <v>42929.614583333336</v>
      </c>
    </row>
    <row r="67" spans="1:9" x14ac:dyDescent="0.25">
      <c r="A67" s="94">
        <v>43</v>
      </c>
      <c r="B67" s="95">
        <f>RTD("esrtd",,"*H",$A$3,_xll.ESFldID(B$5,$B$3),$B$3,,$A67)</f>
        <v>222.05</v>
      </c>
      <c r="C67" s="95">
        <f>RTD("esrtd",,"*H",$A$3,_xll.ESFldID(C$5,$B$3),$B$3,,$A67)</f>
        <v>222</v>
      </c>
      <c r="D67" s="95">
        <f>RTD("esrtd",,"*H",$A$3,_xll.ESFldID(D$5,$B$3),$B$3,,$A67)</f>
        <v>222</v>
      </c>
      <c r="E67" s="95">
        <f>RTD("esrtd",,"*H",$A$3,_xll.ESFldID(E$5,$B$3),$B$3,,$A67)</f>
        <v>222.05</v>
      </c>
      <c r="F67" s="95">
        <f>RTD("esrtd",,"*H",$A$3,_xll.ESFldID(F$5,$B$3),$B$3,,$A67)</f>
        <v>100204</v>
      </c>
      <c r="G67" s="97">
        <f>RTD("esrtd",,"*H",$A$3,_xll.ESFldID(G$5,$B$3),$B$3,,$A67)</f>
        <v>42929.615277777775</v>
      </c>
      <c r="H67" s="98">
        <f>RTD("esrtd",,"*H",$A$3,_xll.ESFldID(H$5,$B$3),$B$3,,$A67)</f>
        <v>42929.541666666664</v>
      </c>
      <c r="I67" s="97">
        <f>RTD("esrtd",,"*H",$A$3,_xll.ESFldID(I$5,$B$3),$B$3,,$A67)</f>
        <v>42929.615277777775</v>
      </c>
    </row>
    <row r="68" spans="1:9" x14ac:dyDescent="0.25">
      <c r="A68" s="94">
        <v>42</v>
      </c>
      <c r="B68" s="95">
        <f>RTD("esrtd",,"*H",$A$3,_xll.ESFldID(B$5,$B$3),$B$3,,$A68)</f>
        <v>222</v>
      </c>
      <c r="C68" s="95">
        <f>RTD("esrtd",,"*H",$A$3,_xll.ESFldID(C$5,$B$3),$B$3,,$A68)</f>
        <v>221.9</v>
      </c>
      <c r="D68" s="95">
        <f>RTD("esrtd",,"*H",$A$3,_xll.ESFldID(D$5,$B$3),$B$3,,$A68)</f>
        <v>221.85</v>
      </c>
      <c r="E68" s="95">
        <f>RTD("esrtd",,"*H",$A$3,_xll.ESFldID(E$5,$B$3),$B$3,,$A68)</f>
        <v>222</v>
      </c>
      <c r="F68" s="95">
        <f>RTD("esrtd",,"*H",$A$3,_xll.ESFldID(F$5,$B$3),$B$3,,$A68)</f>
        <v>144714</v>
      </c>
      <c r="G68" s="97">
        <f>RTD("esrtd",,"*H",$A$3,_xll.ESFldID(G$5,$B$3),$B$3,,$A68)</f>
        <v>42929.615972222222</v>
      </c>
      <c r="H68" s="98">
        <f>RTD("esrtd",,"*H",$A$3,_xll.ESFldID(H$5,$B$3),$B$3,,$A68)</f>
        <v>42929.541666666664</v>
      </c>
      <c r="I68" s="97">
        <f>RTD("esrtd",,"*H",$A$3,_xll.ESFldID(I$5,$B$3),$B$3,,$A68)</f>
        <v>42929.615972222222</v>
      </c>
    </row>
    <row r="69" spans="1:9" x14ac:dyDescent="0.25">
      <c r="A69" s="94">
        <v>41</v>
      </c>
      <c r="B69" s="95">
        <f>RTD("esrtd",,"*H",$A$3,_xll.ESFldID(B$5,$B$3),$B$3,,$A69)</f>
        <v>222</v>
      </c>
      <c r="C69" s="95">
        <f>RTD("esrtd",,"*H",$A$3,_xll.ESFldID(C$5,$B$3),$B$3,,$A69)</f>
        <v>221.95</v>
      </c>
      <c r="D69" s="95">
        <f>RTD("esrtd",,"*H",$A$3,_xll.ESFldID(D$5,$B$3),$B$3,,$A69)</f>
        <v>221.9</v>
      </c>
      <c r="E69" s="95">
        <f>RTD("esrtd",,"*H",$A$3,_xll.ESFldID(E$5,$B$3),$B$3,,$A69)</f>
        <v>221.9</v>
      </c>
      <c r="F69" s="95">
        <f>RTD("esrtd",,"*H",$A$3,_xll.ESFldID(F$5,$B$3),$B$3,,$A69)</f>
        <v>117612</v>
      </c>
      <c r="G69" s="97">
        <f>RTD("esrtd",,"*H",$A$3,_xll.ESFldID(G$5,$B$3),$B$3,,$A69)</f>
        <v>42929.616666666669</v>
      </c>
      <c r="H69" s="98">
        <f>RTD("esrtd",,"*H",$A$3,_xll.ESFldID(H$5,$B$3),$B$3,,$A69)</f>
        <v>42929.541666666664</v>
      </c>
      <c r="I69" s="97">
        <f>RTD("esrtd",,"*H",$A$3,_xll.ESFldID(I$5,$B$3),$B$3,,$A69)</f>
        <v>42929.616666666669</v>
      </c>
    </row>
    <row r="70" spans="1:9" x14ac:dyDescent="0.25">
      <c r="A70" s="94">
        <v>40</v>
      </c>
      <c r="B70" s="95">
        <f>RTD("esrtd",,"*H",$A$3,_xll.ESFldID(B$5,$B$3),$B$3,,$A70)</f>
        <v>222</v>
      </c>
      <c r="C70" s="95">
        <f>RTD("esrtd",,"*H",$A$3,_xll.ESFldID(C$5,$B$3),$B$3,,$A70)</f>
        <v>221.85</v>
      </c>
      <c r="D70" s="95">
        <f>RTD("esrtd",,"*H",$A$3,_xll.ESFldID(D$5,$B$3),$B$3,,$A70)</f>
        <v>221.8</v>
      </c>
      <c r="E70" s="95">
        <f>RTD("esrtd",,"*H",$A$3,_xll.ESFldID(E$5,$B$3),$B$3,,$A70)</f>
        <v>222</v>
      </c>
      <c r="F70" s="95">
        <f>RTD("esrtd",,"*H",$A$3,_xll.ESFldID(F$5,$B$3),$B$3,,$A70)</f>
        <v>150967</v>
      </c>
      <c r="G70" s="97">
        <f>RTD("esrtd",,"*H",$A$3,_xll.ESFldID(G$5,$B$3),$B$3,,$A70)</f>
        <v>42929.617361111108</v>
      </c>
      <c r="H70" s="98">
        <f>RTD("esrtd",,"*H",$A$3,_xll.ESFldID(H$5,$B$3),$B$3,,$A70)</f>
        <v>42929.541666666664</v>
      </c>
      <c r="I70" s="97">
        <f>RTD("esrtd",,"*H",$A$3,_xll.ESFldID(I$5,$B$3),$B$3,,$A70)</f>
        <v>42929.617361111108</v>
      </c>
    </row>
    <row r="71" spans="1:9" x14ac:dyDescent="0.25">
      <c r="A71" s="94">
        <v>39</v>
      </c>
      <c r="B71" s="95">
        <f>RTD("esrtd",,"*H",$A$3,_xll.ESFldID(B$5,$B$3),$B$3,,$A71)</f>
        <v>222</v>
      </c>
      <c r="C71" s="95">
        <f>RTD("esrtd",,"*H",$A$3,_xll.ESFldID(C$5,$B$3),$B$3,,$A71)</f>
        <v>222</v>
      </c>
      <c r="D71" s="95">
        <f>RTD("esrtd",,"*H",$A$3,_xll.ESFldID(D$5,$B$3),$B$3,,$A71)</f>
        <v>221.9</v>
      </c>
      <c r="E71" s="95">
        <f>RTD("esrtd",,"*H",$A$3,_xll.ESFldID(E$5,$B$3),$B$3,,$A71)</f>
        <v>221.9</v>
      </c>
      <c r="F71" s="95">
        <f>RTD("esrtd",,"*H",$A$3,_xll.ESFldID(F$5,$B$3),$B$3,,$A71)</f>
        <v>87429</v>
      </c>
      <c r="G71" s="97">
        <f>RTD("esrtd",,"*H",$A$3,_xll.ESFldID(G$5,$B$3),$B$3,,$A71)</f>
        <v>42929.618055555555</v>
      </c>
      <c r="H71" s="98">
        <f>RTD("esrtd",,"*H",$A$3,_xll.ESFldID(H$5,$B$3),$B$3,,$A71)</f>
        <v>42929.541666666664</v>
      </c>
      <c r="I71" s="97">
        <f>RTD("esrtd",,"*H",$A$3,_xll.ESFldID(I$5,$B$3),$B$3,,$A71)</f>
        <v>42929.618055555555</v>
      </c>
    </row>
    <row r="72" spans="1:9" x14ac:dyDescent="0.25">
      <c r="A72" s="94">
        <v>38</v>
      </c>
      <c r="B72" s="95">
        <f>RTD("esrtd",,"*H",$A$3,_xll.ESFldID(B$5,$B$3),$B$3,,$A72)</f>
        <v>222</v>
      </c>
      <c r="C72" s="95">
        <f>RTD("esrtd",,"*H",$A$3,_xll.ESFldID(C$5,$B$3),$B$3,,$A72)</f>
        <v>222</v>
      </c>
      <c r="D72" s="95">
        <f>RTD("esrtd",,"*H",$A$3,_xll.ESFldID(D$5,$B$3),$B$3,,$A72)</f>
        <v>222</v>
      </c>
      <c r="E72" s="95">
        <f>RTD("esrtd",,"*H",$A$3,_xll.ESFldID(E$5,$B$3),$B$3,,$A72)</f>
        <v>222</v>
      </c>
      <c r="F72" s="95">
        <f>RTD("esrtd",,"*H",$A$3,_xll.ESFldID(F$5,$B$3),$B$3,,$A72)</f>
        <v>22204</v>
      </c>
      <c r="G72" s="97">
        <f>RTD("esrtd",,"*H",$A$3,_xll.ESFldID(G$5,$B$3),$B$3,,$A72)</f>
        <v>42929.618750000001</v>
      </c>
      <c r="H72" s="98">
        <f>RTD("esrtd",,"*H",$A$3,_xll.ESFldID(H$5,$B$3),$B$3,,$A72)</f>
        <v>42929.541666666664</v>
      </c>
      <c r="I72" s="97">
        <f>RTD("esrtd",,"*H",$A$3,_xll.ESFldID(I$5,$B$3),$B$3,,$A72)</f>
        <v>42929.618750000001</v>
      </c>
    </row>
    <row r="73" spans="1:9" x14ac:dyDescent="0.25">
      <c r="A73" s="94">
        <v>37</v>
      </c>
      <c r="B73" s="95">
        <f>RTD("esrtd",,"*H",$A$3,_xll.ESFldID(B$5,$B$3),$B$3,,$A73)</f>
        <v>222</v>
      </c>
      <c r="C73" s="95">
        <f>RTD("esrtd",,"*H",$A$3,_xll.ESFldID(C$5,$B$3),$B$3,,$A73)</f>
        <v>221.95</v>
      </c>
      <c r="D73" s="95">
        <f>RTD("esrtd",,"*H",$A$3,_xll.ESFldID(D$5,$B$3),$B$3,,$A73)</f>
        <v>221.85</v>
      </c>
      <c r="E73" s="95">
        <f>RTD("esrtd",,"*H",$A$3,_xll.ESFldID(E$5,$B$3),$B$3,,$A73)</f>
        <v>222</v>
      </c>
      <c r="F73" s="95">
        <f>RTD("esrtd",,"*H",$A$3,_xll.ESFldID(F$5,$B$3),$B$3,,$A73)</f>
        <v>340161</v>
      </c>
      <c r="G73" s="97">
        <f>RTD("esrtd",,"*H",$A$3,_xll.ESFldID(G$5,$B$3),$B$3,,$A73)</f>
        <v>42929.619444444441</v>
      </c>
      <c r="H73" s="98">
        <f>RTD("esrtd",,"*H",$A$3,_xll.ESFldID(H$5,$B$3),$B$3,,$A73)</f>
        <v>42929.541666666664</v>
      </c>
      <c r="I73" s="97">
        <f>RTD("esrtd",,"*H",$A$3,_xll.ESFldID(I$5,$B$3),$B$3,,$A73)</f>
        <v>42929.619444444441</v>
      </c>
    </row>
    <row r="74" spans="1:9" x14ac:dyDescent="0.25">
      <c r="A74" s="94">
        <v>36</v>
      </c>
      <c r="B74" s="95">
        <f>RTD("esrtd",,"*H",$A$3,_xll.ESFldID(B$5,$B$3),$B$3,,$A74)</f>
        <v>221.85</v>
      </c>
      <c r="C74" s="95">
        <f>RTD("esrtd",,"*H",$A$3,_xll.ESFldID(C$5,$B$3),$B$3,,$A74)</f>
        <v>221.7</v>
      </c>
      <c r="D74" s="95">
        <f>RTD("esrtd",,"*H",$A$3,_xll.ESFldID(D$5,$B$3),$B$3,,$A74)</f>
        <v>221.7</v>
      </c>
      <c r="E74" s="95">
        <f>RTD("esrtd",,"*H",$A$3,_xll.ESFldID(E$5,$B$3),$B$3,,$A74)</f>
        <v>221.85</v>
      </c>
      <c r="F74" s="95">
        <f>RTD("esrtd",,"*H",$A$3,_xll.ESFldID(F$5,$B$3),$B$3,,$A74)</f>
        <v>201806</v>
      </c>
      <c r="G74" s="97">
        <f>RTD("esrtd",,"*H",$A$3,_xll.ESFldID(G$5,$B$3),$B$3,,$A74)</f>
        <v>42929.620138888888</v>
      </c>
      <c r="H74" s="98">
        <f>RTD("esrtd",,"*H",$A$3,_xll.ESFldID(H$5,$B$3),$B$3,,$A74)</f>
        <v>42929.541666666664</v>
      </c>
      <c r="I74" s="97">
        <f>RTD("esrtd",,"*H",$A$3,_xll.ESFldID(I$5,$B$3),$B$3,,$A74)</f>
        <v>42929.620138888888</v>
      </c>
    </row>
    <row r="75" spans="1:9" x14ac:dyDescent="0.25">
      <c r="A75" s="94">
        <v>35</v>
      </c>
      <c r="B75" s="95">
        <f>RTD("esrtd",,"*H",$A$3,_xll.ESFldID(B$5,$B$3),$B$3,,$A75)</f>
        <v>221.8</v>
      </c>
      <c r="C75" s="95">
        <f>RTD("esrtd",,"*H",$A$3,_xll.ESFldID(C$5,$B$3),$B$3,,$A75)</f>
        <v>221.8</v>
      </c>
      <c r="D75" s="95">
        <f>RTD("esrtd",,"*H",$A$3,_xll.ESFldID(D$5,$B$3),$B$3,,$A75)</f>
        <v>221.75</v>
      </c>
      <c r="E75" s="95">
        <f>RTD("esrtd",,"*H",$A$3,_xll.ESFldID(E$5,$B$3),$B$3,,$A75)</f>
        <v>221.75</v>
      </c>
      <c r="F75" s="95">
        <f>RTD("esrtd",,"*H",$A$3,_xll.ESFldID(F$5,$B$3),$B$3,,$A75)</f>
        <v>49221</v>
      </c>
      <c r="G75" s="97">
        <f>RTD("esrtd",,"*H",$A$3,_xll.ESFldID(G$5,$B$3),$B$3,,$A75)</f>
        <v>42929.620833333334</v>
      </c>
      <c r="H75" s="98">
        <f>RTD("esrtd",,"*H",$A$3,_xll.ESFldID(H$5,$B$3),$B$3,,$A75)</f>
        <v>42929.541666666664</v>
      </c>
      <c r="I75" s="97">
        <f>RTD("esrtd",,"*H",$A$3,_xll.ESFldID(I$5,$B$3),$B$3,,$A75)</f>
        <v>42929.620833333334</v>
      </c>
    </row>
    <row r="76" spans="1:9" x14ac:dyDescent="0.25">
      <c r="A76" s="94">
        <v>34</v>
      </c>
      <c r="B76" s="95">
        <f>RTD("esrtd",,"*H",$A$3,_xll.ESFldID(B$5,$B$3),$B$3,,$A76)</f>
        <v>221.8</v>
      </c>
      <c r="C76" s="95">
        <f>RTD("esrtd",,"*H",$A$3,_xll.ESFldID(C$5,$B$3),$B$3,,$A76)</f>
        <v>221.8</v>
      </c>
      <c r="D76" s="95">
        <f>RTD("esrtd",,"*H",$A$3,_xll.ESFldID(D$5,$B$3),$B$3,,$A76)</f>
        <v>221.8</v>
      </c>
      <c r="E76" s="95">
        <f>RTD("esrtd",,"*H",$A$3,_xll.ESFldID(E$5,$B$3),$B$3,,$A76)</f>
        <v>221.8</v>
      </c>
      <c r="F76" s="95">
        <f>RTD("esrtd",,"*H",$A$3,_xll.ESFldID(F$5,$B$3),$B$3,,$A76)</f>
        <v>34344</v>
      </c>
      <c r="G76" s="97">
        <f>RTD("esrtd",,"*H",$A$3,_xll.ESFldID(G$5,$B$3),$B$3,,$A76)</f>
        <v>42929.621527777781</v>
      </c>
      <c r="H76" s="98">
        <f>RTD("esrtd",,"*H",$A$3,_xll.ESFldID(H$5,$B$3),$B$3,,$A76)</f>
        <v>42929.541666666664</v>
      </c>
      <c r="I76" s="97">
        <f>RTD("esrtd",,"*H",$A$3,_xll.ESFldID(I$5,$B$3),$B$3,,$A76)</f>
        <v>42929.621527777781</v>
      </c>
    </row>
    <row r="77" spans="1:9" x14ac:dyDescent="0.25">
      <c r="A77" s="94">
        <v>33</v>
      </c>
      <c r="B77" s="95">
        <f>RTD("esrtd",,"*H",$A$3,_xll.ESFldID(B$5,$B$3),$B$3,,$A77)</f>
        <v>221.85</v>
      </c>
      <c r="C77" s="95">
        <f>RTD("esrtd",,"*H",$A$3,_xll.ESFldID(C$5,$B$3),$B$3,,$A77)</f>
        <v>221.8</v>
      </c>
      <c r="D77" s="95">
        <f>RTD("esrtd",,"*H",$A$3,_xll.ESFldID(D$5,$B$3),$B$3,,$A77)</f>
        <v>221.75</v>
      </c>
      <c r="E77" s="95">
        <f>RTD("esrtd",,"*H",$A$3,_xll.ESFldID(E$5,$B$3),$B$3,,$A77)</f>
        <v>221.8</v>
      </c>
      <c r="F77" s="95">
        <f>RTD("esrtd",,"*H",$A$3,_xll.ESFldID(F$5,$B$3),$B$3,,$A77)</f>
        <v>61260</v>
      </c>
      <c r="G77" s="97">
        <f>RTD("esrtd",,"*H",$A$3,_xll.ESFldID(G$5,$B$3),$B$3,,$A77)</f>
        <v>42929.62222222222</v>
      </c>
      <c r="H77" s="98">
        <f>RTD("esrtd",,"*H",$A$3,_xll.ESFldID(H$5,$B$3),$B$3,,$A77)</f>
        <v>42929.541666666664</v>
      </c>
      <c r="I77" s="97">
        <f>RTD("esrtd",,"*H",$A$3,_xll.ESFldID(I$5,$B$3),$B$3,,$A77)</f>
        <v>42929.62222222222</v>
      </c>
    </row>
    <row r="78" spans="1:9" x14ac:dyDescent="0.25">
      <c r="A78" s="94">
        <v>32</v>
      </c>
      <c r="B78" s="95">
        <f>RTD("esrtd",,"*H",$A$3,_xll.ESFldID(B$5,$B$3),$B$3,,$A78)</f>
        <v>221.8</v>
      </c>
      <c r="C78" s="95">
        <f>RTD("esrtd",,"*H",$A$3,_xll.ESFldID(C$5,$B$3),$B$3,,$A78)</f>
        <v>221.75</v>
      </c>
      <c r="D78" s="95">
        <f>RTD("esrtd",,"*H",$A$3,_xll.ESFldID(D$5,$B$3),$B$3,,$A78)</f>
        <v>221.75</v>
      </c>
      <c r="E78" s="95">
        <f>RTD("esrtd",,"*H",$A$3,_xll.ESFldID(E$5,$B$3),$B$3,,$A78)</f>
        <v>221.8</v>
      </c>
      <c r="F78" s="95">
        <f>RTD("esrtd",,"*H",$A$3,_xll.ESFldID(F$5,$B$3),$B$3,,$A78)</f>
        <v>14211</v>
      </c>
      <c r="G78" s="97">
        <f>RTD("esrtd",,"*H",$A$3,_xll.ESFldID(G$5,$B$3),$B$3,,$A78)</f>
        <v>42929.622916666667</v>
      </c>
      <c r="H78" s="98">
        <f>RTD("esrtd",,"*H",$A$3,_xll.ESFldID(H$5,$B$3),$B$3,,$A78)</f>
        <v>42929.541666666664</v>
      </c>
      <c r="I78" s="97">
        <f>RTD("esrtd",,"*H",$A$3,_xll.ESFldID(I$5,$B$3),$B$3,,$A78)</f>
        <v>42929.622916666667</v>
      </c>
    </row>
    <row r="79" spans="1:9" x14ac:dyDescent="0.25">
      <c r="A79" s="94">
        <v>31</v>
      </c>
      <c r="B79" s="95">
        <f>RTD("esrtd",,"*H",$A$3,_xll.ESFldID(B$5,$B$3),$B$3,,$A79)</f>
        <v>221.8</v>
      </c>
      <c r="C79" s="95">
        <f>RTD("esrtd",,"*H",$A$3,_xll.ESFldID(C$5,$B$3),$B$3,,$A79)</f>
        <v>221.75</v>
      </c>
      <c r="D79" s="95">
        <f>RTD("esrtd",,"*H",$A$3,_xll.ESFldID(D$5,$B$3),$B$3,,$A79)</f>
        <v>221.7</v>
      </c>
      <c r="E79" s="95">
        <f>RTD("esrtd",,"*H",$A$3,_xll.ESFldID(E$5,$B$3),$B$3,,$A79)</f>
        <v>221.8</v>
      </c>
      <c r="F79" s="95">
        <f>RTD("esrtd",,"*H",$A$3,_xll.ESFldID(F$5,$B$3),$B$3,,$A79)</f>
        <v>132164</v>
      </c>
      <c r="G79" s="97">
        <f>RTD("esrtd",,"*H",$A$3,_xll.ESFldID(G$5,$B$3),$B$3,,$A79)</f>
        <v>42929.623611111114</v>
      </c>
      <c r="H79" s="98">
        <f>RTD("esrtd",,"*H",$A$3,_xll.ESFldID(H$5,$B$3),$B$3,,$A79)</f>
        <v>42929.541666666664</v>
      </c>
      <c r="I79" s="97">
        <f>RTD("esrtd",,"*H",$A$3,_xll.ESFldID(I$5,$B$3),$B$3,,$A79)</f>
        <v>42929.623611111114</v>
      </c>
    </row>
    <row r="80" spans="1:9" x14ac:dyDescent="0.25">
      <c r="A80" s="94">
        <v>30</v>
      </c>
      <c r="B80" s="95">
        <f>RTD("esrtd",,"*H",$A$3,_xll.ESFldID(B$5,$B$3),$B$3,,$A80)</f>
        <v>221.75</v>
      </c>
      <c r="C80" s="95">
        <f>RTD("esrtd",,"*H",$A$3,_xll.ESFldID(C$5,$B$3),$B$3,,$A80)</f>
        <v>221.75</v>
      </c>
      <c r="D80" s="95">
        <f>RTD("esrtd",,"*H",$A$3,_xll.ESFldID(D$5,$B$3),$B$3,,$A80)</f>
        <v>221.75</v>
      </c>
      <c r="E80" s="95">
        <f>RTD("esrtd",,"*H",$A$3,_xll.ESFldID(E$5,$B$3),$B$3,,$A80)</f>
        <v>221.75</v>
      </c>
      <c r="F80" s="95">
        <f>RTD("esrtd",,"*H",$A$3,_xll.ESFldID(F$5,$B$3),$B$3,,$A80)</f>
        <v>22352</v>
      </c>
      <c r="G80" s="97">
        <f>RTD("esrtd",,"*H",$A$3,_xll.ESFldID(G$5,$B$3),$B$3,,$A80)</f>
        <v>42929.624305555553</v>
      </c>
      <c r="H80" s="98">
        <f>RTD("esrtd",,"*H",$A$3,_xll.ESFldID(H$5,$B$3),$B$3,,$A80)</f>
        <v>42929.541666666664</v>
      </c>
      <c r="I80" s="97">
        <f>RTD("esrtd",,"*H",$A$3,_xll.ESFldID(I$5,$B$3),$B$3,,$A80)</f>
        <v>42929.624305555553</v>
      </c>
    </row>
    <row r="81" spans="1:9" x14ac:dyDescent="0.25">
      <c r="A81" s="94">
        <v>29</v>
      </c>
      <c r="B81" s="95">
        <f>RTD("esrtd",,"*H",$A$3,_xll.ESFldID(B$5,$B$3),$B$3,,$A81)</f>
        <v>221.75</v>
      </c>
      <c r="C81" s="95">
        <f>RTD("esrtd",,"*H",$A$3,_xll.ESFldID(C$5,$B$3),$B$3,,$A81)</f>
        <v>221.65</v>
      </c>
      <c r="D81" s="95">
        <f>RTD("esrtd",,"*H",$A$3,_xll.ESFldID(D$5,$B$3),$B$3,,$A81)</f>
        <v>221.6</v>
      </c>
      <c r="E81" s="95">
        <f>RTD("esrtd",,"*H",$A$3,_xll.ESFldID(E$5,$B$3),$B$3,,$A81)</f>
        <v>221.75</v>
      </c>
      <c r="F81" s="95">
        <f>RTD("esrtd",,"*H",$A$3,_xll.ESFldID(F$5,$B$3),$B$3,,$A81)</f>
        <v>85967</v>
      </c>
      <c r="G81" s="97">
        <f>RTD("esrtd",,"*H",$A$3,_xll.ESFldID(G$5,$B$3),$B$3,,$A81)</f>
        <v>42929.625</v>
      </c>
      <c r="H81" s="98">
        <f>RTD("esrtd",,"*H",$A$3,_xll.ESFldID(H$5,$B$3),$B$3,,$A81)</f>
        <v>42929.541666666664</v>
      </c>
      <c r="I81" s="97">
        <f>RTD("esrtd",,"*H",$A$3,_xll.ESFldID(I$5,$B$3),$B$3,,$A81)</f>
        <v>42929.625</v>
      </c>
    </row>
    <row r="82" spans="1:9" x14ac:dyDescent="0.25">
      <c r="A82" s="94">
        <v>28</v>
      </c>
      <c r="B82" s="95">
        <f>RTD("esrtd",,"*H",$A$3,_xll.ESFldID(B$5,$B$3),$B$3,,$A82)</f>
        <v>221.65</v>
      </c>
      <c r="C82" s="95">
        <f>RTD("esrtd",,"*H",$A$3,_xll.ESFldID(C$5,$B$3),$B$3,,$A82)</f>
        <v>221.6</v>
      </c>
      <c r="D82" s="95">
        <f>RTD("esrtd",,"*H",$A$3,_xll.ESFldID(D$5,$B$3),$B$3,,$A82)</f>
        <v>221.6</v>
      </c>
      <c r="E82" s="95">
        <f>RTD("esrtd",,"*H",$A$3,_xll.ESFldID(E$5,$B$3),$B$3,,$A82)</f>
        <v>221.65</v>
      </c>
      <c r="F82" s="95">
        <f>RTD("esrtd",,"*H",$A$3,_xll.ESFldID(F$5,$B$3),$B$3,,$A82)</f>
        <v>87986</v>
      </c>
      <c r="G82" s="97">
        <f>RTD("esrtd",,"*H",$A$3,_xll.ESFldID(G$5,$B$3),$B$3,,$A82)</f>
        <v>42929.625694444447</v>
      </c>
      <c r="H82" s="98">
        <f>RTD("esrtd",,"*H",$A$3,_xll.ESFldID(H$5,$B$3),$B$3,,$A82)</f>
        <v>42929.541666666664</v>
      </c>
      <c r="I82" s="97">
        <f>RTD("esrtd",,"*H",$A$3,_xll.ESFldID(I$5,$B$3),$B$3,,$A82)</f>
        <v>42929.625694444447</v>
      </c>
    </row>
    <row r="83" spans="1:9" x14ac:dyDescent="0.25">
      <c r="A83" s="94">
        <v>27</v>
      </c>
      <c r="B83" s="95">
        <f>RTD("esrtd",,"*H",$A$3,_xll.ESFldID(B$5,$B$3),$B$3,,$A83)</f>
        <v>221.55</v>
      </c>
      <c r="C83" s="95">
        <f>RTD("esrtd",,"*H",$A$3,_xll.ESFldID(C$5,$B$3),$B$3,,$A83)</f>
        <v>221.55</v>
      </c>
      <c r="D83" s="95">
        <f>RTD("esrtd",,"*H",$A$3,_xll.ESFldID(D$5,$B$3),$B$3,,$A83)</f>
        <v>221.45</v>
      </c>
      <c r="E83" s="95">
        <f>RTD("esrtd",,"*H",$A$3,_xll.ESFldID(E$5,$B$3),$B$3,,$A83)</f>
        <v>221.55</v>
      </c>
      <c r="F83" s="95">
        <f>RTD("esrtd",,"*H",$A$3,_xll.ESFldID(F$5,$B$3),$B$3,,$A83)</f>
        <v>77147</v>
      </c>
      <c r="G83" s="97">
        <f>RTD("esrtd",,"*H",$A$3,_xll.ESFldID(G$5,$B$3),$B$3,,$A83)</f>
        <v>42929.626388888886</v>
      </c>
      <c r="H83" s="98">
        <f>RTD("esrtd",,"*H",$A$3,_xll.ESFldID(H$5,$B$3),$B$3,,$A83)</f>
        <v>42929.541666666664</v>
      </c>
      <c r="I83" s="97">
        <f>RTD("esrtd",,"*H",$A$3,_xll.ESFldID(I$5,$B$3),$B$3,,$A83)</f>
        <v>42929.626388888886</v>
      </c>
    </row>
    <row r="84" spans="1:9" x14ac:dyDescent="0.25">
      <c r="A84" s="94">
        <v>26</v>
      </c>
      <c r="B84" s="95">
        <f>RTD("esrtd",,"*H",$A$3,_xll.ESFldID(B$5,$B$3),$B$3,,$A84)</f>
        <v>221.5</v>
      </c>
      <c r="C84" s="95">
        <f>RTD("esrtd",,"*H",$A$3,_xll.ESFldID(C$5,$B$3),$B$3,,$A84)</f>
        <v>221.5</v>
      </c>
      <c r="D84" s="95">
        <f>RTD("esrtd",,"*H",$A$3,_xll.ESFldID(D$5,$B$3),$B$3,,$A84)</f>
        <v>221.5</v>
      </c>
      <c r="E84" s="95">
        <f>RTD("esrtd",,"*H",$A$3,_xll.ESFldID(E$5,$B$3),$B$3,,$A84)</f>
        <v>221.5</v>
      </c>
      <c r="F84" s="95">
        <f>RTD("esrtd",,"*H",$A$3,_xll.ESFldID(F$5,$B$3),$B$3,,$A84)</f>
        <v>11224</v>
      </c>
      <c r="G84" s="97">
        <f>RTD("esrtd",,"*H",$A$3,_xll.ESFldID(G$5,$B$3),$B$3,,$A84)</f>
        <v>42929.627083333333</v>
      </c>
      <c r="H84" s="98">
        <f>RTD("esrtd",,"*H",$A$3,_xll.ESFldID(H$5,$B$3),$B$3,,$A84)</f>
        <v>42929.541666666664</v>
      </c>
      <c r="I84" s="97">
        <f>RTD("esrtd",,"*H",$A$3,_xll.ESFldID(I$5,$B$3),$B$3,,$A84)</f>
        <v>42929.627083333333</v>
      </c>
    </row>
    <row r="85" spans="1:9" x14ac:dyDescent="0.25">
      <c r="A85" s="94">
        <v>25</v>
      </c>
      <c r="B85" s="95">
        <f>RTD("esrtd",,"*H",$A$3,_xll.ESFldID(B$5,$B$3),$B$3,,$A85)</f>
        <v>221.5</v>
      </c>
      <c r="C85" s="95">
        <f>RTD("esrtd",,"*H",$A$3,_xll.ESFldID(C$5,$B$3),$B$3,,$A85)</f>
        <v>221.5</v>
      </c>
      <c r="D85" s="95">
        <f>RTD("esrtd",,"*H",$A$3,_xll.ESFldID(D$5,$B$3),$B$3,,$A85)</f>
        <v>221.5</v>
      </c>
      <c r="E85" s="95">
        <f>RTD("esrtd",,"*H",$A$3,_xll.ESFldID(E$5,$B$3),$B$3,,$A85)</f>
        <v>221.5</v>
      </c>
      <c r="F85" s="95">
        <f>RTD("esrtd",,"*H",$A$3,_xll.ESFldID(F$5,$B$3),$B$3,,$A85)</f>
        <v>4822</v>
      </c>
      <c r="G85" s="97">
        <f>RTD("esrtd",,"*H",$A$3,_xll.ESFldID(G$5,$B$3),$B$3,,$A85)</f>
        <v>42929.62777777778</v>
      </c>
      <c r="H85" s="98">
        <f>RTD("esrtd",,"*H",$A$3,_xll.ESFldID(H$5,$B$3),$B$3,,$A85)</f>
        <v>42929.541666666664</v>
      </c>
      <c r="I85" s="97">
        <f>RTD("esrtd",,"*H",$A$3,_xll.ESFldID(I$5,$B$3),$B$3,,$A85)</f>
        <v>42929.62777777778</v>
      </c>
    </row>
    <row r="86" spans="1:9" x14ac:dyDescent="0.25">
      <c r="A86" s="94">
        <v>24</v>
      </c>
      <c r="B86" s="95">
        <f>RTD("esrtd",,"*H",$A$3,_xll.ESFldID(B$5,$B$3),$B$3,,$A86)</f>
        <v>221.45</v>
      </c>
      <c r="C86" s="95">
        <f>RTD("esrtd",,"*H",$A$3,_xll.ESFldID(C$5,$B$3),$B$3,,$A86)</f>
        <v>221.3</v>
      </c>
      <c r="D86" s="95">
        <f>RTD("esrtd",,"*H",$A$3,_xll.ESFldID(D$5,$B$3),$B$3,,$A86)</f>
        <v>221.3</v>
      </c>
      <c r="E86" s="95">
        <f>RTD("esrtd",,"*H",$A$3,_xll.ESFldID(E$5,$B$3),$B$3,,$A86)</f>
        <v>221.45</v>
      </c>
      <c r="F86" s="95">
        <f>RTD("esrtd",,"*H",$A$3,_xll.ESFldID(F$5,$B$3),$B$3,,$A86)</f>
        <v>42402</v>
      </c>
      <c r="G86" s="97">
        <f>RTD("esrtd",,"*H",$A$3,_xll.ESFldID(G$5,$B$3),$B$3,,$A86)</f>
        <v>42929.628472222219</v>
      </c>
      <c r="H86" s="98">
        <f>RTD("esrtd",,"*H",$A$3,_xll.ESFldID(H$5,$B$3),$B$3,,$A86)</f>
        <v>42929.541666666664</v>
      </c>
      <c r="I86" s="97">
        <f>RTD("esrtd",,"*H",$A$3,_xll.ESFldID(I$5,$B$3),$B$3,,$A86)</f>
        <v>42929.628472222219</v>
      </c>
    </row>
    <row r="87" spans="1:9" x14ac:dyDescent="0.25">
      <c r="A87" s="94">
        <v>23</v>
      </c>
      <c r="B87" s="95">
        <f>RTD("esrtd",,"*H",$A$3,_xll.ESFldID(B$5,$B$3),$B$3,,$A87)</f>
        <v>221.35</v>
      </c>
      <c r="C87" s="95">
        <f>RTD("esrtd",,"*H",$A$3,_xll.ESFldID(C$5,$B$3),$B$3,,$A87)</f>
        <v>221.25</v>
      </c>
      <c r="D87" s="95">
        <f>RTD("esrtd",,"*H",$A$3,_xll.ESFldID(D$5,$B$3),$B$3,,$A87)</f>
        <v>221.25</v>
      </c>
      <c r="E87" s="95">
        <f>RTD("esrtd",,"*H",$A$3,_xll.ESFldID(E$5,$B$3),$B$3,,$A87)</f>
        <v>221.35</v>
      </c>
      <c r="F87" s="95">
        <f>RTD("esrtd",,"*H",$A$3,_xll.ESFldID(F$5,$B$3),$B$3,,$A87)</f>
        <v>41280</v>
      </c>
      <c r="G87" s="97">
        <f>RTD("esrtd",,"*H",$A$3,_xll.ESFldID(G$5,$B$3),$B$3,,$A87)</f>
        <v>42929.629166666666</v>
      </c>
      <c r="H87" s="98">
        <f>RTD("esrtd",,"*H",$A$3,_xll.ESFldID(H$5,$B$3),$B$3,,$A87)</f>
        <v>42929.541666666664</v>
      </c>
      <c r="I87" s="97">
        <f>RTD("esrtd",,"*H",$A$3,_xll.ESFldID(I$5,$B$3),$B$3,,$A87)</f>
        <v>42929.629166666666</v>
      </c>
    </row>
    <row r="88" spans="1:9" x14ac:dyDescent="0.25">
      <c r="A88" s="94">
        <v>22</v>
      </c>
      <c r="B88" s="95">
        <f>RTD("esrtd",,"*H",$A$3,_xll.ESFldID(B$5,$B$3),$B$3,,$A88)</f>
        <v>221.25</v>
      </c>
      <c r="C88" s="95">
        <f>RTD("esrtd",,"*H",$A$3,_xll.ESFldID(C$5,$B$3),$B$3,,$A88)</f>
        <v>221.2</v>
      </c>
      <c r="D88" s="95">
        <f>RTD("esrtd",,"*H",$A$3,_xll.ESFldID(D$5,$B$3),$B$3,,$A88)</f>
        <v>221.2</v>
      </c>
      <c r="E88" s="95">
        <f>RTD("esrtd",,"*H",$A$3,_xll.ESFldID(E$5,$B$3),$B$3,,$A88)</f>
        <v>221.25</v>
      </c>
      <c r="F88" s="95">
        <f>RTD("esrtd",,"*H",$A$3,_xll.ESFldID(F$5,$B$3),$B$3,,$A88)</f>
        <v>123969</v>
      </c>
      <c r="G88" s="97">
        <f>RTD("esrtd",,"*H",$A$3,_xll.ESFldID(G$5,$B$3),$B$3,,$A88)</f>
        <v>42929.629861111112</v>
      </c>
      <c r="H88" s="98">
        <f>RTD("esrtd",,"*H",$A$3,_xll.ESFldID(H$5,$B$3),$B$3,,$A88)</f>
        <v>42929.541666666664</v>
      </c>
      <c r="I88" s="97">
        <f>RTD("esrtd",,"*H",$A$3,_xll.ESFldID(I$5,$B$3),$B$3,,$A88)</f>
        <v>42929.629861111112</v>
      </c>
    </row>
    <row r="89" spans="1:9" x14ac:dyDescent="0.25">
      <c r="A89" s="94">
        <v>21</v>
      </c>
      <c r="B89" s="95">
        <f>RTD("esrtd",,"*H",$A$3,_xll.ESFldID(B$5,$B$3),$B$3,,$A89)</f>
        <v>221.3</v>
      </c>
      <c r="C89" s="95">
        <f>RTD("esrtd",,"*H",$A$3,_xll.ESFldID(C$5,$B$3),$B$3,,$A89)</f>
        <v>221.3</v>
      </c>
      <c r="D89" s="95">
        <f>RTD("esrtd",,"*H",$A$3,_xll.ESFldID(D$5,$B$3),$B$3,,$A89)</f>
        <v>221.25</v>
      </c>
      <c r="E89" s="95">
        <f>RTD("esrtd",,"*H",$A$3,_xll.ESFldID(E$5,$B$3),$B$3,,$A89)</f>
        <v>221.25</v>
      </c>
      <c r="F89" s="95">
        <f>RTD("esrtd",,"*H",$A$3,_xll.ESFldID(F$5,$B$3),$B$3,,$A89)</f>
        <v>30900</v>
      </c>
      <c r="G89" s="97">
        <f>RTD("esrtd",,"*H",$A$3,_xll.ESFldID(G$5,$B$3),$B$3,,$A89)</f>
        <v>42929.630555555559</v>
      </c>
      <c r="H89" s="98">
        <f>RTD("esrtd",,"*H",$A$3,_xll.ESFldID(H$5,$B$3),$B$3,,$A89)</f>
        <v>42929.541666666664</v>
      </c>
      <c r="I89" s="97">
        <f>RTD("esrtd",,"*H",$A$3,_xll.ESFldID(I$5,$B$3),$B$3,,$A89)</f>
        <v>42929.630555555559</v>
      </c>
    </row>
    <row r="90" spans="1:9" x14ac:dyDescent="0.25">
      <c r="A90" s="94">
        <v>20</v>
      </c>
      <c r="B90" s="95">
        <f>RTD("esrtd",,"*H",$A$3,_xll.ESFldID(B$5,$B$3),$B$3,,$A90)</f>
        <v>221.3</v>
      </c>
      <c r="C90" s="95">
        <f>RTD("esrtd",,"*H",$A$3,_xll.ESFldID(C$5,$B$3),$B$3,,$A90)</f>
        <v>221.3</v>
      </c>
      <c r="D90" s="95">
        <f>RTD("esrtd",,"*H",$A$3,_xll.ESFldID(D$5,$B$3),$B$3,,$A90)</f>
        <v>221.3</v>
      </c>
      <c r="E90" s="95">
        <f>RTD("esrtd",,"*H",$A$3,_xll.ESFldID(E$5,$B$3),$B$3,,$A90)</f>
        <v>221.3</v>
      </c>
      <c r="F90" s="95">
        <f>RTD("esrtd",,"*H",$A$3,_xll.ESFldID(F$5,$B$3),$B$3,,$A90)</f>
        <v>1500</v>
      </c>
      <c r="G90" s="97">
        <f>RTD("esrtd",,"*H",$A$3,_xll.ESFldID(G$5,$B$3),$B$3,,$A90)</f>
        <v>42929.631249999999</v>
      </c>
      <c r="H90" s="98">
        <f>RTD("esrtd",,"*H",$A$3,_xll.ESFldID(H$5,$B$3),$B$3,,$A90)</f>
        <v>42929.541666666664</v>
      </c>
      <c r="I90" s="97">
        <f>RTD("esrtd",,"*H",$A$3,_xll.ESFldID(I$5,$B$3),$B$3,,$A90)</f>
        <v>42929.631249999999</v>
      </c>
    </row>
    <row r="91" spans="1:9" x14ac:dyDescent="0.25">
      <c r="A91" s="94">
        <v>19</v>
      </c>
      <c r="B91" s="95">
        <f>RTD("esrtd",,"*H",$A$3,_xll.ESFldID(B$5,$B$3),$B$3,,$A91)</f>
        <v>221.3</v>
      </c>
      <c r="C91" s="95">
        <f>RTD("esrtd",,"*H",$A$3,_xll.ESFldID(C$5,$B$3),$B$3,,$A91)</f>
        <v>221.25</v>
      </c>
      <c r="D91" s="95">
        <f>RTD("esrtd",,"*H",$A$3,_xll.ESFldID(D$5,$B$3),$B$3,,$A91)</f>
        <v>221.25</v>
      </c>
      <c r="E91" s="95">
        <f>RTD("esrtd",,"*H",$A$3,_xll.ESFldID(E$5,$B$3),$B$3,,$A91)</f>
        <v>221.3</v>
      </c>
      <c r="F91" s="95">
        <f>RTD("esrtd",,"*H",$A$3,_xll.ESFldID(F$5,$B$3),$B$3,,$A91)</f>
        <v>6567</v>
      </c>
      <c r="G91" s="97">
        <f>RTD("esrtd",,"*H",$A$3,_xll.ESFldID(G$5,$B$3),$B$3,,$A91)</f>
        <v>42929.631944444445</v>
      </c>
      <c r="H91" s="98">
        <f>RTD("esrtd",,"*H",$A$3,_xll.ESFldID(H$5,$B$3),$B$3,,$A91)</f>
        <v>42929.541666666664</v>
      </c>
      <c r="I91" s="97">
        <f>RTD("esrtd",,"*H",$A$3,_xll.ESFldID(I$5,$B$3),$B$3,,$A91)</f>
        <v>42929.631944444445</v>
      </c>
    </row>
    <row r="92" spans="1:9" x14ac:dyDescent="0.25">
      <c r="A92" s="94">
        <v>18</v>
      </c>
      <c r="B92" s="95">
        <f>RTD("esrtd",,"*H",$A$3,_xll.ESFldID(B$5,$B$3),$B$3,,$A92)</f>
        <v>221.25</v>
      </c>
      <c r="C92" s="95">
        <f>RTD("esrtd",,"*H",$A$3,_xll.ESFldID(C$5,$B$3),$B$3,,$A92)</f>
        <v>221.25</v>
      </c>
      <c r="D92" s="95">
        <f>RTD("esrtd",,"*H",$A$3,_xll.ESFldID(D$5,$B$3),$B$3,,$A92)</f>
        <v>221.25</v>
      </c>
      <c r="E92" s="95">
        <f>RTD("esrtd",,"*H",$A$3,_xll.ESFldID(E$5,$B$3),$B$3,,$A92)</f>
        <v>221.25</v>
      </c>
      <c r="F92" s="95">
        <f>RTD("esrtd",,"*H",$A$3,_xll.ESFldID(F$5,$B$3),$B$3,,$A92)</f>
        <v>11292</v>
      </c>
      <c r="G92" s="97">
        <f>RTD("esrtd",,"*H",$A$3,_xll.ESFldID(G$5,$B$3),$B$3,,$A92)</f>
        <v>42929.632638888892</v>
      </c>
      <c r="H92" s="98">
        <f>RTD("esrtd",,"*H",$A$3,_xll.ESFldID(H$5,$B$3),$B$3,,$A92)</f>
        <v>42929.541666666664</v>
      </c>
      <c r="I92" s="97">
        <f>RTD("esrtd",,"*H",$A$3,_xll.ESFldID(I$5,$B$3),$B$3,,$A92)</f>
        <v>42929.632638888892</v>
      </c>
    </row>
    <row r="93" spans="1:9" x14ac:dyDescent="0.25">
      <c r="A93" s="94">
        <v>17</v>
      </c>
      <c r="B93" s="95">
        <f>RTD("esrtd",,"*H",$A$3,_xll.ESFldID(B$5,$B$3),$B$3,,$A93)</f>
        <v>221.25</v>
      </c>
      <c r="C93" s="95">
        <f>RTD("esrtd",,"*H",$A$3,_xll.ESFldID(C$5,$B$3),$B$3,,$A93)</f>
        <v>221.2</v>
      </c>
      <c r="D93" s="95">
        <f>RTD("esrtd",,"*H",$A$3,_xll.ESFldID(D$5,$B$3),$B$3,,$A93)</f>
        <v>221.2</v>
      </c>
      <c r="E93" s="95">
        <f>RTD("esrtd",,"*H",$A$3,_xll.ESFldID(E$5,$B$3),$B$3,,$A93)</f>
        <v>221.2</v>
      </c>
      <c r="F93" s="95">
        <f>RTD("esrtd",,"*H",$A$3,_xll.ESFldID(F$5,$B$3),$B$3,,$A93)</f>
        <v>271890</v>
      </c>
      <c r="G93" s="97">
        <f>RTD("esrtd",,"*H",$A$3,_xll.ESFldID(G$5,$B$3),$B$3,,$A93)</f>
        <v>42929.633333333331</v>
      </c>
      <c r="H93" s="98">
        <f>RTD("esrtd",,"*H",$A$3,_xll.ESFldID(H$5,$B$3),$B$3,,$A93)</f>
        <v>42929.541666666664</v>
      </c>
      <c r="I93" s="97">
        <f>RTD("esrtd",,"*H",$A$3,_xll.ESFldID(I$5,$B$3),$B$3,,$A93)</f>
        <v>42929.633333333331</v>
      </c>
    </row>
    <row r="94" spans="1:9" x14ac:dyDescent="0.25">
      <c r="A94" s="94">
        <v>16</v>
      </c>
      <c r="B94" s="95">
        <f>RTD("esrtd",,"*H",$A$3,_xll.ESFldID(B$5,$B$3),$B$3,,$A94)</f>
        <v>221.15</v>
      </c>
      <c r="C94" s="95">
        <f>RTD("esrtd",,"*H",$A$3,_xll.ESFldID(C$5,$B$3),$B$3,,$A94)</f>
        <v>221.05</v>
      </c>
      <c r="D94" s="95">
        <f>RTD("esrtd",,"*H",$A$3,_xll.ESFldID(D$5,$B$3),$B$3,,$A94)</f>
        <v>221.05</v>
      </c>
      <c r="E94" s="95">
        <f>RTD("esrtd",,"*H",$A$3,_xll.ESFldID(E$5,$B$3),$B$3,,$A94)</f>
        <v>221.15</v>
      </c>
      <c r="F94" s="95">
        <f>RTD("esrtd",,"*H",$A$3,_xll.ESFldID(F$5,$B$3),$B$3,,$A94)</f>
        <v>77269</v>
      </c>
      <c r="G94" s="97">
        <f>RTD("esrtd",,"*H",$A$3,_xll.ESFldID(G$5,$B$3),$B$3,,$A94)</f>
        <v>42929.634027777778</v>
      </c>
      <c r="H94" s="98">
        <f>RTD("esrtd",,"*H",$A$3,_xll.ESFldID(H$5,$B$3),$B$3,,$A94)</f>
        <v>42929.541666666664</v>
      </c>
      <c r="I94" s="97">
        <f>RTD("esrtd",,"*H",$A$3,_xll.ESFldID(I$5,$B$3),$B$3,,$A94)</f>
        <v>42929.634027777778</v>
      </c>
    </row>
    <row r="95" spans="1:9" x14ac:dyDescent="0.25">
      <c r="A95" s="94">
        <v>15</v>
      </c>
      <c r="B95" s="95">
        <f>RTD("esrtd",,"*H",$A$3,_xll.ESFldID(B$5,$B$3),$B$3,,$A95)</f>
        <v>221.05</v>
      </c>
      <c r="C95" s="95">
        <f>RTD("esrtd",,"*H",$A$3,_xll.ESFldID(C$5,$B$3),$B$3,,$A95)</f>
        <v>221.05</v>
      </c>
      <c r="D95" s="95">
        <f>RTD("esrtd",,"*H",$A$3,_xll.ESFldID(D$5,$B$3),$B$3,,$A95)</f>
        <v>221.05</v>
      </c>
      <c r="E95" s="95">
        <f>RTD("esrtd",,"*H",$A$3,_xll.ESFldID(E$5,$B$3),$B$3,,$A95)</f>
        <v>221.05</v>
      </c>
      <c r="F95" s="95">
        <f>RTD("esrtd",,"*H",$A$3,_xll.ESFldID(F$5,$B$3),$B$3,,$A95)</f>
        <v>8120</v>
      </c>
      <c r="G95" s="97">
        <f>RTD("esrtd",,"*H",$A$3,_xll.ESFldID(G$5,$B$3),$B$3,,$A95)</f>
        <v>42929.634722222225</v>
      </c>
      <c r="H95" s="98">
        <f>RTD("esrtd",,"*H",$A$3,_xll.ESFldID(H$5,$B$3),$B$3,,$A95)</f>
        <v>42929.541666666664</v>
      </c>
      <c r="I95" s="97">
        <f>RTD("esrtd",,"*H",$A$3,_xll.ESFldID(I$5,$B$3),$B$3,,$A95)</f>
        <v>42929.634722222225</v>
      </c>
    </row>
    <row r="96" spans="1:9" x14ac:dyDescent="0.25">
      <c r="A96" s="94">
        <v>14</v>
      </c>
      <c r="B96" s="95">
        <f>RTD("esrtd",,"*H",$A$3,_xll.ESFldID(B$5,$B$3),$B$3,,$A96)</f>
        <v>221</v>
      </c>
      <c r="C96" s="95">
        <f>RTD("esrtd",,"*H",$A$3,_xll.ESFldID(C$5,$B$3),$B$3,,$A96)</f>
        <v>220.95</v>
      </c>
      <c r="D96" s="95">
        <f>RTD("esrtd",,"*H",$A$3,_xll.ESFldID(D$5,$B$3),$B$3,,$A96)</f>
        <v>220.95</v>
      </c>
      <c r="E96" s="95">
        <f>RTD("esrtd",,"*H",$A$3,_xll.ESFldID(E$5,$B$3),$B$3,,$A96)</f>
        <v>221</v>
      </c>
      <c r="F96" s="95">
        <f>RTD("esrtd",,"*H",$A$3,_xll.ESFldID(F$5,$B$3),$B$3,,$A96)</f>
        <v>125769</v>
      </c>
      <c r="G96" s="97">
        <f>RTD("esrtd",,"*H",$A$3,_xll.ESFldID(G$5,$B$3),$B$3,,$A96)</f>
        <v>42929.635416666664</v>
      </c>
      <c r="H96" s="98">
        <f>RTD("esrtd",,"*H",$A$3,_xll.ESFldID(H$5,$B$3),$B$3,,$A96)</f>
        <v>42929.541666666664</v>
      </c>
      <c r="I96" s="97">
        <f>RTD("esrtd",,"*H",$A$3,_xll.ESFldID(I$5,$B$3),$B$3,,$A96)</f>
        <v>42929.635416666664</v>
      </c>
    </row>
    <row r="97" spans="1:9" x14ac:dyDescent="0.25">
      <c r="A97" s="94">
        <v>13</v>
      </c>
      <c r="B97" s="95">
        <f>RTD("esrtd",,"*H",$A$3,_xll.ESFldID(B$5,$B$3),$B$3,,$A97)</f>
        <v>220.95</v>
      </c>
      <c r="C97" s="95">
        <f>RTD("esrtd",,"*H",$A$3,_xll.ESFldID(C$5,$B$3),$B$3,,$A97)</f>
        <v>220.85</v>
      </c>
      <c r="D97" s="95">
        <f>RTD("esrtd",,"*H",$A$3,_xll.ESFldID(D$5,$B$3),$B$3,,$A97)</f>
        <v>220.8</v>
      </c>
      <c r="E97" s="95">
        <f>RTD("esrtd",,"*H",$A$3,_xll.ESFldID(E$5,$B$3),$B$3,,$A97)</f>
        <v>220.95</v>
      </c>
      <c r="F97" s="95">
        <f>RTD("esrtd",,"*H",$A$3,_xll.ESFldID(F$5,$B$3),$B$3,,$A97)</f>
        <v>106157</v>
      </c>
      <c r="G97" s="97">
        <f>RTD("esrtd",,"*H",$A$3,_xll.ESFldID(G$5,$B$3),$B$3,,$A97)</f>
        <v>42929.636111111111</v>
      </c>
      <c r="H97" s="98">
        <f>RTD("esrtd",,"*H",$A$3,_xll.ESFldID(H$5,$B$3),$B$3,,$A97)</f>
        <v>42929.541666666664</v>
      </c>
      <c r="I97" s="97">
        <f>RTD("esrtd",,"*H",$A$3,_xll.ESFldID(I$5,$B$3),$B$3,,$A97)</f>
        <v>42929.636111111111</v>
      </c>
    </row>
    <row r="98" spans="1:9" x14ac:dyDescent="0.25">
      <c r="A98" s="94">
        <v>12</v>
      </c>
      <c r="B98" s="95">
        <f>RTD("esrtd",,"*H",$A$3,_xll.ESFldID(B$5,$B$3),$B$3,,$A98)</f>
        <v>220.85</v>
      </c>
      <c r="C98" s="95">
        <f>RTD("esrtd",,"*H",$A$3,_xll.ESFldID(C$5,$B$3),$B$3,,$A98)</f>
        <v>220.75</v>
      </c>
      <c r="D98" s="95">
        <f>RTD("esrtd",,"*H",$A$3,_xll.ESFldID(D$5,$B$3),$B$3,,$A98)</f>
        <v>220.7</v>
      </c>
      <c r="E98" s="95">
        <f>RTD("esrtd",,"*H",$A$3,_xll.ESFldID(E$5,$B$3),$B$3,,$A98)</f>
        <v>220.85</v>
      </c>
      <c r="F98" s="95">
        <f>RTD("esrtd",,"*H",$A$3,_xll.ESFldID(F$5,$B$3),$B$3,,$A98)</f>
        <v>322155</v>
      </c>
      <c r="G98" s="97">
        <f>RTD("esrtd",,"*H",$A$3,_xll.ESFldID(G$5,$B$3),$B$3,,$A98)</f>
        <v>42929.636805555558</v>
      </c>
      <c r="H98" s="98">
        <f>RTD("esrtd",,"*H",$A$3,_xll.ESFldID(H$5,$B$3),$B$3,,$A98)</f>
        <v>42929.541666666664</v>
      </c>
      <c r="I98" s="97">
        <f>RTD("esrtd",,"*H",$A$3,_xll.ESFldID(I$5,$B$3),$B$3,,$A98)</f>
        <v>42929.636805555558</v>
      </c>
    </row>
    <row r="99" spans="1:9" x14ac:dyDescent="0.25">
      <c r="A99" s="94">
        <v>11</v>
      </c>
      <c r="B99" s="95">
        <f>RTD("esrtd",,"*H",$A$3,_xll.ESFldID(B$5,$B$3),$B$3,,$A99)</f>
        <v>220.8</v>
      </c>
      <c r="C99" s="95">
        <f>RTD("esrtd",,"*H",$A$3,_xll.ESFldID(C$5,$B$3),$B$3,,$A99)</f>
        <v>220.6</v>
      </c>
      <c r="D99" s="95">
        <f>RTD("esrtd",,"*H",$A$3,_xll.ESFldID(D$5,$B$3),$B$3,,$A99)</f>
        <v>220.6</v>
      </c>
      <c r="E99" s="95">
        <f>RTD("esrtd",,"*H",$A$3,_xll.ESFldID(E$5,$B$3),$B$3,,$A99)</f>
        <v>220.75</v>
      </c>
      <c r="F99" s="95">
        <f>RTD("esrtd",,"*H",$A$3,_xll.ESFldID(F$5,$B$3),$B$3,,$A99)</f>
        <v>310269</v>
      </c>
      <c r="G99" s="97">
        <f>RTD("esrtd",,"*H",$A$3,_xll.ESFldID(G$5,$B$3),$B$3,,$A99)</f>
        <v>42929.637499999997</v>
      </c>
      <c r="H99" s="98">
        <f>RTD("esrtd",,"*H",$A$3,_xll.ESFldID(H$5,$B$3),$B$3,,$A99)</f>
        <v>42929.541666666664</v>
      </c>
      <c r="I99" s="97">
        <f>RTD("esrtd",,"*H",$A$3,_xll.ESFldID(I$5,$B$3),$B$3,,$A99)</f>
        <v>42929.637499999997</v>
      </c>
    </row>
    <row r="100" spans="1:9" x14ac:dyDescent="0.25">
      <c r="A100" s="94">
        <v>10</v>
      </c>
      <c r="B100" s="95">
        <f>RTD("esrtd",,"*H",$A$3,_xll.ESFldID(B$5,$B$3),$B$3,,$A100)</f>
        <v>220.8</v>
      </c>
      <c r="C100" s="95">
        <f>RTD("esrtd",,"*H",$A$3,_xll.ESFldID(C$5,$B$3),$B$3,,$A100)</f>
        <v>220.5</v>
      </c>
      <c r="D100" s="95">
        <f>RTD("esrtd",,"*H",$A$3,_xll.ESFldID(D$5,$B$3),$B$3,,$A100)</f>
        <v>220.5</v>
      </c>
      <c r="E100" s="95">
        <f>RTD("esrtd",,"*H",$A$3,_xll.ESFldID(E$5,$B$3),$B$3,,$A100)</f>
        <v>220.6</v>
      </c>
      <c r="F100" s="95">
        <f>RTD("esrtd",,"*H",$A$3,_xll.ESFldID(F$5,$B$3),$B$3,,$A100)</f>
        <v>367739</v>
      </c>
      <c r="G100" s="97">
        <f>RTD("esrtd",,"*H",$A$3,_xll.ESFldID(G$5,$B$3),$B$3,,$A100)</f>
        <v>42929.638194444444</v>
      </c>
      <c r="H100" s="98">
        <f>RTD("esrtd",,"*H",$A$3,_xll.ESFldID(H$5,$B$3),$B$3,,$A100)</f>
        <v>42929.541666666664</v>
      </c>
      <c r="I100" s="97">
        <f>RTD("esrtd",,"*H",$A$3,_xll.ESFldID(I$5,$B$3),$B$3,,$A100)</f>
        <v>42929.638194444444</v>
      </c>
    </row>
    <row r="101" spans="1:9" x14ac:dyDescent="0.25">
      <c r="A101" s="94">
        <v>9</v>
      </c>
      <c r="B101" s="95">
        <f>RTD("esrtd",,"*H",$A$3,_xll.ESFldID(B$5,$B$3),$B$3,,$A101)</f>
        <v>220.55</v>
      </c>
      <c r="C101" s="95">
        <f>RTD("esrtd",,"*H",$A$3,_xll.ESFldID(C$5,$B$3),$B$3,,$A101)</f>
        <v>220.5</v>
      </c>
      <c r="D101" s="95">
        <f>RTD("esrtd",,"*H",$A$3,_xll.ESFldID(D$5,$B$3),$B$3,,$A101)</f>
        <v>220.5</v>
      </c>
      <c r="E101" s="95">
        <f>RTD("esrtd",,"*H",$A$3,_xll.ESFldID(E$5,$B$3),$B$3,,$A101)</f>
        <v>220.5</v>
      </c>
      <c r="F101" s="95">
        <f>RTD("esrtd",,"*H",$A$3,_xll.ESFldID(F$5,$B$3),$B$3,,$A101)</f>
        <v>101257</v>
      </c>
      <c r="G101" s="97">
        <f>RTD("esrtd",,"*H",$A$3,_xll.ESFldID(G$5,$B$3),$B$3,,$A101)</f>
        <v>42929.638888888891</v>
      </c>
      <c r="H101" s="98">
        <f>RTD("esrtd",,"*H",$A$3,_xll.ESFldID(H$5,$B$3),$B$3,,$A101)</f>
        <v>42929.541666666664</v>
      </c>
      <c r="I101" s="97">
        <f>RTD("esrtd",,"*H",$A$3,_xll.ESFldID(I$5,$B$3),$B$3,,$A101)</f>
        <v>42929.638888888891</v>
      </c>
    </row>
    <row r="102" spans="1:9" x14ac:dyDescent="0.25">
      <c r="A102" s="94">
        <v>8</v>
      </c>
      <c r="B102" s="95">
        <f>RTD("esrtd",,"*H",$A$3,_xll.ESFldID(B$5,$B$3),$B$3,,$A102)</f>
        <v>220.5</v>
      </c>
      <c r="C102" s="95">
        <f>RTD("esrtd",,"*H",$A$3,_xll.ESFldID(C$5,$B$3),$B$3,,$A102)</f>
        <v>220.4</v>
      </c>
      <c r="D102" s="95">
        <f>RTD("esrtd",,"*H",$A$3,_xll.ESFldID(D$5,$B$3),$B$3,,$A102)</f>
        <v>220.4</v>
      </c>
      <c r="E102" s="95">
        <f>RTD("esrtd",,"*H",$A$3,_xll.ESFldID(E$5,$B$3),$B$3,,$A102)</f>
        <v>220.5</v>
      </c>
      <c r="F102" s="95">
        <f>RTD("esrtd",,"*H",$A$3,_xll.ESFldID(F$5,$B$3),$B$3,,$A102)</f>
        <v>49575</v>
      </c>
      <c r="G102" s="97">
        <f>RTD("esrtd",,"*H",$A$3,_xll.ESFldID(G$5,$B$3),$B$3,,$A102)</f>
        <v>42929.63958333333</v>
      </c>
      <c r="H102" s="98">
        <f>RTD("esrtd",,"*H",$A$3,_xll.ESFldID(H$5,$B$3),$B$3,,$A102)</f>
        <v>42929.541666666664</v>
      </c>
      <c r="I102" s="97">
        <f>RTD("esrtd",,"*H",$A$3,_xll.ESFldID(I$5,$B$3),$B$3,,$A102)</f>
        <v>42929.63958333333</v>
      </c>
    </row>
    <row r="103" spans="1:9" x14ac:dyDescent="0.25">
      <c r="A103" s="94">
        <v>7</v>
      </c>
      <c r="B103" s="95">
        <f>RTD("esrtd",,"*H",$A$3,_xll.ESFldID(B$5,$B$3),$B$3,,$A103)</f>
        <v>220.6</v>
      </c>
      <c r="C103" s="95">
        <f>RTD("esrtd",,"*H",$A$3,_xll.ESFldID(C$5,$B$3),$B$3,,$A103)</f>
        <v>220.6</v>
      </c>
      <c r="D103" s="95">
        <f>RTD("esrtd",,"*H",$A$3,_xll.ESFldID(D$5,$B$3),$B$3,,$A103)</f>
        <v>220.45</v>
      </c>
      <c r="E103" s="95">
        <f>RTD("esrtd",,"*H",$A$3,_xll.ESFldID(E$5,$B$3),$B$3,,$A103)</f>
        <v>220.45</v>
      </c>
      <c r="F103" s="95">
        <f>RTD("esrtd",,"*H",$A$3,_xll.ESFldID(F$5,$B$3),$B$3,,$A103)</f>
        <v>88366</v>
      </c>
      <c r="G103" s="97">
        <f>RTD("esrtd",,"*H",$A$3,_xll.ESFldID(G$5,$B$3),$B$3,,$A103)</f>
        <v>42929.640277777777</v>
      </c>
      <c r="H103" s="98">
        <f>RTD("esrtd",,"*H",$A$3,_xll.ESFldID(H$5,$B$3),$B$3,,$A103)</f>
        <v>42929.541666666664</v>
      </c>
      <c r="I103" s="97">
        <f>RTD("esrtd",,"*H",$A$3,_xll.ESFldID(I$5,$B$3),$B$3,,$A103)</f>
        <v>42929.640277777777</v>
      </c>
    </row>
    <row r="104" spans="1:9" x14ac:dyDescent="0.25">
      <c r="A104" s="94">
        <v>6</v>
      </c>
      <c r="B104" s="95">
        <f>RTD("esrtd",,"*H",$A$3,_xll.ESFldID(B$5,$B$3),$B$3,,$A104)</f>
        <v>220.65</v>
      </c>
      <c r="C104" s="95">
        <f>RTD("esrtd",,"*H",$A$3,_xll.ESFldID(C$5,$B$3),$B$3,,$A104)</f>
        <v>220.6</v>
      </c>
      <c r="D104" s="95">
        <f>RTD("esrtd",,"*H",$A$3,_xll.ESFldID(D$5,$B$3),$B$3,,$A104)</f>
        <v>220.6</v>
      </c>
      <c r="E104" s="95">
        <f>RTD("esrtd",,"*H",$A$3,_xll.ESFldID(E$5,$B$3),$B$3,,$A104)</f>
        <v>220.6</v>
      </c>
      <c r="F104" s="95">
        <f>RTD("esrtd",,"*H",$A$3,_xll.ESFldID(F$5,$B$3),$B$3,,$A104)</f>
        <v>37131</v>
      </c>
      <c r="G104" s="97">
        <f>RTD("esrtd",,"*H",$A$3,_xll.ESFldID(G$5,$B$3),$B$3,,$A104)</f>
        <v>42929.640972222223</v>
      </c>
      <c r="H104" s="98">
        <f>RTD("esrtd",,"*H",$A$3,_xll.ESFldID(H$5,$B$3),$B$3,,$A104)</f>
        <v>42929.541666666664</v>
      </c>
      <c r="I104" s="97">
        <f>RTD("esrtd",,"*H",$A$3,_xll.ESFldID(I$5,$B$3),$B$3,,$A104)</f>
        <v>42929.640972222223</v>
      </c>
    </row>
    <row r="105" spans="1:9" x14ac:dyDescent="0.25">
      <c r="A105" s="94">
        <v>5</v>
      </c>
      <c r="B105" s="95">
        <f>RTD("esrtd",,"*H",$A$3,_xll.ESFldID(B$5,$B$3),$B$3,,$A105)</f>
        <v>220.65</v>
      </c>
      <c r="C105" s="95">
        <f>RTD("esrtd",,"*H",$A$3,_xll.ESFldID(C$5,$B$3),$B$3,,$A105)</f>
        <v>220.6</v>
      </c>
      <c r="D105" s="95">
        <f>RTD("esrtd",,"*H",$A$3,_xll.ESFldID(D$5,$B$3),$B$3,,$A105)</f>
        <v>220.6</v>
      </c>
      <c r="E105" s="95">
        <f>RTD("esrtd",,"*H",$A$3,_xll.ESFldID(E$5,$B$3),$B$3,,$A105)</f>
        <v>220.65</v>
      </c>
      <c r="F105" s="95">
        <f>RTD("esrtd",,"*H",$A$3,_xll.ESFldID(F$5,$B$3),$B$3,,$A105)</f>
        <v>9583</v>
      </c>
      <c r="G105" s="97">
        <f>RTD("esrtd",,"*H",$A$3,_xll.ESFldID(G$5,$B$3),$B$3,,$A105)</f>
        <v>42929.64166666667</v>
      </c>
      <c r="H105" s="98">
        <f>RTD("esrtd",,"*H",$A$3,_xll.ESFldID(H$5,$B$3),$B$3,,$A105)</f>
        <v>42929.541666666664</v>
      </c>
      <c r="I105" s="97">
        <f>RTD("esrtd",,"*H",$A$3,_xll.ESFldID(I$5,$B$3),$B$3,,$A105)</f>
        <v>42929.64166666667</v>
      </c>
    </row>
    <row r="106" spans="1:9" x14ac:dyDescent="0.25">
      <c r="A106" s="94">
        <v>4</v>
      </c>
      <c r="B106" s="95">
        <f>RTD("esrtd",,"*H",$A$3,_xll.ESFldID(B$5,$B$3),$B$3,,$A106)</f>
        <v>220.6</v>
      </c>
      <c r="C106" s="95">
        <f>RTD("esrtd",,"*H",$A$3,_xll.ESFldID(C$5,$B$3),$B$3,,$A106)</f>
        <v>220.6</v>
      </c>
      <c r="D106" s="95">
        <f>RTD("esrtd",,"*H",$A$3,_xll.ESFldID(D$5,$B$3),$B$3,,$A106)</f>
        <v>220.5</v>
      </c>
      <c r="E106" s="95">
        <f>RTD("esrtd",,"*H",$A$3,_xll.ESFldID(E$5,$B$3),$B$3,,$A106)</f>
        <v>220.6</v>
      </c>
      <c r="F106" s="95">
        <f>RTD("esrtd",,"*H",$A$3,_xll.ESFldID(F$5,$B$3),$B$3,,$A106)</f>
        <v>150811</v>
      </c>
      <c r="G106" s="97">
        <f>RTD("esrtd",,"*H",$A$3,_xll.ESFldID(G$5,$B$3),$B$3,,$A106)</f>
        <v>42929.642361111109</v>
      </c>
      <c r="H106" s="98">
        <f>RTD("esrtd",,"*H",$A$3,_xll.ESFldID(H$5,$B$3),$B$3,,$A106)</f>
        <v>42929.541666666664</v>
      </c>
      <c r="I106" s="97">
        <f>RTD("esrtd",,"*H",$A$3,_xll.ESFldID(I$5,$B$3),$B$3,,$A106)</f>
        <v>42929.642361111109</v>
      </c>
    </row>
    <row r="107" spans="1:9" x14ac:dyDescent="0.25">
      <c r="A107" s="94">
        <v>3</v>
      </c>
      <c r="B107" s="95">
        <f>RTD("esrtd",,"*H",$A$3,_xll.ESFldID(B$5,$B$3),$B$3,,$A107)</f>
        <v>220.65</v>
      </c>
      <c r="C107" s="95">
        <f>RTD("esrtd",,"*H",$A$3,_xll.ESFldID(C$5,$B$3),$B$3,,$A107)</f>
        <v>220.65</v>
      </c>
      <c r="D107" s="95">
        <f>RTD("esrtd",,"*H",$A$3,_xll.ESFldID(D$5,$B$3),$B$3,,$A107)</f>
        <v>220.6</v>
      </c>
      <c r="E107" s="95">
        <f>RTD("esrtd",,"*H",$A$3,_xll.ESFldID(E$5,$B$3),$B$3,,$A107)</f>
        <v>220.6</v>
      </c>
      <c r="F107" s="95">
        <f>RTD("esrtd",,"*H",$A$3,_xll.ESFldID(F$5,$B$3),$B$3,,$A107)</f>
        <v>52839</v>
      </c>
      <c r="G107" s="97">
        <f>RTD("esrtd",,"*H",$A$3,_xll.ESFldID(G$5,$B$3),$B$3,,$A107)</f>
        <v>42929.643055555556</v>
      </c>
      <c r="H107" s="98">
        <f>RTD("esrtd",,"*H",$A$3,_xll.ESFldID(H$5,$B$3),$B$3,,$A107)</f>
        <v>42929.541666666664</v>
      </c>
      <c r="I107" s="97">
        <f>RTD("esrtd",,"*H",$A$3,_xll.ESFldID(I$5,$B$3),$B$3,,$A107)</f>
        <v>42929.643055555556</v>
      </c>
    </row>
    <row r="108" spans="1:9" x14ac:dyDescent="0.25">
      <c r="A108" s="94">
        <v>2</v>
      </c>
      <c r="B108" s="95">
        <f>RTD("esrtd",,"*H",$A$3,_xll.ESFldID(B$5,$B$3),$B$3,,$A108)</f>
        <v>220.8</v>
      </c>
      <c r="C108" s="95">
        <f>RTD("esrtd",,"*H",$A$3,_xll.ESFldID(C$5,$B$3),$B$3,,$A108)</f>
        <v>220.8</v>
      </c>
      <c r="D108" s="95">
        <f>RTD("esrtd",,"*H",$A$3,_xll.ESFldID(D$5,$B$3),$B$3,,$A108)</f>
        <v>220.65</v>
      </c>
      <c r="E108" s="95">
        <f>RTD("esrtd",,"*H",$A$3,_xll.ESFldID(E$5,$B$3),$B$3,,$A108)</f>
        <v>220.65</v>
      </c>
      <c r="F108" s="95">
        <f>RTD("esrtd",,"*H",$A$3,_xll.ESFldID(F$5,$B$3),$B$3,,$A108)</f>
        <v>68445</v>
      </c>
      <c r="G108" s="97">
        <f>RTD("esrtd",,"*H",$A$3,_xll.ESFldID(G$5,$B$3),$B$3,,$A108)</f>
        <v>42929.643750000003</v>
      </c>
      <c r="H108" s="98">
        <f>RTD("esrtd",,"*H",$A$3,_xll.ESFldID(H$5,$B$3),$B$3,,$A108)</f>
        <v>42929.541666666664</v>
      </c>
      <c r="I108" s="97">
        <f>RTD("esrtd",,"*H",$A$3,_xll.ESFldID(I$5,$B$3),$B$3,,$A108)</f>
        <v>42929.643750000003</v>
      </c>
    </row>
    <row r="109" spans="1:9" x14ac:dyDescent="0.25">
      <c r="A109" s="94">
        <v>1</v>
      </c>
      <c r="B109" s="95">
        <f>RTD("esrtd",,"*H",$A$3,_xll.ESFldID(B$5,$B$3),$B$3,,$A109)</f>
        <v>220.8</v>
      </c>
      <c r="C109" s="95">
        <f>RTD("esrtd",,"*H",$A$3,_xll.ESFldID(C$5,$B$3),$B$3,,$A109)</f>
        <v>220.8</v>
      </c>
      <c r="D109" s="95">
        <f>RTD("esrtd",,"*H",$A$3,_xll.ESFldID(D$5,$B$3),$B$3,,$A109)</f>
        <v>220.8</v>
      </c>
      <c r="E109" s="95">
        <f>RTD("esrtd",,"*H",$A$3,_xll.ESFldID(E$5,$B$3),$B$3,,$A109)</f>
        <v>220.8</v>
      </c>
      <c r="F109" s="95">
        <f>RTD("esrtd",,"*H",$A$3,_xll.ESFldID(F$5,$B$3),$B$3,,$A109)</f>
        <v>8100</v>
      </c>
      <c r="G109" s="97">
        <f>RTD("esrtd",,"*H",$A$3,_xll.ESFldID(G$5,$B$3),$B$3,,$A109)</f>
        <v>42929.644444444442</v>
      </c>
      <c r="H109" s="98">
        <f>RTD("esrtd",,"*H",$A$3,_xll.ESFldID(H$5,$B$3),$B$3,,$A109)</f>
        <v>42929.541666666664</v>
      </c>
      <c r="I109" s="97">
        <f>RTD("esrtd",,"*H",$A$3,_xll.ESFldID(I$5,$B$3),$B$3,,$A109)</f>
        <v>42929.644444444442</v>
      </c>
    </row>
    <row r="110" spans="1:9" x14ac:dyDescent="0.25">
      <c r="A110" s="94">
        <v>0</v>
      </c>
      <c r="B110" s="95">
        <f>RTD("esrtd",,"*H",$A$3,_xll.ESFldID(B$5,$B$3),$B$3,,$A110)</f>
        <v>220.9</v>
      </c>
      <c r="C110" s="95">
        <f>RTD("esrtd",,"*H",$A$3,_xll.ESFldID(C$5,$B$3),$B$3,,$A110)</f>
        <v>220.9</v>
      </c>
      <c r="D110" s="95">
        <f>RTD("esrtd",,"*H",$A$3,_xll.ESFldID(D$5,$B$3),$B$3,,$A110)</f>
        <v>220.8</v>
      </c>
      <c r="E110" s="95">
        <f>RTD("esrtd",,"*H",$A$3,_xll.ESFldID(E$5,$B$3),$B$3,,$A110)</f>
        <v>220.8</v>
      </c>
      <c r="F110" s="95">
        <f>RTD("esrtd",,"*H",$A$3,_xll.ESFldID(F$5,$B$3),$B$3,,$A110)</f>
        <v>198264</v>
      </c>
      <c r="G110" s="97">
        <f>RTD("esrtd",,"*H",$A$3,_xll.ESFldID(G$5,$B$3),$B$3,,$A110)</f>
        <v>42929.645138888889</v>
      </c>
      <c r="H110" s="98">
        <f>RTD("esrtd",,"*H",$A$3,_xll.ESFldID(H$5,$B$3),$B$3,,$A110)</f>
        <v>42929.541666666664</v>
      </c>
      <c r="I110" s="97">
        <f>RTD("esrtd",,"*H",$A$3,_xll.ESFldID(I$5,$B$3),$B$3,,$A110)</f>
        <v>42929.645138888889</v>
      </c>
    </row>
    <row r="111" spans="1:9" x14ac:dyDescent="0.25">
      <c r="A111" s="94"/>
      <c r="B111" s="95"/>
      <c r="C111" s="95"/>
      <c r="D111" s="95"/>
      <c r="E111" s="95"/>
      <c r="F111" s="95"/>
      <c r="G111" s="97"/>
      <c r="H111" s="98"/>
      <c r="I111" s="97"/>
    </row>
  </sheetData>
  <mergeCells count="1">
    <mergeCell ref="A1:C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80" t="s">
        <v>116</v>
      </c>
      <c r="B1" s="80"/>
      <c r="C1" s="80"/>
      <c r="D1" s="2"/>
    </row>
    <row r="2" spans="1:23" s="24" customFormat="1" ht="38.25" customHeight="1" x14ac:dyDescent="0.25">
      <c r="B2" s="24" t="s">
        <v>28</v>
      </c>
      <c r="C2" s="28" t="s">
        <v>116</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Reporting</vt:lpstr>
      <vt:lpstr>Existing</vt:lpstr>
      <vt:lpstr>Monitoring</vt:lpstr>
      <vt:lpstr>Orders</vt:lpstr>
      <vt:lpstr>Forex</vt:lpstr>
      <vt:lpstr>Data</vt:lpstr>
      <vt:lpstr>Config</vt:lpstr>
      <vt:lpstr>Usage</vt:lpstr>
      <vt:lpstr>Notes</vt:lpstr>
      <vt:lpstr>AlgoTester</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2017-07-13T14:29:24Z</dcterms:modified>
</cp:coreProperties>
</file>